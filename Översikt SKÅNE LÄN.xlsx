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45796</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45796</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45796</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45796</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45796</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45796</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45796</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45796</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45796</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45796</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45796</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45796</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45796</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45796</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45796</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45796</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45796</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45796</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45796</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45796</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45796</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45796</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45796</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45796</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45796</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45796</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45796</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45796</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45796</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45796</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45796</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45796</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45796</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45796</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45796</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45796</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45796</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45796</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45796</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45796</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45796</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45796</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45796</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45796</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45796</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45796</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45796</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45796</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45796</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45796</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45796</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45796</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45796</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45796</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45796</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45796</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45796</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45796</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45796</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45796</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45796</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45796</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45796</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45796</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45796</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45796</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45796</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45796</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45796</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45796</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45796</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45796</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45796</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45796</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45796</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45796</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45796</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45796</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45796</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45796</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45796</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45796</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45796</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45796</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45796</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45796</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45796</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45796</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45796</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45796</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45796</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45796</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45796</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45796</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45796</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45796</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45796</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45796</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45796</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45796</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45796</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45796</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45796</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45796</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45796</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45796</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45796</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45796</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45796</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45796</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45796</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45796</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45796</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45796</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45796</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45796</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45796</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45796</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45796</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45796</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45796</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30713-2019</t>
        </is>
      </c>
      <c r="B128" s="1" t="n">
        <v>43636</v>
      </c>
      <c r="C128" s="1" t="n">
        <v>45796</v>
      </c>
      <c r="D128" t="inlineStr">
        <is>
          <t>SKÅNE LÄN</t>
        </is>
      </c>
      <c r="E128" t="inlineStr">
        <is>
          <t>SVEDALA</t>
        </is>
      </c>
      <c r="G128" t="n">
        <v>2</v>
      </c>
      <c r="H128" t="n">
        <v>0</v>
      </c>
      <c r="I128" t="n">
        <v>2</v>
      </c>
      <c r="J128" t="n">
        <v>0</v>
      </c>
      <c r="K128" t="n">
        <v>0</v>
      </c>
      <c r="L128" t="n">
        <v>0</v>
      </c>
      <c r="M128" t="n">
        <v>0</v>
      </c>
      <c r="N128" t="n">
        <v>0</v>
      </c>
      <c r="O128" t="n">
        <v>0</v>
      </c>
      <c r="P128" t="n">
        <v>0</v>
      </c>
      <c r="Q128" t="n">
        <v>2</v>
      </c>
      <c r="R128" s="2" t="inlineStr">
        <is>
          <t>Kragjordstjärna
Stor häxört</t>
        </is>
      </c>
      <c r="S128">
        <f>HYPERLINK("https://klasma.github.io/Logging_1263/artfynd/A 30713-2019 artfynd.xlsx", "A 30713-2019")</f>
        <v/>
      </c>
      <c r="T128">
        <f>HYPERLINK("https://klasma.github.io/Logging_1263/kartor/A 30713-2019 karta.png", "A 30713-2019")</f>
        <v/>
      </c>
      <c r="V128">
        <f>HYPERLINK("https://klasma.github.io/Logging_1263/klagomål/A 30713-2019 FSC-klagomål.docx", "A 30713-2019")</f>
        <v/>
      </c>
      <c r="W128">
        <f>HYPERLINK("https://klasma.github.io/Logging_1263/klagomålsmail/A 30713-2019 FSC-klagomål mail.docx", "A 30713-2019")</f>
        <v/>
      </c>
      <c r="X128">
        <f>HYPERLINK("https://klasma.github.io/Logging_1263/tillsyn/A 30713-2019 tillsynsbegäran.docx", "A 30713-2019")</f>
        <v/>
      </c>
      <c r="Y128">
        <f>HYPERLINK("https://klasma.github.io/Logging_1263/tillsynsmail/A 30713-2019 tillsynsbegäran mail.docx", "A 30713-2019")</f>
        <v/>
      </c>
    </row>
    <row r="129" ht="15" customHeight="1">
      <c r="A129" t="inlineStr">
        <is>
          <t>A 38525-2019</t>
        </is>
      </c>
      <c r="B129" s="1" t="n">
        <v>43682</v>
      </c>
      <c r="C129" s="1" t="n">
        <v>45796</v>
      </c>
      <c r="D129" t="inlineStr">
        <is>
          <t>SKÅNE LÄN</t>
        </is>
      </c>
      <c r="E129" t="inlineStr">
        <is>
          <t>HÖRBY</t>
        </is>
      </c>
      <c r="G129" t="n">
        <v>0.3</v>
      </c>
      <c r="H129" t="n">
        <v>1</v>
      </c>
      <c r="I129" t="n">
        <v>0</v>
      </c>
      <c r="J129" t="n">
        <v>0</v>
      </c>
      <c r="K129" t="n">
        <v>0</v>
      </c>
      <c r="L129" t="n">
        <v>1</v>
      </c>
      <c r="M129" t="n">
        <v>0</v>
      </c>
      <c r="N129" t="n">
        <v>0</v>
      </c>
      <c r="O129" t="n">
        <v>1</v>
      </c>
      <c r="P129" t="n">
        <v>1</v>
      </c>
      <c r="Q129" t="n">
        <v>2</v>
      </c>
      <c r="R129" s="2" t="inlineStr">
        <is>
          <t>Ask
Blåsippa</t>
        </is>
      </c>
      <c r="S129">
        <f>HYPERLINK("https://klasma.github.io/Logging_1266/artfynd/A 38525-2019 artfynd.xlsx", "A 38525-2019")</f>
        <v/>
      </c>
      <c r="T129">
        <f>HYPERLINK("https://klasma.github.io/Logging_1266/kartor/A 38525-2019 karta.png", "A 38525-2019")</f>
        <v/>
      </c>
      <c r="V129">
        <f>HYPERLINK("https://klasma.github.io/Logging_1266/klagomål/A 38525-2019 FSC-klagomål.docx", "A 38525-2019")</f>
        <v/>
      </c>
      <c r="W129">
        <f>HYPERLINK("https://klasma.github.io/Logging_1266/klagomålsmail/A 38525-2019 FSC-klagomål mail.docx", "A 38525-2019")</f>
        <v/>
      </c>
      <c r="X129">
        <f>HYPERLINK("https://klasma.github.io/Logging_1266/tillsyn/A 38525-2019 tillsynsbegäran.docx", "A 38525-2019")</f>
        <v/>
      </c>
      <c r="Y129">
        <f>HYPERLINK("https://klasma.github.io/Logging_1266/tillsynsmail/A 38525-2019 tillsynsbegäran mail.docx", "A 38525-2019")</f>
        <v/>
      </c>
    </row>
    <row r="130" ht="15" customHeight="1">
      <c r="A130" t="inlineStr">
        <is>
          <t>A 48597-2019</t>
        </is>
      </c>
      <c r="B130" s="1" t="n">
        <v>43727</v>
      </c>
      <c r="C130" s="1" t="n">
        <v>45796</v>
      </c>
      <c r="D130" t="inlineStr">
        <is>
          <t>SKÅNE LÄN</t>
        </is>
      </c>
      <c r="E130" t="inlineStr">
        <is>
          <t>ÄNGELHOLM</t>
        </is>
      </c>
      <c r="G130" t="n">
        <v>3.8</v>
      </c>
      <c r="H130" t="n">
        <v>0</v>
      </c>
      <c r="I130" t="n">
        <v>0</v>
      </c>
      <c r="J130" t="n">
        <v>1</v>
      </c>
      <c r="K130" t="n">
        <v>1</v>
      </c>
      <c r="L130" t="n">
        <v>0</v>
      </c>
      <c r="M130" t="n">
        <v>0</v>
      </c>
      <c r="N130" t="n">
        <v>0</v>
      </c>
      <c r="O130" t="n">
        <v>2</v>
      </c>
      <c r="P130" t="n">
        <v>1</v>
      </c>
      <c r="Q130" t="n">
        <v>2</v>
      </c>
      <c r="R130" s="2" t="inlineStr">
        <is>
          <t>Bjärebjörnbär
Skånebjörnbär</t>
        </is>
      </c>
      <c r="S130">
        <f>HYPERLINK("https://klasma.github.io/Logging_1292/artfynd/A 48597-2019 artfynd.xlsx", "A 48597-2019")</f>
        <v/>
      </c>
      <c r="T130">
        <f>HYPERLINK("https://klasma.github.io/Logging_1292/kartor/A 48597-2019 karta.png", "A 48597-2019")</f>
        <v/>
      </c>
      <c r="V130">
        <f>HYPERLINK("https://klasma.github.io/Logging_1292/klagomål/A 48597-2019 FSC-klagomål.docx", "A 48597-2019")</f>
        <v/>
      </c>
      <c r="W130">
        <f>HYPERLINK("https://klasma.github.io/Logging_1292/klagomålsmail/A 48597-2019 FSC-klagomål mail.docx", "A 48597-2019")</f>
        <v/>
      </c>
      <c r="X130">
        <f>HYPERLINK("https://klasma.github.io/Logging_1292/tillsyn/A 48597-2019 tillsynsbegäran.docx", "A 48597-2019")</f>
        <v/>
      </c>
      <c r="Y130">
        <f>HYPERLINK("https://klasma.github.io/Logging_1292/tillsynsmail/A 48597-2019 tillsynsbegäran mail.docx", "A 48597-2019")</f>
        <v/>
      </c>
    </row>
    <row r="131" ht="15" customHeight="1">
      <c r="A131" t="inlineStr">
        <is>
          <t>A 48841-2019</t>
        </is>
      </c>
      <c r="B131" s="1" t="n">
        <v>43728</v>
      </c>
      <c r="C131" s="1" t="n">
        <v>45796</v>
      </c>
      <c r="D131" t="inlineStr">
        <is>
          <t>SKÅNE LÄN</t>
        </is>
      </c>
      <c r="E131" t="inlineStr">
        <is>
          <t>KLIPPAN</t>
        </is>
      </c>
      <c r="G131" t="n">
        <v>3.4</v>
      </c>
      <c r="H131" t="n">
        <v>2</v>
      </c>
      <c r="I131" t="n">
        <v>0</v>
      </c>
      <c r="J131" t="n">
        <v>0</v>
      </c>
      <c r="K131" t="n">
        <v>0</v>
      </c>
      <c r="L131" t="n">
        <v>0</v>
      </c>
      <c r="M131" t="n">
        <v>0</v>
      </c>
      <c r="N131" t="n">
        <v>0</v>
      </c>
      <c r="O131" t="n">
        <v>0</v>
      </c>
      <c r="P131" t="n">
        <v>0</v>
      </c>
      <c r="Q131" t="n">
        <v>2</v>
      </c>
      <c r="R131" s="2" t="inlineStr">
        <is>
          <t>Större vattensalamander
Huggorm</t>
        </is>
      </c>
      <c r="S131">
        <f>HYPERLINK("https://klasma.github.io/Logging_1276/artfynd/A 48841-2019 artfynd.xlsx", "A 48841-2019")</f>
        <v/>
      </c>
      <c r="T131">
        <f>HYPERLINK("https://klasma.github.io/Logging_1276/kartor/A 48841-2019 karta.png", "A 48841-2019")</f>
        <v/>
      </c>
      <c r="V131">
        <f>HYPERLINK("https://klasma.github.io/Logging_1276/klagomål/A 48841-2019 FSC-klagomål.docx", "A 48841-2019")</f>
        <v/>
      </c>
      <c r="W131">
        <f>HYPERLINK("https://klasma.github.io/Logging_1276/klagomålsmail/A 48841-2019 FSC-klagomål mail.docx", "A 48841-2019")</f>
        <v/>
      </c>
      <c r="X131">
        <f>HYPERLINK("https://klasma.github.io/Logging_1276/tillsyn/A 48841-2019 tillsynsbegäran.docx", "A 48841-2019")</f>
        <v/>
      </c>
      <c r="Y131">
        <f>HYPERLINK("https://klasma.github.io/Logging_1276/tillsynsmail/A 48841-2019 tillsynsbegäran mail.docx", "A 48841-2019")</f>
        <v/>
      </c>
    </row>
    <row r="132" ht="15" customHeight="1">
      <c r="A132" t="inlineStr">
        <is>
          <t>A 55656-2019</t>
        </is>
      </c>
      <c r="B132" s="1" t="n">
        <v>43760</v>
      </c>
      <c r="C132" s="1" t="n">
        <v>45796</v>
      </c>
      <c r="D132" t="inlineStr">
        <is>
          <t>SKÅNE LÄN</t>
        </is>
      </c>
      <c r="E132" t="inlineStr">
        <is>
          <t>HÄSSLEHOLM</t>
        </is>
      </c>
      <c r="G132" t="n">
        <v>1.8</v>
      </c>
      <c r="H132" t="n">
        <v>2</v>
      </c>
      <c r="I132" t="n">
        <v>0</v>
      </c>
      <c r="J132" t="n">
        <v>0</v>
      </c>
      <c r="K132" t="n">
        <v>2</v>
      </c>
      <c r="L132" t="n">
        <v>0</v>
      </c>
      <c r="M132" t="n">
        <v>0</v>
      </c>
      <c r="N132" t="n">
        <v>0</v>
      </c>
      <c r="O132" t="n">
        <v>2</v>
      </c>
      <c r="P132" t="n">
        <v>2</v>
      </c>
      <c r="Q132" t="n">
        <v>2</v>
      </c>
      <c r="R132" s="2" t="inlineStr">
        <is>
          <t>Hedblomster
Sandödla</t>
        </is>
      </c>
      <c r="S132">
        <f>HYPERLINK("https://klasma.github.io/Logging_1293/artfynd/A 55656-2019 artfynd.xlsx", "A 55656-2019")</f>
        <v/>
      </c>
      <c r="T132">
        <f>HYPERLINK("https://klasma.github.io/Logging_1293/kartor/A 55656-2019 karta.png", "A 55656-2019")</f>
        <v/>
      </c>
      <c r="V132">
        <f>HYPERLINK("https://klasma.github.io/Logging_1293/klagomål/A 55656-2019 FSC-klagomål.docx", "A 55656-2019")</f>
        <v/>
      </c>
      <c r="W132">
        <f>HYPERLINK("https://klasma.github.io/Logging_1293/klagomålsmail/A 55656-2019 FSC-klagomål mail.docx", "A 55656-2019")</f>
        <v/>
      </c>
      <c r="X132">
        <f>HYPERLINK("https://klasma.github.io/Logging_1293/tillsyn/A 55656-2019 tillsynsbegäran.docx", "A 55656-2019")</f>
        <v/>
      </c>
      <c r="Y132">
        <f>HYPERLINK("https://klasma.github.io/Logging_1293/tillsynsmail/A 55656-2019 tillsynsbegäran mail.docx", "A 55656-2019")</f>
        <v/>
      </c>
    </row>
    <row r="133" ht="15" customHeight="1">
      <c r="A133" t="inlineStr">
        <is>
          <t>A 6547-2020</t>
        </is>
      </c>
      <c r="B133" s="1" t="n">
        <v>43866</v>
      </c>
      <c r="C133" s="1" t="n">
        <v>45796</v>
      </c>
      <c r="D133" t="inlineStr">
        <is>
          <t>SKÅNE LÄN</t>
        </is>
      </c>
      <c r="E133" t="inlineStr">
        <is>
          <t>HÖRBY</t>
        </is>
      </c>
      <c r="G133" t="n">
        <v>3.5</v>
      </c>
      <c r="H133" t="n">
        <v>0</v>
      </c>
      <c r="I133" t="n">
        <v>0</v>
      </c>
      <c r="J133" t="n">
        <v>1</v>
      </c>
      <c r="K133" t="n">
        <v>0</v>
      </c>
      <c r="L133" t="n">
        <v>1</v>
      </c>
      <c r="M133" t="n">
        <v>0</v>
      </c>
      <c r="N133" t="n">
        <v>0</v>
      </c>
      <c r="O133" t="n">
        <v>2</v>
      </c>
      <c r="P133" t="n">
        <v>1</v>
      </c>
      <c r="Q133" t="n">
        <v>2</v>
      </c>
      <c r="R133" s="2" t="inlineStr">
        <is>
          <t>Ask
Stor sotdyna</t>
        </is>
      </c>
      <c r="S133">
        <f>HYPERLINK("https://klasma.github.io/Logging_1266/artfynd/A 6547-2020 artfynd.xlsx", "A 6547-2020")</f>
        <v/>
      </c>
      <c r="T133">
        <f>HYPERLINK("https://klasma.github.io/Logging_1266/kartor/A 6547-2020 karta.png", "A 6547-2020")</f>
        <v/>
      </c>
      <c r="V133">
        <f>HYPERLINK("https://klasma.github.io/Logging_1266/klagomål/A 6547-2020 FSC-klagomål.docx", "A 6547-2020")</f>
        <v/>
      </c>
      <c r="W133">
        <f>HYPERLINK("https://klasma.github.io/Logging_1266/klagomålsmail/A 6547-2020 FSC-klagomål mail.docx", "A 6547-2020")</f>
        <v/>
      </c>
      <c r="X133">
        <f>HYPERLINK("https://klasma.github.io/Logging_1266/tillsyn/A 6547-2020 tillsynsbegäran.docx", "A 6547-2020")</f>
        <v/>
      </c>
      <c r="Y133">
        <f>HYPERLINK("https://klasma.github.io/Logging_1266/tillsynsmail/A 6547-2020 tillsynsbegäran mail.docx", "A 6547-2020")</f>
        <v/>
      </c>
    </row>
    <row r="134" ht="15" customHeight="1">
      <c r="A134" t="inlineStr">
        <is>
          <t>A 8861-2020</t>
        </is>
      </c>
      <c r="B134" s="1" t="n">
        <v>43878</v>
      </c>
      <c r="C134" s="1" t="n">
        <v>45796</v>
      </c>
      <c r="D134" t="inlineStr">
        <is>
          <t>SKÅNE LÄN</t>
        </is>
      </c>
      <c r="E134" t="inlineStr">
        <is>
          <t>HÄSSLEHOLM</t>
        </is>
      </c>
      <c r="G134" t="n">
        <v>10.5</v>
      </c>
      <c r="H134" t="n">
        <v>0</v>
      </c>
      <c r="I134" t="n">
        <v>2</v>
      </c>
      <c r="J134" t="n">
        <v>0</v>
      </c>
      <c r="K134" t="n">
        <v>0</v>
      </c>
      <c r="L134" t="n">
        <v>0</v>
      </c>
      <c r="M134" t="n">
        <v>0</v>
      </c>
      <c r="N134" t="n">
        <v>0</v>
      </c>
      <c r="O134" t="n">
        <v>0</v>
      </c>
      <c r="P134" t="n">
        <v>0</v>
      </c>
      <c r="Q134" t="n">
        <v>2</v>
      </c>
      <c r="R134" s="2" t="inlineStr">
        <is>
          <t>Bågpraktmossa
Västlig hakmossa</t>
        </is>
      </c>
      <c r="S134">
        <f>HYPERLINK("https://klasma.github.io/Logging_1293/artfynd/A 8861-2020 artfynd.xlsx", "A 8861-2020")</f>
        <v/>
      </c>
      <c r="T134">
        <f>HYPERLINK("https://klasma.github.io/Logging_1293/kartor/A 8861-2020 karta.png", "A 8861-2020")</f>
        <v/>
      </c>
      <c r="V134">
        <f>HYPERLINK("https://klasma.github.io/Logging_1293/klagomål/A 8861-2020 FSC-klagomål.docx", "A 8861-2020")</f>
        <v/>
      </c>
      <c r="W134">
        <f>HYPERLINK("https://klasma.github.io/Logging_1293/klagomålsmail/A 8861-2020 FSC-klagomål mail.docx", "A 8861-2020")</f>
        <v/>
      </c>
      <c r="X134">
        <f>HYPERLINK("https://klasma.github.io/Logging_1293/tillsyn/A 8861-2020 tillsynsbegäran.docx", "A 8861-2020")</f>
        <v/>
      </c>
      <c r="Y134">
        <f>HYPERLINK("https://klasma.github.io/Logging_1293/tillsynsmail/A 8861-2020 tillsynsbegäran mail.docx", "A 8861-2020")</f>
        <v/>
      </c>
    </row>
    <row r="135" ht="15" customHeight="1">
      <c r="A135" t="inlineStr">
        <is>
          <t>A 18228-2020</t>
        </is>
      </c>
      <c r="B135" s="1" t="n">
        <v>43928</v>
      </c>
      <c r="C135" s="1" t="n">
        <v>45796</v>
      </c>
      <c r="D135" t="inlineStr">
        <is>
          <t>SKÅNE LÄN</t>
        </is>
      </c>
      <c r="E135" t="inlineStr">
        <is>
          <t>SVEDALA</t>
        </is>
      </c>
      <c r="G135" t="n">
        <v>1.1</v>
      </c>
      <c r="H135" t="n">
        <v>0</v>
      </c>
      <c r="I135" t="n">
        <v>0</v>
      </c>
      <c r="J135" t="n">
        <v>1</v>
      </c>
      <c r="K135" t="n">
        <v>0</v>
      </c>
      <c r="L135" t="n">
        <v>1</v>
      </c>
      <c r="M135" t="n">
        <v>0</v>
      </c>
      <c r="N135" t="n">
        <v>0</v>
      </c>
      <c r="O135" t="n">
        <v>2</v>
      </c>
      <c r="P135" t="n">
        <v>1</v>
      </c>
      <c r="Q135" t="n">
        <v>2</v>
      </c>
      <c r="R135" s="2" t="inlineStr">
        <is>
          <t>Ädellav
Bokkantlav</t>
        </is>
      </c>
      <c r="S135">
        <f>HYPERLINK("https://klasma.github.io/Logging_1263/artfynd/A 18228-2020 artfynd.xlsx", "A 18228-2020")</f>
        <v/>
      </c>
      <c r="T135">
        <f>HYPERLINK("https://klasma.github.io/Logging_1263/kartor/A 18228-2020 karta.png", "A 18228-2020")</f>
        <v/>
      </c>
      <c r="V135">
        <f>HYPERLINK("https://klasma.github.io/Logging_1263/klagomål/A 18228-2020 FSC-klagomål.docx", "A 18228-2020")</f>
        <v/>
      </c>
      <c r="W135">
        <f>HYPERLINK("https://klasma.github.io/Logging_1263/klagomålsmail/A 18228-2020 FSC-klagomål mail.docx", "A 18228-2020")</f>
        <v/>
      </c>
      <c r="X135">
        <f>HYPERLINK("https://klasma.github.io/Logging_1263/tillsyn/A 18228-2020 tillsynsbegäran.docx", "A 18228-2020")</f>
        <v/>
      </c>
      <c r="Y135">
        <f>HYPERLINK("https://klasma.github.io/Logging_1263/tillsynsmail/A 18228-2020 tillsynsbegäran mail.docx", "A 18228-2020")</f>
        <v/>
      </c>
    </row>
    <row r="136" ht="15" customHeight="1">
      <c r="A136" t="inlineStr">
        <is>
          <t>A 58790-2020</t>
        </is>
      </c>
      <c r="B136" s="1" t="n">
        <v>44146</v>
      </c>
      <c r="C136" s="1" t="n">
        <v>45796</v>
      </c>
      <c r="D136" t="inlineStr">
        <is>
          <t>SKÅNE LÄN</t>
        </is>
      </c>
      <c r="E136" t="inlineStr">
        <is>
          <t>ÄNGELHOLM</t>
        </is>
      </c>
      <c r="G136" t="n">
        <v>2.9</v>
      </c>
      <c r="H136" t="n">
        <v>1</v>
      </c>
      <c r="I136" t="n">
        <v>1</v>
      </c>
      <c r="J136" t="n">
        <v>1</v>
      </c>
      <c r="K136" t="n">
        <v>0</v>
      </c>
      <c r="L136" t="n">
        <v>0</v>
      </c>
      <c r="M136" t="n">
        <v>0</v>
      </c>
      <c r="N136" t="n">
        <v>0</v>
      </c>
      <c r="O136" t="n">
        <v>1</v>
      </c>
      <c r="P136" t="n">
        <v>0</v>
      </c>
      <c r="Q136" t="n">
        <v>2</v>
      </c>
      <c r="R136" s="2" t="inlineStr">
        <is>
          <t>Entita
Skogsbräsma</t>
        </is>
      </c>
      <c r="S136">
        <f>HYPERLINK("https://klasma.github.io/Logging_1292/artfynd/A 58790-2020 artfynd.xlsx", "A 58790-2020")</f>
        <v/>
      </c>
      <c r="T136">
        <f>HYPERLINK("https://klasma.github.io/Logging_1292/kartor/A 58790-2020 karta.png", "A 58790-2020")</f>
        <v/>
      </c>
      <c r="V136">
        <f>HYPERLINK("https://klasma.github.io/Logging_1292/klagomål/A 58790-2020 FSC-klagomål.docx", "A 58790-2020")</f>
        <v/>
      </c>
      <c r="W136">
        <f>HYPERLINK("https://klasma.github.io/Logging_1292/klagomålsmail/A 58790-2020 FSC-klagomål mail.docx", "A 58790-2020")</f>
        <v/>
      </c>
      <c r="X136">
        <f>HYPERLINK("https://klasma.github.io/Logging_1292/tillsyn/A 58790-2020 tillsynsbegäran.docx", "A 58790-2020")</f>
        <v/>
      </c>
      <c r="Y136">
        <f>HYPERLINK("https://klasma.github.io/Logging_1292/tillsynsmail/A 58790-2020 tillsynsbegäran mail.docx", "A 58790-2020")</f>
        <v/>
      </c>
      <c r="Z136">
        <f>HYPERLINK("https://klasma.github.io/Logging_1292/fåglar/A 58790-2020 prioriterade fågelarter.docx", "A 58790-2020")</f>
        <v/>
      </c>
    </row>
    <row r="137" ht="15" customHeight="1">
      <c r="A137" t="inlineStr">
        <is>
          <t>A 60100-2020</t>
        </is>
      </c>
      <c r="B137" s="1" t="n">
        <v>44151</v>
      </c>
      <c r="C137" s="1" t="n">
        <v>45796</v>
      </c>
      <c r="D137" t="inlineStr">
        <is>
          <t>SKÅNE LÄN</t>
        </is>
      </c>
      <c r="E137" t="inlineStr">
        <is>
          <t>SJÖBO</t>
        </is>
      </c>
      <c r="G137" t="n">
        <v>5.7</v>
      </c>
      <c r="H137" t="n">
        <v>1</v>
      </c>
      <c r="I137" t="n">
        <v>2</v>
      </c>
      <c r="J137" t="n">
        <v>0</v>
      </c>
      <c r="K137" t="n">
        <v>0</v>
      </c>
      <c r="L137" t="n">
        <v>0</v>
      </c>
      <c r="M137" t="n">
        <v>0</v>
      </c>
      <c r="N137" t="n">
        <v>0</v>
      </c>
      <c r="O137" t="n">
        <v>0</v>
      </c>
      <c r="P137" t="n">
        <v>0</v>
      </c>
      <c r="Q137" t="n">
        <v>2</v>
      </c>
      <c r="R137" s="2" t="inlineStr">
        <is>
          <t>Skogsknipprot
Svart trolldruva</t>
        </is>
      </c>
      <c r="S137">
        <f>HYPERLINK("https://klasma.github.io/Logging_1265/artfynd/A 60100-2020 artfynd.xlsx", "A 60100-2020")</f>
        <v/>
      </c>
      <c r="T137">
        <f>HYPERLINK("https://klasma.github.io/Logging_1265/kartor/A 60100-2020 karta.png", "A 60100-2020")</f>
        <v/>
      </c>
      <c r="V137">
        <f>HYPERLINK("https://klasma.github.io/Logging_1265/klagomål/A 60100-2020 FSC-klagomål.docx", "A 60100-2020")</f>
        <v/>
      </c>
      <c r="W137">
        <f>HYPERLINK("https://klasma.github.io/Logging_1265/klagomålsmail/A 60100-2020 FSC-klagomål mail.docx", "A 60100-2020")</f>
        <v/>
      </c>
      <c r="X137">
        <f>HYPERLINK("https://klasma.github.io/Logging_1265/tillsyn/A 60100-2020 tillsynsbegäran.docx", "A 60100-2020")</f>
        <v/>
      </c>
      <c r="Y137">
        <f>HYPERLINK("https://klasma.github.io/Logging_1265/tillsynsmail/A 60100-2020 tillsynsbegäran mail.docx", "A 60100-2020")</f>
        <v/>
      </c>
    </row>
    <row r="138" ht="15" customHeight="1">
      <c r="A138" t="inlineStr">
        <is>
          <t>A 66175-2020</t>
        </is>
      </c>
      <c r="B138" s="1" t="n">
        <v>44174</v>
      </c>
      <c r="C138" s="1" t="n">
        <v>45796</v>
      </c>
      <c r="D138" t="inlineStr">
        <is>
          <t>SKÅNE LÄN</t>
        </is>
      </c>
      <c r="E138" t="inlineStr">
        <is>
          <t>SJÖBO</t>
        </is>
      </c>
      <c r="G138" t="n">
        <v>4.5</v>
      </c>
      <c r="H138" t="n">
        <v>0</v>
      </c>
      <c r="I138" t="n">
        <v>2</v>
      </c>
      <c r="J138" t="n">
        <v>0</v>
      </c>
      <c r="K138" t="n">
        <v>0</v>
      </c>
      <c r="L138" t="n">
        <v>0</v>
      </c>
      <c r="M138" t="n">
        <v>0</v>
      </c>
      <c r="N138" t="n">
        <v>0</v>
      </c>
      <c r="O138" t="n">
        <v>0</v>
      </c>
      <c r="P138" t="n">
        <v>0</v>
      </c>
      <c r="Q138" t="n">
        <v>2</v>
      </c>
      <c r="R138" s="2" t="inlineStr">
        <is>
          <t>Myskmadra
Strävlosta</t>
        </is>
      </c>
      <c r="S138">
        <f>HYPERLINK("https://klasma.github.io/Logging_1265/artfynd/A 66175-2020 artfynd.xlsx", "A 66175-2020")</f>
        <v/>
      </c>
      <c r="T138">
        <f>HYPERLINK("https://klasma.github.io/Logging_1265/kartor/A 66175-2020 karta.png", "A 66175-2020")</f>
        <v/>
      </c>
      <c r="V138">
        <f>HYPERLINK("https://klasma.github.io/Logging_1265/klagomål/A 66175-2020 FSC-klagomål.docx", "A 66175-2020")</f>
        <v/>
      </c>
      <c r="W138">
        <f>HYPERLINK("https://klasma.github.io/Logging_1265/klagomålsmail/A 66175-2020 FSC-klagomål mail.docx", "A 66175-2020")</f>
        <v/>
      </c>
      <c r="X138">
        <f>HYPERLINK("https://klasma.github.io/Logging_1265/tillsyn/A 66175-2020 tillsynsbegäran.docx", "A 66175-2020")</f>
        <v/>
      </c>
      <c r="Y138">
        <f>HYPERLINK("https://klasma.github.io/Logging_1265/tillsynsmail/A 66175-2020 tillsynsbegäran mail.docx", "A 66175-2020")</f>
        <v/>
      </c>
    </row>
    <row r="139" ht="15" customHeight="1">
      <c r="A139" t="inlineStr">
        <is>
          <t>A 3853-2021</t>
        </is>
      </c>
      <c r="B139" s="1" t="n">
        <v>44222</v>
      </c>
      <c r="C139" s="1" t="n">
        <v>45796</v>
      </c>
      <c r="D139" t="inlineStr">
        <is>
          <t>SKÅNE LÄN</t>
        </is>
      </c>
      <c r="E139" t="inlineStr">
        <is>
          <t>ÖSTRA GÖINGE</t>
        </is>
      </c>
      <c r="G139" t="n">
        <v>1.4</v>
      </c>
      <c r="H139" t="n">
        <v>0</v>
      </c>
      <c r="I139" t="n">
        <v>2</v>
      </c>
      <c r="J139" t="n">
        <v>0</v>
      </c>
      <c r="K139" t="n">
        <v>0</v>
      </c>
      <c r="L139" t="n">
        <v>0</v>
      </c>
      <c r="M139" t="n">
        <v>0</v>
      </c>
      <c r="N139" t="n">
        <v>0</v>
      </c>
      <c r="O139" t="n">
        <v>0</v>
      </c>
      <c r="P139" t="n">
        <v>0</v>
      </c>
      <c r="Q139" t="n">
        <v>2</v>
      </c>
      <c r="R139" s="2" t="inlineStr">
        <is>
          <t>Guldlockmossa
Platt fjädermossa</t>
        </is>
      </c>
      <c r="S139">
        <f>HYPERLINK("https://klasma.github.io/Logging_1256/artfynd/A 3853-2021 artfynd.xlsx", "A 3853-2021")</f>
        <v/>
      </c>
      <c r="T139">
        <f>HYPERLINK("https://klasma.github.io/Logging_1256/kartor/A 3853-2021 karta.png", "A 3853-2021")</f>
        <v/>
      </c>
      <c r="V139">
        <f>HYPERLINK("https://klasma.github.io/Logging_1256/klagomål/A 3853-2021 FSC-klagomål.docx", "A 3853-2021")</f>
        <v/>
      </c>
      <c r="W139">
        <f>HYPERLINK("https://klasma.github.io/Logging_1256/klagomålsmail/A 3853-2021 FSC-klagomål mail.docx", "A 3853-2021")</f>
        <v/>
      </c>
      <c r="X139">
        <f>HYPERLINK("https://klasma.github.io/Logging_1256/tillsyn/A 3853-2021 tillsynsbegäran.docx", "A 3853-2021")</f>
        <v/>
      </c>
      <c r="Y139">
        <f>HYPERLINK("https://klasma.github.io/Logging_1256/tillsynsmail/A 3853-2021 tillsynsbegäran mail.docx", "A 3853-2021")</f>
        <v/>
      </c>
    </row>
    <row r="140" ht="15" customHeight="1">
      <c r="A140" t="inlineStr">
        <is>
          <t>A 5244-2021</t>
        </is>
      </c>
      <c r="B140" s="1" t="n">
        <v>44229</v>
      </c>
      <c r="C140" s="1" t="n">
        <v>45796</v>
      </c>
      <c r="D140" t="inlineStr">
        <is>
          <t>SKÅNE LÄN</t>
        </is>
      </c>
      <c r="E140" t="inlineStr">
        <is>
          <t>SVEDALA</t>
        </is>
      </c>
      <c r="G140" t="n">
        <v>5.3</v>
      </c>
      <c r="H140" t="n">
        <v>0</v>
      </c>
      <c r="I140" t="n">
        <v>1</v>
      </c>
      <c r="J140" t="n">
        <v>1</v>
      </c>
      <c r="K140" t="n">
        <v>0</v>
      </c>
      <c r="L140" t="n">
        <v>0</v>
      </c>
      <c r="M140" t="n">
        <v>0</v>
      </c>
      <c r="N140" t="n">
        <v>0</v>
      </c>
      <c r="O140" t="n">
        <v>1</v>
      </c>
      <c r="P140" t="n">
        <v>0</v>
      </c>
      <c r="Q140" t="n">
        <v>2</v>
      </c>
      <c r="R140" s="2" t="inlineStr">
        <is>
          <t>Koralltaggsvamp
Safsa</t>
        </is>
      </c>
      <c r="S140">
        <f>HYPERLINK("https://klasma.github.io/Logging_1263/artfynd/A 5244-2021 artfynd.xlsx", "A 5244-2021")</f>
        <v/>
      </c>
      <c r="T140">
        <f>HYPERLINK("https://klasma.github.io/Logging_1263/kartor/A 5244-2021 karta.png", "A 5244-2021")</f>
        <v/>
      </c>
      <c r="V140">
        <f>HYPERLINK("https://klasma.github.io/Logging_1263/klagomål/A 5244-2021 FSC-klagomål.docx", "A 5244-2021")</f>
        <v/>
      </c>
      <c r="W140">
        <f>HYPERLINK("https://klasma.github.io/Logging_1263/klagomålsmail/A 5244-2021 FSC-klagomål mail.docx", "A 5244-2021")</f>
        <v/>
      </c>
      <c r="X140">
        <f>HYPERLINK("https://klasma.github.io/Logging_1263/tillsyn/A 5244-2021 tillsynsbegäran.docx", "A 5244-2021")</f>
        <v/>
      </c>
      <c r="Y140">
        <f>HYPERLINK("https://klasma.github.io/Logging_1263/tillsynsmail/A 5244-2021 tillsynsbegäran mail.docx", "A 5244-2021")</f>
        <v/>
      </c>
    </row>
    <row r="141" ht="15" customHeight="1">
      <c r="A141" t="inlineStr">
        <is>
          <t>A 28124-2021</t>
        </is>
      </c>
      <c r="B141" s="1" t="n">
        <v>44355</v>
      </c>
      <c r="C141" s="1" t="n">
        <v>45796</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45796</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45796</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45796</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45796</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45796</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45796</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45796</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45796</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45796</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45796</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45796</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45796</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45796</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45796</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45796</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45796</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45796</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45796</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45796</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45796</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45796</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45796</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45796</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45796</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45796</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45796</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45796</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45796</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45796</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45796</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45796</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45796</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45796</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45796</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45796</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45796</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45796</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45796</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45796</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45796</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45796</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45796</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45796</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45796</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45796</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45796</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45796</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45796</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45796</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45796</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45796</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45796</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45796</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45796</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45796</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45796</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45796</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45796</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45796</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45796</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45796</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45796</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45796</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45796</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45796</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45796</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45796</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45796</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45796</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45796</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45796</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45796</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45796</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45796</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45796</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45796</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45796</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45796</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45796</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45796</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45796</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45796</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45796</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45796</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45796</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45796</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45796</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45796</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45796</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45796</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45796</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45796</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45796</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45796</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45796</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45796</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45796</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45796</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45796</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45796</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45796</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45796</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45796</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45796</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45796</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45796</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45796</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45796</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45796</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45796</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45796</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45796</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45796</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45796</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45796</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45796</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45796</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45796</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45796</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45796</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45796</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45796</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45796</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45796</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45796</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45796</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45796</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45796</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45796</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45796</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45796</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45796</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45796</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45796</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45796</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45796</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45796</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45796</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45796</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45796</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45796</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45796</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45796</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45796</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45796</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45796</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45796</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45796</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45796</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45796</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45796</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45796</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45796</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45796</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45796</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45796</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45796</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45796</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45796</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45796</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45796</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45796</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45796</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45796</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45796</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45796</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45796</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45796</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45796</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45796</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45796</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45796</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45796</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45796</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45796</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45796</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45796</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45796</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45796</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45796</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45796</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45796</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45796</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45796</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45796</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45796</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45796</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45796</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45796</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45796</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45796</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45796</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45796</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45796</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45796</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45796</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45796</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45796</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45796</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45796</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45796</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45796</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45796</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45796</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45796</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60809-2023</t>
        </is>
      </c>
      <c r="B347" s="1" t="n">
        <v>45260</v>
      </c>
      <c r="C347" s="1" t="n">
        <v>45796</v>
      </c>
      <c r="D347" t="inlineStr">
        <is>
          <t>SKÅNE LÄN</t>
        </is>
      </c>
      <c r="E347" t="inlineStr">
        <is>
          <t>TOMELILLA</t>
        </is>
      </c>
      <c r="G347" t="n">
        <v>3.6</v>
      </c>
      <c r="H347" t="n">
        <v>0</v>
      </c>
      <c r="I347" t="n">
        <v>1</v>
      </c>
      <c r="J347" t="n">
        <v>0</v>
      </c>
      <c r="K347" t="n">
        <v>0</v>
      </c>
      <c r="L347" t="n">
        <v>0</v>
      </c>
      <c r="M347" t="n">
        <v>0</v>
      </c>
      <c r="N347" t="n">
        <v>0</v>
      </c>
      <c r="O347" t="n">
        <v>0</v>
      </c>
      <c r="P347" t="n">
        <v>0</v>
      </c>
      <c r="Q347" t="n">
        <v>1</v>
      </c>
      <c r="R347" s="2" t="inlineStr">
        <is>
          <t>Grovticka</t>
        </is>
      </c>
      <c r="S347">
        <f>HYPERLINK("https://klasma.github.io/Logging_1270/artfynd/A 60809-2023 artfynd.xlsx", "A 60809-2023")</f>
        <v/>
      </c>
      <c r="T347">
        <f>HYPERLINK("https://klasma.github.io/Logging_1270/kartor/A 60809-2023 karta.png", "A 60809-2023")</f>
        <v/>
      </c>
      <c r="V347">
        <f>HYPERLINK("https://klasma.github.io/Logging_1270/klagomål/A 60809-2023 FSC-klagomål.docx", "A 60809-2023")</f>
        <v/>
      </c>
      <c r="W347">
        <f>HYPERLINK("https://klasma.github.io/Logging_1270/klagomålsmail/A 60809-2023 FSC-klagomål mail.docx", "A 60809-2023")</f>
        <v/>
      </c>
      <c r="X347">
        <f>HYPERLINK("https://klasma.github.io/Logging_1270/tillsyn/A 60809-2023 tillsynsbegäran.docx", "A 60809-2023")</f>
        <v/>
      </c>
      <c r="Y347">
        <f>HYPERLINK("https://klasma.github.io/Logging_1270/tillsynsmail/A 60809-2023 tillsynsbegäran mail.docx", "A 60809-2023")</f>
        <v/>
      </c>
    </row>
    <row r="348" ht="15" customHeight="1">
      <c r="A348" t="inlineStr">
        <is>
          <t>A 60820-2023</t>
        </is>
      </c>
      <c r="B348" s="1" t="n">
        <v>45260</v>
      </c>
      <c r="C348" s="1" t="n">
        <v>45796</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61690-2023</t>
        </is>
      </c>
      <c r="B349" s="1" t="n">
        <v>45264</v>
      </c>
      <c r="C349" s="1" t="n">
        <v>45796</v>
      </c>
      <c r="D349" t="inlineStr">
        <is>
          <t>SKÅNE LÄN</t>
        </is>
      </c>
      <c r="E349" t="inlineStr">
        <is>
          <t>KLIPPAN</t>
        </is>
      </c>
      <c r="G349" t="n">
        <v>5.5</v>
      </c>
      <c r="H349" t="n">
        <v>1</v>
      </c>
      <c r="I349" t="n">
        <v>0</v>
      </c>
      <c r="J349" t="n">
        <v>1</v>
      </c>
      <c r="K349" t="n">
        <v>0</v>
      </c>
      <c r="L349" t="n">
        <v>0</v>
      </c>
      <c r="M349" t="n">
        <v>0</v>
      </c>
      <c r="N349" t="n">
        <v>0</v>
      </c>
      <c r="O349" t="n">
        <v>1</v>
      </c>
      <c r="P349" t="n">
        <v>0</v>
      </c>
      <c r="Q349" t="n">
        <v>1</v>
      </c>
      <c r="R349" s="2" t="inlineStr">
        <is>
          <t>Entita</t>
        </is>
      </c>
      <c r="S349">
        <f>HYPERLINK("https://klasma.github.io/Logging_1276/artfynd/A 61690-2023 artfynd.xlsx", "A 61690-2023")</f>
        <v/>
      </c>
      <c r="T349">
        <f>HYPERLINK("https://klasma.github.io/Logging_1276/kartor/A 61690-2023 karta.png", "A 61690-2023")</f>
        <v/>
      </c>
      <c r="V349">
        <f>HYPERLINK("https://klasma.github.io/Logging_1276/klagomål/A 61690-2023 FSC-klagomål.docx", "A 61690-2023")</f>
        <v/>
      </c>
      <c r="W349">
        <f>HYPERLINK("https://klasma.github.io/Logging_1276/klagomålsmail/A 61690-2023 FSC-klagomål mail.docx", "A 61690-2023")</f>
        <v/>
      </c>
      <c r="X349">
        <f>HYPERLINK("https://klasma.github.io/Logging_1276/tillsyn/A 61690-2023 tillsynsbegäran.docx", "A 61690-2023")</f>
        <v/>
      </c>
      <c r="Y349">
        <f>HYPERLINK("https://klasma.github.io/Logging_1276/tillsynsmail/A 61690-2023 tillsynsbegäran mail.docx", "A 61690-2023")</f>
        <v/>
      </c>
      <c r="Z349">
        <f>HYPERLINK("https://klasma.github.io/Logging_1276/fåglar/A 61690-2023 prioriterade fågelarter.docx", "A 61690-2023")</f>
        <v/>
      </c>
    </row>
    <row r="350" ht="15" customHeight="1">
      <c r="A350" t="inlineStr">
        <is>
          <t>A 61558-2023</t>
        </is>
      </c>
      <c r="B350" s="1" t="n">
        <v>45265</v>
      </c>
      <c r="C350" s="1" t="n">
        <v>45796</v>
      </c>
      <c r="D350" t="inlineStr">
        <is>
          <t>SKÅNE LÄN</t>
        </is>
      </c>
      <c r="E350" t="inlineStr">
        <is>
          <t>YSTAD</t>
        </is>
      </c>
      <c r="F350" t="inlineStr">
        <is>
          <t>Övriga statliga verk och myndigheter</t>
        </is>
      </c>
      <c r="G350" t="n">
        <v>1.5</v>
      </c>
      <c r="H350" t="n">
        <v>0</v>
      </c>
      <c r="I350" t="n">
        <v>0</v>
      </c>
      <c r="J350" t="n">
        <v>0</v>
      </c>
      <c r="K350" t="n">
        <v>0</v>
      </c>
      <c r="L350" t="n">
        <v>1</v>
      </c>
      <c r="M350" t="n">
        <v>0</v>
      </c>
      <c r="N350" t="n">
        <v>0</v>
      </c>
      <c r="O350" t="n">
        <v>1</v>
      </c>
      <c r="P350" t="n">
        <v>1</v>
      </c>
      <c r="Q350" t="n">
        <v>1</v>
      </c>
      <c r="R350" s="2" t="inlineStr">
        <is>
          <t>Ask</t>
        </is>
      </c>
      <c r="S350">
        <f>HYPERLINK("https://klasma.github.io/Logging_1286/artfynd/A 61558-2023 artfynd.xlsx", "A 61558-2023")</f>
        <v/>
      </c>
      <c r="T350">
        <f>HYPERLINK("https://klasma.github.io/Logging_1286/kartor/A 61558-2023 karta.png", "A 61558-2023")</f>
        <v/>
      </c>
      <c r="V350">
        <f>HYPERLINK("https://klasma.github.io/Logging_1286/klagomål/A 61558-2023 FSC-klagomål.docx", "A 61558-2023")</f>
        <v/>
      </c>
      <c r="W350">
        <f>HYPERLINK("https://klasma.github.io/Logging_1286/klagomålsmail/A 61558-2023 FSC-klagomål mail.docx", "A 61558-2023")</f>
        <v/>
      </c>
      <c r="X350">
        <f>HYPERLINK("https://klasma.github.io/Logging_1286/tillsyn/A 61558-2023 tillsynsbegäran.docx", "A 61558-2023")</f>
        <v/>
      </c>
      <c r="Y350">
        <f>HYPERLINK("https://klasma.github.io/Logging_1286/tillsynsmail/A 61558-2023 tillsynsbegäran mail.docx", "A 61558-2023")</f>
        <v/>
      </c>
    </row>
    <row r="351" ht="15" customHeight="1">
      <c r="A351" t="inlineStr">
        <is>
          <t>A 62140-2023</t>
        </is>
      </c>
      <c r="B351" s="1" t="n">
        <v>45267</v>
      </c>
      <c r="C351" s="1" t="n">
        <v>45796</v>
      </c>
      <c r="D351" t="inlineStr">
        <is>
          <t>SKÅNE LÄN</t>
        </is>
      </c>
      <c r="E351" t="inlineStr">
        <is>
          <t>ÖSTRA GÖINGE</t>
        </is>
      </c>
      <c r="G351" t="n">
        <v>1.5</v>
      </c>
      <c r="H351" t="n">
        <v>1</v>
      </c>
      <c r="I351" t="n">
        <v>0</v>
      </c>
      <c r="J351" t="n">
        <v>0</v>
      </c>
      <c r="K351" t="n">
        <v>0</v>
      </c>
      <c r="L351" t="n">
        <v>0</v>
      </c>
      <c r="M351" t="n">
        <v>0</v>
      </c>
      <c r="N351" t="n">
        <v>0</v>
      </c>
      <c r="O351" t="n">
        <v>0</v>
      </c>
      <c r="P351" t="n">
        <v>0</v>
      </c>
      <c r="Q351" t="n">
        <v>1</v>
      </c>
      <c r="R351" s="2" t="inlineStr">
        <is>
          <t>Grönvit nattviol</t>
        </is>
      </c>
      <c r="S351">
        <f>HYPERLINK("https://klasma.github.io/Logging_1256/artfynd/A 62140-2023 artfynd.xlsx", "A 62140-2023")</f>
        <v/>
      </c>
      <c r="T351">
        <f>HYPERLINK("https://klasma.github.io/Logging_1256/kartor/A 62140-2023 karta.png", "A 62140-2023")</f>
        <v/>
      </c>
      <c r="V351">
        <f>HYPERLINK("https://klasma.github.io/Logging_1256/klagomål/A 62140-2023 FSC-klagomål.docx", "A 62140-2023")</f>
        <v/>
      </c>
      <c r="W351">
        <f>HYPERLINK("https://klasma.github.io/Logging_1256/klagomålsmail/A 62140-2023 FSC-klagomål mail.docx", "A 62140-2023")</f>
        <v/>
      </c>
      <c r="X351">
        <f>HYPERLINK("https://klasma.github.io/Logging_1256/tillsyn/A 62140-2023 tillsynsbegäran.docx", "A 62140-2023")</f>
        <v/>
      </c>
      <c r="Y351">
        <f>HYPERLINK("https://klasma.github.io/Logging_1256/tillsynsmail/A 62140-2023 tillsynsbegäran mail.docx", "A 62140-2023")</f>
        <v/>
      </c>
    </row>
    <row r="352" ht="15" customHeight="1">
      <c r="A352" t="inlineStr">
        <is>
          <t>A 62349-2023</t>
        </is>
      </c>
      <c r="B352" s="1" t="n">
        <v>45267</v>
      </c>
      <c r="C352" s="1" t="n">
        <v>45796</v>
      </c>
      <c r="D352" t="inlineStr">
        <is>
          <t>SKÅNE LÄN</t>
        </is>
      </c>
      <c r="E352" t="inlineStr">
        <is>
          <t>KRISTIANSTAD</t>
        </is>
      </c>
      <c r="F352" t="inlineStr">
        <is>
          <t>Sveaskog</t>
        </is>
      </c>
      <c r="G352" t="n">
        <v>5.3</v>
      </c>
      <c r="H352" t="n">
        <v>1</v>
      </c>
      <c r="I352" t="n">
        <v>0</v>
      </c>
      <c r="J352" t="n">
        <v>0</v>
      </c>
      <c r="K352" t="n">
        <v>0</v>
      </c>
      <c r="L352" t="n">
        <v>0</v>
      </c>
      <c r="M352" t="n">
        <v>0</v>
      </c>
      <c r="N352" t="n">
        <v>0</v>
      </c>
      <c r="O352" t="n">
        <v>0</v>
      </c>
      <c r="P352" t="n">
        <v>0</v>
      </c>
      <c r="Q352" t="n">
        <v>1</v>
      </c>
      <c r="R352" s="2" t="inlineStr">
        <is>
          <t>Nattskärra</t>
        </is>
      </c>
      <c r="S352">
        <f>HYPERLINK("https://klasma.github.io/Logging_1290/artfynd/A 62349-2023 artfynd.xlsx", "A 62349-2023")</f>
        <v/>
      </c>
      <c r="T352">
        <f>HYPERLINK("https://klasma.github.io/Logging_1290/kartor/A 62349-2023 karta.png", "A 62349-2023")</f>
        <v/>
      </c>
      <c r="V352">
        <f>HYPERLINK("https://klasma.github.io/Logging_1290/klagomål/A 62349-2023 FSC-klagomål.docx", "A 62349-2023")</f>
        <v/>
      </c>
      <c r="W352">
        <f>HYPERLINK("https://klasma.github.io/Logging_1290/klagomålsmail/A 62349-2023 FSC-klagomål mail.docx", "A 62349-2023")</f>
        <v/>
      </c>
      <c r="X352">
        <f>HYPERLINK("https://klasma.github.io/Logging_1290/tillsyn/A 62349-2023 tillsynsbegäran.docx", "A 62349-2023")</f>
        <v/>
      </c>
      <c r="Y352">
        <f>HYPERLINK("https://klasma.github.io/Logging_1290/tillsynsmail/A 62349-2023 tillsynsbegäran mail.docx", "A 62349-2023")</f>
        <v/>
      </c>
      <c r="Z352">
        <f>HYPERLINK("https://klasma.github.io/Logging_1290/fåglar/A 62349-2023 prioriterade fågelarter.docx", "A 62349-2023")</f>
        <v/>
      </c>
    </row>
    <row r="353" ht="15" customHeight="1">
      <c r="A353" t="inlineStr">
        <is>
          <t>A 62724-2023</t>
        </is>
      </c>
      <c r="B353" s="1" t="n">
        <v>45271</v>
      </c>
      <c r="C353" s="1" t="n">
        <v>45796</v>
      </c>
      <c r="D353" t="inlineStr">
        <is>
          <t>SKÅNE LÄN</t>
        </is>
      </c>
      <c r="E353" t="inlineStr">
        <is>
          <t>OSBY</t>
        </is>
      </c>
      <c r="G353" t="n">
        <v>3.8</v>
      </c>
      <c r="H353" t="n">
        <v>1</v>
      </c>
      <c r="I353" t="n">
        <v>0</v>
      </c>
      <c r="J353" t="n">
        <v>0</v>
      </c>
      <c r="K353" t="n">
        <v>0</v>
      </c>
      <c r="L353" t="n">
        <v>0</v>
      </c>
      <c r="M353" t="n">
        <v>0</v>
      </c>
      <c r="N353" t="n">
        <v>0</v>
      </c>
      <c r="O353" t="n">
        <v>0</v>
      </c>
      <c r="P353" t="n">
        <v>0</v>
      </c>
      <c r="Q353" t="n">
        <v>1</v>
      </c>
      <c r="R353" s="2" t="inlineStr">
        <is>
          <t>Järnsparv</t>
        </is>
      </c>
      <c r="S353">
        <f>HYPERLINK("https://klasma.github.io/Logging_1273/artfynd/A 62724-2023 artfynd.xlsx", "A 62724-2023")</f>
        <v/>
      </c>
      <c r="T353">
        <f>HYPERLINK("https://klasma.github.io/Logging_1273/kartor/A 62724-2023 karta.png", "A 62724-2023")</f>
        <v/>
      </c>
      <c r="V353">
        <f>HYPERLINK("https://klasma.github.io/Logging_1273/klagomål/A 62724-2023 FSC-klagomål.docx", "A 62724-2023")</f>
        <v/>
      </c>
      <c r="W353">
        <f>HYPERLINK("https://klasma.github.io/Logging_1273/klagomålsmail/A 62724-2023 FSC-klagomål mail.docx", "A 62724-2023")</f>
        <v/>
      </c>
      <c r="X353">
        <f>HYPERLINK("https://klasma.github.io/Logging_1273/tillsyn/A 62724-2023 tillsynsbegäran.docx", "A 62724-2023")</f>
        <v/>
      </c>
      <c r="Y353">
        <f>HYPERLINK("https://klasma.github.io/Logging_1273/tillsynsmail/A 62724-2023 tillsynsbegäran mail.docx", "A 62724-2023")</f>
        <v/>
      </c>
      <c r="Z353">
        <f>HYPERLINK("https://klasma.github.io/Logging_1273/fåglar/A 62724-2023 prioriterade fågelarter.docx", "A 62724-2023")</f>
        <v/>
      </c>
    </row>
    <row r="354" ht="15" customHeight="1">
      <c r="A354" t="inlineStr">
        <is>
          <t>A 64562-2023</t>
        </is>
      </c>
      <c r="B354" s="1" t="n">
        <v>45281</v>
      </c>
      <c r="C354" s="1" t="n">
        <v>45796</v>
      </c>
      <c r="D354" t="inlineStr">
        <is>
          <t>SKÅNE LÄN</t>
        </is>
      </c>
      <c r="E354" t="inlineStr">
        <is>
          <t>ÄNGELHOLM</t>
        </is>
      </c>
      <c r="G354" t="n">
        <v>15</v>
      </c>
      <c r="H354" t="n">
        <v>1</v>
      </c>
      <c r="I354" t="n">
        <v>0</v>
      </c>
      <c r="J354" t="n">
        <v>0</v>
      </c>
      <c r="K354" t="n">
        <v>0</v>
      </c>
      <c r="L354" t="n">
        <v>0</v>
      </c>
      <c r="M354" t="n">
        <v>0</v>
      </c>
      <c r="N354" t="n">
        <v>0</v>
      </c>
      <c r="O354" t="n">
        <v>0</v>
      </c>
      <c r="P354" t="n">
        <v>0</v>
      </c>
      <c r="Q354" t="n">
        <v>1</v>
      </c>
      <c r="R354" s="2" t="inlineStr">
        <is>
          <t>Revlummer</t>
        </is>
      </c>
      <c r="S354">
        <f>HYPERLINK("https://klasma.github.io/Logging_1292/artfynd/A 64562-2023 artfynd.xlsx", "A 64562-2023")</f>
        <v/>
      </c>
      <c r="T354">
        <f>HYPERLINK("https://klasma.github.io/Logging_1292/kartor/A 64562-2023 karta.png", "A 64562-2023")</f>
        <v/>
      </c>
      <c r="V354">
        <f>HYPERLINK("https://klasma.github.io/Logging_1292/klagomål/A 64562-2023 FSC-klagomål.docx", "A 64562-2023")</f>
        <v/>
      </c>
      <c r="W354">
        <f>HYPERLINK("https://klasma.github.io/Logging_1292/klagomålsmail/A 64562-2023 FSC-klagomål mail.docx", "A 64562-2023")</f>
        <v/>
      </c>
      <c r="X354">
        <f>HYPERLINK("https://klasma.github.io/Logging_1292/tillsyn/A 64562-2023 tillsynsbegäran.docx", "A 64562-2023")</f>
        <v/>
      </c>
      <c r="Y354">
        <f>HYPERLINK("https://klasma.github.io/Logging_1292/tillsynsmail/A 64562-2023 tillsynsbegäran mail.docx", "A 64562-2023")</f>
        <v/>
      </c>
    </row>
    <row r="355" ht="15" customHeight="1">
      <c r="A355" t="inlineStr">
        <is>
          <t>A 561-2024</t>
        </is>
      </c>
      <c r="B355" s="1" t="n">
        <v>45299</v>
      </c>
      <c r="C355" s="1" t="n">
        <v>45796</v>
      </c>
      <c r="D355" t="inlineStr">
        <is>
          <t>SKÅNE LÄN</t>
        </is>
      </c>
      <c r="E355" t="inlineStr">
        <is>
          <t>TOMELILLA</t>
        </is>
      </c>
      <c r="F355" t="inlineStr">
        <is>
          <t>Övriga Aktiebolag</t>
        </is>
      </c>
      <c r="G355" t="n">
        <v>22.1</v>
      </c>
      <c r="H355" t="n">
        <v>1</v>
      </c>
      <c r="I355" t="n">
        <v>0</v>
      </c>
      <c r="J355" t="n">
        <v>0</v>
      </c>
      <c r="K355" t="n">
        <v>0</v>
      </c>
      <c r="L355" t="n">
        <v>0</v>
      </c>
      <c r="M355" t="n">
        <v>0</v>
      </c>
      <c r="N355" t="n">
        <v>0</v>
      </c>
      <c r="O355" t="n">
        <v>0</v>
      </c>
      <c r="P355" t="n">
        <v>0</v>
      </c>
      <c r="Q355" t="n">
        <v>1</v>
      </c>
      <c r="R355" s="2" t="inlineStr">
        <is>
          <t>Vanlig snok</t>
        </is>
      </c>
      <c r="S355">
        <f>HYPERLINK("https://klasma.github.io/Logging_1270/artfynd/A 561-2024 artfynd.xlsx", "A 561-2024")</f>
        <v/>
      </c>
      <c r="T355">
        <f>HYPERLINK("https://klasma.github.io/Logging_1270/kartor/A 561-2024 karta.png", "A 561-2024")</f>
        <v/>
      </c>
      <c r="V355">
        <f>HYPERLINK("https://klasma.github.io/Logging_1270/klagomål/A 561-2024 FSC-klagomål.docx", "A 561-2024")</f>
        <v/>
      </c>
      <c r="W355">
        <f>HYPERLINK("https://klasma.github.io/Logging_1270/klagomålsmail/A 561-2024 FSC-klagomål mail.docx", "A 561-2024")</f>
        <v/>
      </c>
      <c r="X355">
        <f>HYPERLINK("https://klasma.github.io/Logging_1270/tillsyn/A 561-2024 tillsynsbegäran.docx", "A 561-2024")</f>
        <v/>
      </c>
      <c r="Y355">
        <f>HYPERLINK("https://klasma.github.io/Logging_1270/tillsynsmail/A 561-2024 tillsynsbegäran mail.docx", "A 561-2024")</f>
        <v/>
      </c>
    </row>
    <row r="356" ht="15" customHeight="1">
      <c r="A356" t="inlineStr">
        <is>
          <t>A 756-2024</t>
        </is>
      </c>
      <c r="B356" s="1" t="n">
        <v>45300</v>
      </c>
      <c r="C356" s="1" t="n">
        <v>45796</v>
      </c>
      <c r="D356" t="inlineStr">
        <is>
          <t>SKÅNE LÄN</t>
        </is>
      </c>
      <c r="E356" t="inlineStr">
        <is>
          <t>TOMELILLA</t>
        </is>
      </c>
      <c r="F356" t="inlineStr">
        <is>
          <t>Övriga Aktiebolag</t>
        </is>
      </c>
      <c r="G356" t="n">
        <v>13.1</v>
      </c>
      <c r="H356" t="n">
        <v>0</v>
      </c>
      <c r="I356" t="n">
        <v>0</v>
      </c>
      <c r="J356" t="n">
        <v>1</v>
      </c>
      <c r="K356" t="n">
        <v>0</v>
      </c>
      <c r="L356" t="n">
        <v>0</v>
      </c>
      <c r="M356" t="n">
        <v>0</v>
      </c>
      <c r="N356" t="n">
        <v>0</v>
      </c>
      <c r="O356" t="n">
        <v>1</v>
      </c>
      <c r="P356" t="n">
        <v>0</v>
      </c>
      <c r="Q356" t="n">
        <v>1</v>
      </c>
      <c r="R356" s="2" t="inlineStr">
        <is>
          <t>Borsttåg</t>
        </is>
      </c>
      <c r="S356">
        <f>HYPERLINK("https://klasma.github.io/Logging_1270/artfynd/A 756-2024 artfynd.xlsx", "A 756-2024")</f>
        <v/>
      </c>
      <c r="T356">
        <f>HYPERLINK("https://klasma.github.io/Logging_1270/kartor/A 756-2024 karta.png", "A 756-2024")</f>
        <v/>
      </c>
      <c r="V356">
        <f>HYPERLINK("https://klasma.github.io/Logging_1270/klagomål/A 756-2024 FSC-klagomål.docx", "A 756-2024")</f>
        <v/>
      </c>
      <c r="W356">
        <f>HYPERLINK("https://klasma.github.io/Logging_1270/klagomålsmail/A 756-2024 FSC-klagomål mail.docx", "A 756-2024")</f>
        <v/>
      </c>
      <c r="X356">
        <f>HYPERLINK("https://klasma.github.io/Logging_1270/tillsyn/A 756-2024 tillsynsbegäran.docx", "A 756-2024")</f>
        <v/>
      </c>
      <c r="Y356">
        <f>HYPERLINK("https://klasma.github.io/Logging_1270/tillsynsmail/A 756-2024 tillsynsbegäran mail.docx", "A 756-2024")</f>
        <v/>
      </c>
    </row>
    <row r="357" ht="15" customHeight="1">
      <c r="A357" t="inlineStr">
        <is>
          <t>A 951-2024</t>
        </is>
      </c>
      <c r="B357" s="1" t="n">
        <v>45301</v>
      </c>
      <c r="C357" s="1" t="n">
        <v>45796</v>
      </c>
      <c r="D357" t="inlineStr">
        <is>
          <t>SKÅNE LÄN</t>
        </is>
      </c>
      <c r="E357" t="inlineStr">
        <is>
          <t>SIMRISHAMN</t>
        </is>
      </c>
      <c r="F357" t="inlineStr">
        <is>
          <t>Övriga Aktiebolag</t>
        </is>
      </c>
      <c r="G357" t="n">
        <v>28.1</v>
      </c>
      <c r="H357" t="n">
        <v>1</v>
      </c>
      <c r="I357" t="n">
        <v>0</v>
      </c>
      <c r="J357" t="n">
        <v>0</v>
      </c>
      <c r="K357" t="n">
        <v>0</v>
      </c>
      <c r="L357" t="n">
        <v>0</v>
      </c>
      <c r="M357" t="n">
        <v>0</v>
      </c>
      <c r="N357" t="n">
        <v>0</v>
      </c>
      <c r="O357" t="n">
        <v>0</v>
      </c>
      <c r="P357" t="n">
        <v>0</v>
      </c>
      <c r="Q357" t="n">
        <v>1</v>
      </c>
      <c r="R357" s="2" t="inlineStr">
        <is>
          <t>Dvärgpipistrell</t>
        </is>
      </c>
      <c r="S357">
        <f>HYPERLINK("https://klasma.github.io/Logging_1291/artfynd/A 951-2024 artfynd.xlsx", "A 951-2024")</f>
        <v/>
      </c>
      <c r="T357">
        <f>HYPERLINK("https://klasma.github.io/Logging_1291/kartor/A 951-2024 karta.png", "A 951-2024")</f>
        <v/>
      </c>
      <c r="V357">
        <f>HYPERLINK("https://klasma.github.io/Logging_1291/klagomål/A 951-2024 FSC-klagomål.docx", "A 951-2024")</f>
        <v/>
      </c>
      <c r="W357">
        <f>HYPERLINK("https://klasma.github.io/Logging_1291/klagomålsmail/A 951-2024 FSC-klagomål mail.docx", "A 951-2024")</f>
        <v/>
      </c>
      <c r="X357">
        <f>HYPERLINK("https://klasma.github.io/Logging_1291/tillsyn/A 951-2024 tillsynsbegäran.docx", "A 951-2024")</f>
        <v/>
      </c>
      <c r="Y357">
        <f>HYPERLINK("https://klasma.github.io/Logging_1291/tillsynsmail/A 951-2024 tillsynsbegäran mail.docx", "A 951-2024")</f>
        <v/>
      </c>
    </row>
    <row r="358" ht="15" customHeight="1">
      <c r="A358" t="inlineStr">
        <is>
          <t>A 1188-2024</t>
        </is>
      </c>
      <c r="B358" s="1" t="n">
        <v>45302</v>
      </c>
      <c r="C358" s="1" t="n">
        <v>45796</v>
      </c>
      <c r="D358" t="inlineStr">
        <is>
          <t>SKÅNE LÄN</t>
        </is>
      </c>
      <c r="E358" t="inlineStr">
        <is>
          <t>KRISTIANSTAD</t>
        </is>
      </c>
      <c r="G358" t="n">
        <v>6.1</v>
      </c>
      <c r="H358" t="n">
        <v>1</v>
      </c>
      <c r="I358" t="n">
        <v>0</v>
      </c>
      <c r="J358" t="n">
        <v>0</v>
      </c>
      <c r="K358" t="n">
        <v>1</v>
      </c>
      <c r="L358" t="n">
        <v>0</v>
      </c>
      <c r="M358" t="n">
        <v>0</v>
      </c>
      <c r="N358" t="n">
        <v>0</v>
      </c>
      <c r="O358" t="n">
        <v>1</v>
      </c>
      <c r="P358" t="n">
        <v>1</v>
      </c>
      <c r="Q358" t="n">
        <v>1</v>
      </c>
      <c r="R358" s="2" t="inlineStr">
        <is>
          <t>Backsippa</t>
        </is>
      </c>
      <c r="S358">
        <f>HYPERLINK("https://klasma.github.io/Logging_1290/artfynd/A 1188-2024 artfynd.xlsx", "A 1188-2024")</f>
        <v/>
      </c>
      <c r="T358">
        <f>HYPERLINK("https://klasma.github.io/Logging_1290/kartor/A 1188-2024 karta.png", "A 1188-2024")</f>
        <v/>
      </c>
      <c r="V358">
        <f>HYPERLINK("https://klasma.github.io/Logging_1290/klagomål/A 1188-2024 FSC-klagomål.docx", "A 1188-2024")</f>
        <v/>
      </c>
      <c r="W358">
        <f>HYPERLINK("https://klasma.github.io/Logging_1290/klagomålsmail/A 1188-2024 FSC-klagomål mail.docx", "A 1188-2024")</f>
        <v/>
      </c>
      <c r="X358">
        <f>HYPERLINK("https://klasma.github.io/Logging_1290/tillsyn/A 1188-2024 tillsynsbegäran.docx", "A 1188-2024")</f>
        <v/>
      </c>
      <c r="Y358">
        <f>HYPERLINK("https://klasma.github.io/Logging_1290/tillsynsmail/A 1188-2024 tillsynsbegäran mail.docx", "A 1188-2024")</f>
        <v/>
      </c>
    </row>
    <row r="359" ht="15" customHeight="1">
      <c r="A359" t="inlineStr">
        <is>
          <t>A 1418-2024</t>
        </is>
      </c>
      <c r="B359" s="1" t="n">
        <v>45303</v>
      </c>
      <c r="C359" s="1" t="n">
        <v>45796</v>
      </c>
      <c r="D359" t="inlineStr">
        <is>
          <t>SKÅNE LÄN</t>
        </is>
      </c>
      <c r="E359" t="inlineStr">
        <is>
          <t>KRISTIANSTAD</t>
        </is>
      </c>
      <c r="F359" t="inlineStr">
        <is>
          <t>Övriga Aktiebolag</t>
        </is>
      </c>
      <c r="G359" t="n">
        <v>0.7</v>
      </c>
      <c r="H359" t="n">
        <v>0</v>
      </c>
      <c r="I359" t="n">
        <v>0</v>
      </c>
      <c r="J359" t="n">
        <v>1</v>
      </c>
      <c r="K359" t="n">
        <v>0</v>
      </c>
      <c r="L359" t="n">
        <v>0</v>
      </c>
      <c r="M359" t="n">
        <v>0</v>
      </c>
      <c r="N359" t="n">
        <v>0</v>
      </c>
      <c r="O359" t="n">
        <v>1</v>
      </c>
      <c r="P359" t="n">
        <v>0</v>
      </c>
      <c r="Q359" t="n">
        <v>1</v>
      </c>
      <c r="R359" s="2" t="inlineStr">
        <is>
          <t>Gropticka</t>
        </is>
      </c>
      <c r="S359">
        <f>HYPERLINK("https://klasma.github.io/Logging_1290/artfynd/A 1418-2024 artfynd.xlsx", "A 1418-2024")</f>
        <v/>
      </c>
      <c r="T359">
        <f>HYPERLINK("https://klasma.github.io/Logging_1290/kartor/A 1418-2024 karta.png", "A 1418-2024")</f>
        <v/>
      </c>
      <c r="V359">
        <f>HYPERLINK("https://klasma.github.io/Logging_1290/klagomål/A 1418-2024 FSC-klagomål.docx", "A 1418-2024")</f>
        <v/>
      </c>
      <c r="W359">
        <f>HYPERLINK("https://klasma.github.io/Logging_1290/klagomålsmail/A 1418-2024 FSC-klagomål mail.docx", "A 1418-2024")</f>
        <v/>
      </c>
      <c r="X359">
        <f>HYPERLINK("https://klasma.github.io/Logging_1290/tillsyn/A 1418-2024 tillsynsbegäran.docx", "A 1418-2024")</f>
        <v/>
      </c>
      <c r="Y359">
        <f>HYPERLINK("https://klasma.github.io/Logging_1290/tillsynsmail/A 1418-2024 tillsynsbegäran mail.docx", "A 1418-2024")</f>
        <v/>
      </c>
    </row>
    <row r="360" ht="15" customHeight="1">
      <c r="A360" t="inlineStr">
        <is>
          <t>A 1510-2024</t>
        </is>
      </c>
      <c r="B360" s="1" t="n">
        <v>45306</v>
      </c>
      <c r="C360" s="1" t="n">
        <v>45796</v>
      </c>
      <c r="D360" t="inlineStr">
        <is>
          <t>SKÅNE LÄN</t>
        </is>
      </c>
      <c r="E360" t="inlineStr">
        <is>
          <t>ESLÖV</t>
        </is>
      </c>
      <c r="G360" t="n">
        <v>3.7</v>
      </c>
      <c r="H360" t="n">
        <v>1</v>
      </c>
      <c r="I360" t="n">
        <v>0</v>
      </c>
      <c r="J360" t="n">
        <v>0</v>
      </c>
      <c r="K360" t="n">
        <v>0</v>
      </c>
      <c r="L360" t="n">
        <v>0</v>
      </c>
      <c r="M360" t="n">
        <v>0</v>
      </c>
      <c r="N360" t="n">
        <v>1</v>
      </c>
      <c r="O360" t="n">
        <v>1</v>
      </c>
      <c r="P360" t="n">
        <v>0</v>
      </c>
      <c r="Q360" t="n">
        <v>1</v>
      </c>
      <c r="R360" s="2" t="inlineStr">
        <is>
          <t>Svart stork</t>
        </is>
      </c>
      <c r="S360">
        <f>HYPERLINK("https://klasma.github.io/Logging_1285/artfynd/A 1510-2024 artfynd.xlsx", "A 1510-2024")</f>
        <v/>
      </c>
      <c r="T360">
        <f>HYPERLINK("https://klasma.github.io/Logging_1285/kartor/A 1510-2024 karta.png", "A 1510-2024")</f>
        <v/>
      </c>
      <c r="V360">
        <f>HYPERLINK("https://klasma.github.io/Logging_1285/klagomål/A 1510-2024 FSC-klagomål.docx", "A 1510-2024")</f>
        <v/>
      </c>
      <c r="W360">
        <f>HYPERLINK("https://klasma.github.io/Logging_1285/klagomålsmail/A 1510-2024 FSC-klagomål mail.docx", "A 1510-2024")</f>
        <v/>
      </c>
      <c r="X360">
        <f>HYPERLINK("https://klasma.github.io/Logging_1285/tillsyn/A 1510-2024 tillsynsbegäran.docx", "A 1510-2024")</f>
        <v/>
      </c>
      <c r="Y360">
        <f>HYPERLINK("https://klasma.github.io/Logging_1285/tillsynsmail/A 1510-2024 tillsynsbegäran mail.docx", "A 1510-2024")</f>
        <v/>
      </c>
      <c r="Z360">
        <f>HYPERLINK("https://klasma.github.io/Logging_1285/fåglar/A 1510-2024 prioriterade fågelarter.docx", "A 1510-2024")</f>
        <v/>
      </c>
    </row>
    <row r="361" ht="15" customHeight="1">
      <c r="A361" t="inlineStr">
        <is>
          <t>A 1577-2024</t>
        </is>
      </c>
      <c r="B361" s="1" t="n">
        <v>45306</v>
      </c>
      <c r="C361" s="1" t="n">
        <v>45796</v>
      </c>
      <c r="D361" t="inlineStr">
        <is>
          <t>SKÅNE LÄN</t>
        </is>
      </c>
      <c r="E361" t="inlineStr">
        <is>
          <t>SVALÖV</t>
        </is>
      </c>
      <c r="G361" t="n">
        <v>21.2</v>
      </c>
      <c r="H361" t="n">
        <v>1</v>
      </c>
      <c r="I361" t="n">
        <v>0</v>
      </c>
      <c r="J361" t="n">
        <v>0</v>
      </c>
      <c r="K361" t="n">
        <v>0</v>
      </c>
      <c r="L361" t="n">
        <v>0</v>
      </c>
      <c r="M361" t="n">
        <v>0</v>
      </c>
      <c r="N361" t="n">
        <v>0</v>
      </c>
      <c r="O361" t="n">
        <v>0</v>
      </c>
      <c r="P361" t="n">
        <v>0</v>
      </c>
      <c r="Q361" t="n">
        <v>1</v>
      </c>
      <c r="R361" s="2" t="inlineStr">
        <is>
          <t>Större vattensalamander</t>
        </is>
      </c>
      <c r="S361">
        <f>HYPERLINK("https://klasma.github.io/Logging_1214/artfynd/A 1577-2024 artfynd.xlsx", "A 1577-2024")</f>
        <v/>
      </c>
      <c r="T361">
        <f>HYPERLINK("https://klasma.github.io/Logging_1214/kartor/A 1577-2024 karta.png", "A 1577-2024")</f>
        <v/>
      </c>
      <c r="V361">
        <f>HYPERLINK("https://klasma.github.io/Logging_1214/klagomål/A 1577-2024 FSC-klagomål.docx", "A 1577-2024")</f>
        <v/>
      </c>
      <c r="W361">
        <f>HYPERLINK("https://klasma.github.io/Logging_1214/klagomålsmail/A 1577-2024 FSC-klagomål mail.docx", "A 1577-2024")</f>
        <v/>
      </c>
      <c r="X361">
        <f>HYPERLINK("https://klasma.github.io/Logging_1214/tillsyn/A 1577-2024 tillsynsbegäran.docx", "A 1577-2024")</f>
        <v/>
      </c>
      <c r="Y361">
        <f>HYPERLINK("https://klasma.github.io/Logging_1214/tillsynsmail/A 1577-2024 tillsynsbegäran mail.docx", "A 1577-2024")</f>
        <v/>
      </c>
    </row>
    <row r="362" ht="15" customHeight="1">
      <c r="A362" t="inlineStr">
        <is>
          <t>A 1782-2024</t>
        </is>
      </c>
      <c r="B362" s="1" t="n">
        <v>45307</v>
      </c>
      <c r="C362" s="1" t="n">
        <v>45796</v>
      </c>
      <c r="D362" t="inlineStr">
        <is>
          <t>SKÅNE LÄN</t>
        </is>
      </c>
      <c r="E362" t="inlineStr">
        <is>
          <t>BÅSTAD</t>
        </is>
      </c>
      <c r="G362" t="n">
        <v>2.7</v>
      </c>
      <c r="H362" t="n">
        <v>1</v>
      </c>
      <c r="I362" t="n">
        <v>0</v>
      </c>
      <c r="J362" t="n">
        <v>0</v>
      </c>
      <c r="K362" t="n">
        <v>0</v>
      </c>
      <c r="L362" t="n">
        <v>0</v>
      </c>
      <c r="M362" t="n">
        <v>0</v>
      </c>
      <c r="N362" t="n">
        <v>0</v>
      </c>
      <c r="O362" t="n">
        <v>0</v>
      </c>
      <c r="P362" t="n">
        <v>0</v>
      </c>
      <c r="Q362" t="n">
        <v>1</v>
      </c>
      <c r="R362" s="2" t="inlineStr">
        <is>
          <t>Grönvit nattviol</t>
        </is>
      </c>
      <c r="S362">
        <f>HYPERLINK("https://klasma.github.io/Logging_1278/artfynd/A 1782-2024 artfynd.xlsx", "A 1782-2024")</f>
        <v/>
      </c>
      <c r="T362">
        <f>HYPERLINK("https://klasma.github.io/Logging_1278/kartor/A 1782-2024 karta.png", "A 1782-2024")</f>
        <v/>
      </c>
      <c r="V362">
        <f>HYPERLINK("https://klasma.github.io/Logging_1278/klagomål/A 1782-2024 FSC-klagomål.docx", "A 1782-2024")</f>
        <v/>
      </c>
      <c r="W362">
        <f>HYPERLINK("https://klasma.github.io/Logging_1278/klagomålsmail/A 1782-2024 FSC-klagomål mail.docx", "A 1782-2024")</f>
        <v/>
      </c>
      <c r="X362">
        <f>HYPERLINK("https://klasma.github.io/Logging_1278/tillsyn/A 1782-2024 tillsynsbegäran.docx", "A 1782-2024")</f>
        <v/>
      </c>
      <c r="Y362">
        <f>HYPERLINK("https://klasma.github.io/Logging_1278/tillsynsmail/A 1782-2024 tillsynsbegäran mail.docx", "A 1782-2024")</f>
        <v/>
      </c>
    </row>
    <row r="363" ht="15" customHeight="1">
      <c r="A363" t="inlineStr">
        <is>
          <t>A 2942-2024</t>
        </is>
      </c>
      <c r="B363" s="1" t="n">
        <v>45315</v>
      </c>
      <c r="C363" s="1" t="n">
        <v>45796</v>
      </c>
      <c r="D363" t="inlineStr">
        <is>
          <t>SKÅNE LÄN</t>
        </is>
      </c>
      <c r="E363" t="inlineStr">
        <is>
          <t>HÖÖR</t>
        </is>
      </c>
      <c r="G363" t="n">
        <v>11.2</v>
      </c>
      <c r="H363" t="n">
        <v>1</v>
      </c>
      <c r="I363" t="n">
        <v>0</v>
      </c>
      <c r="J363" t="n">
        <v>0</v>
      </c>
      <c r="K363" t="n">
        <v>0</v>
      </c>
      <c r="L363" t="n">
        <v>0</v>
      </c>
      <c r="M363" t="n">
        <v>0</v>
      </c>
      <c r="N363" t="n">
        <v>0</v>
      </c>
      <c r="O363" t="n">
        <v>0</v>
      </c>
      <c r="P363" t="n">
        <v>0</v>
      </c>
      <c r="Q363" t="n">
        <v>1</v>
      </c>
      <c r="R363" s="2" t="inlineStr">
        <is>
          <t>Revlummer</t>
        </is>
      </c>
      <c r="S363">
        <f>HYPERLINK("https://klasma.github.io/Logging_1267/artfynd/A 2942-2024 artfynd.xlsx", "A 2942-2024")</f>
        <v/>
      </c>
      <c r="T363">
        <f>HYPERLINK("https://klasma.github.io/Logging_1267/kartor/A 2942-2024 karta.png", "A 2942-2024")</f>
        <v/>
      </c>
      <c r="V363">
        <f>HYPERLINK("https://klasma.github.io/Logging_1267/klagomål/A 2942-2024 FSC-klagomål.docx", "A 2942-2024")</f>
        <v/>
      </c>
      <c r="W363">
        <f>HYPERLINK("https://klasma.github.io/Logging_1267/klagomålsmail/A 2942-2024 FSC-klagomål mail.docx", "A 2942-2024")</f>
        <v/>
      </c>
      <c r="X363">
        <f>HYPERLINK("https://klasma.github.io/Logging_1267/tillsyn/A 2942-2024 tillsynsbegäran.docx", "A 2942-2024")</f>
        <v/>
      </c>
      <c r="Y363">
        <f>HYPERLINK("https://klasma.github.io/Logging_1267/tillsynsmail/A 2942-2024 tillsynsbegäran mail.docx", "A 2942-2024")</f>
        <v/>
      </c>
    </row>
    <row r="364" ht="15" customHeight="1">
      <c r="A364" t="inlineStr">
        <is>
          <t>A 3401-2024</t>
        </is>
      </c>
      <c r="B364" s="1" t="n">
        <v>45318</v>
      </c>
      <c r="C364" s="1" t="n">
        <v>45796</v>
      </c>
      <c r="D364" t="inlineStr">
        <is>
          <t>SKÅNE LÄN</t>
        </is>
      </c>
      <c r="E364" t="inlineStr">
        <is>
          <t>SIMRISHAMN</t>
        </is>
      </c>
      <c r="G364" t="n">
        <v>6.8</v>
      </c>
      <c r="H364" t="n">
        <v>0</v>
      </c>
      <c r="I364" t="n">
        <v>0</v>
      </c>
      <c r="J364" t="n">
        <v>1</v>
      </c>
      <c r="K364" t="n">
        <v>0</v>
      </c>
      <c r="L364" t="n">
        <v>0</v>
      </c>
      <c r="M364" t="n">
        <v>0</v>
      </c>
      <c r="N364" t="n">
        <v>0</v>
      </c>
      <c r="O364" t="n">
        <v>1</v>
      </c>
      <c r="P364" t="n">
        <v>0</v>
      </c>
      <c r="Q364" t="n">
        <v>1</v>
      </c>
      <c r="R364" s="2" t="inlineStr">
        <is>
          <t>Borsttåg</t>
        </is>
      </c>
      <c r="S364">
        <f>HYPERLINK("https://klasma.github.io/Logging_1291/artfynd/A 3401-2024 artfynd.xlsx", "A 3401-2024")</f>
        <v/>
      </c>
      <c r="T364">
        <f>HYPERLINK("https://klasma.github.io/Logging_1291/kartor/A 3401-2024 karta.png", "A 3401-2024")</f>
        <v/>
      </c>
      <c r="V364">
        <f>HYPERLINK("https://klasma.github.io/Logging_1291/klagomål/A 3401-2024 FSC-klagomål.docx", "A 3401-2024")</f>
        <v/>
      </c>
      <c r="W364">
        <f>HYPERLINK("https://klasma.github.io/Logging_1291/klagomålsmail/A 3401-2024 FSC-klagomål mail.docx", "A 3401-2024")</f>
        <v/>
      </c>
      <c r="X364">
        <f>HYPERLINK("https://klasma.github.io/Logging_1291/tillsyn/A 3401-2024 tillsynsbegäran.docx", "A 3401-2024")</f>
        <v/>
      </c>
      <c r="Y364">
        <f>HYPERLINK("https://klasma.github.io/Logging_1291/tillsynsmail/A 3401-2024 tillsynsbegäran mail.docx", "A 3401-2024")</f>
        <v/>
      </c>
    </row>
    <row r="365" ht="15" customHeight="1">
      <c r="A365" t="inlineStr">
        <is>
          <t>A 3954-2024</t>
        </is>
      </c>
      <c r="B365" s="1" t="n">
        <v>45322</v>
      </c>
      <c r="C365" s="1" t="n">
        <v>45796</v>
      </c>
      <c r="D365" t="inlineStr">
        <is>
          <t>SKÅNE LÄN</t>
        </is>
      </c>
      <c r="E365" t="inlineStr">
        <is>
          <t>KRISTIANSTAD</t>
        </is>
      </c>
      <c r="G365" t="n">
        <v>1.2</v>
      </c>
      <c r="H365" t="n">
        <v>0</v>
      </c>
      <c r="I365" t="n">
        <v>0</v>
      </c>
      <c r="J365" t="n">
        <v>0</v>
      </c>
      <c r="K365" t="n">
        <v>1</v>
      </c>
      <c r="L365" t="n">
        <v>0</v>
      </c>
      <c r="M365" t="n">
        <v>0</v>
      </c>
      <c r="N365" t="n">
        <v>0</v>
      </c>
      <c r="O365" t="n">
        <v>1</v>
      </c>
      <c r="P365" t="n">
        <v>1</v>
      </c>
      <c r="Q365" t="n">
        <v>1</v>
      </c>
      <c r="R365" s="2" t="inlineStr">
        <is>
          <t>Slåttergubbe</t>
        </is>
      </c>
      <c r="S365">
        <f>HYPERLINK("https://klasma.github.io/Logging_1290/artfynd/A 3954-2024 artfynd.xlsx", "A 3954-2024")</f>
        <v/>
      </c>
      <c r="T365">
        <f>HYPERLINK("https://klasma.github.io/Logging_1290/kartor/A 3954-2024 karta.png", "A 3954-2024")</f>
        <v/>
      </c>
      <c r="V365">
        <f>HYPERLINK("https://klasma.github.io/Logging_1290/klagomål/A 3954-2024 FSC-klagomål.docx", "A 3954-2024")</f>
        <v/>
      </c>
      <c r="W365">
        <f>HYPERLINK("https://klasma.github.io/Logging_1290/klagomålsmail/A 3954-2024 FSC-klagomål mail.docx", "A 3954-2024")</f>
        <v/>
      </c>
      <c r="X365">
        <f>HYPERLINK("https://klasma.github.io/Logging_1290/tillsyn/A 3954-2024 tillsynsbegäran.docx", "A 3954-2024")</f>
        <v/>
      </c>
      <c r="Y365">
        <f>HYPERLINK("https://klasma.github.io/Logging_1290/tillsynsmail/A 3954-2024 tillsynsbegäran mail.docx", "A 3954-2024")</f>
        <v/>
      </c>
    </row>
    <row r="366" ht="15" customHeight="1">
      <c r="A366" t="inlineStr">
        <is>
          <t>A 4443-2024</t>
        </is>
      </c>
      <c r="B366" s="1" t="n">
        <v>45324</v>
      </c>
      <c r="C366" s="1" t="n">
        <v>45796</v>
      </c>
      <c r="D366" t="inlineStr">
        <is>
          <t>SKÅNE LÄN</t>
        </is>
      </c>
      <c r="E366" t="inlineStr">
        <is>
          <t>HÖÖR</t>
        </is>
      </c>
      <c r="G366" t="n">
        <v>6.5</v>
      </c>
      <c r="H366" t="n">
        <v>0</v>
      </c>
      <c r="I366" t="n">
        <v>0</v>
      </c>
      <c r="J366" t="n">
        <v>0</v>
      </c>
      <c r="K366" t="n">
        <v>1</v>
      </c>
      <c r="L366" t="n">
        <v>0</v>
      </c>
      <c r="M366" t="n">
        <v>0</v>
      </c>
      <c r="N366" t="n">
        <v>0</v>
      </c>
      <c r="O366" t="n">
        <v>1</v>
      </c>
      <c r="P366" t="n">
        <v>1</v>
      </c>
      <c r="Q366" t="n">
        <v>1</v>
      </c>
      <c r="R366" s="2" t="inlineStr">
        <is>
          <t>Småvänderot</t>
        </is>
      </c>
      <c r="S366">
        <f>HYPERLINK("https://klasma.github.io/Logging_1267/artfynd/A 4443-2024 artfynd.xlsx", "A 4443-2024")</f>
        <v/>
      </c>
      <c r="T366">
        <f>HYPERLINK("https://klasma.github.io/Logging_1267/kartor/A 4443-2024 karta.png", "A 4443-2024")</f>
        <v/>
      </c>
      <c r="V366">
        <f>HYPERLINK("https://klasma.github.io/Logging_1267/klagomål/A 4443-2024 FSC-klagomål.docx", "A 4443-2024")</f>
        <v/>
      </c>
      <c r="W366">
        <f>HYPERLINK("https://klasma.github.io/Logging_1267/klagomålsmail/A 4443-2024 FSC-klagomål mail.docx", "A 4443-2024")</f>
        <v/>
      </c>
      <c r="X366">
        <f>HYPERLINK("https://klasma.github.io/Logging_1267/tillsyn/A 4443-2024 tillsynsbegäran.docx", "A 4443-2024")</f>
        <v/>
      </c>
      <c r="Y366">
        <f>HYPERLINK("https://klasma.github.io/Logging_1267/tillsynsmail/A 4443-2024 tillsynsbegäran mail.docx", "A 4443-2024")</f>
        <v/>
      </c>
    </row>
    <row r="367" ht="15" customHeight="1">
      <c r="A367" t="inlineStr">
        <is>
          <t>A 5423-2024</t>
        </is>
      </c>
      <c r="B367" s="1" t="n">
        <v>45331</v>
      </c>
      <c r="C367" s="1" t="n">
        <v>45796</v>
      </c>
      <c r="D367" t="inlineStr">
        <is>
          <t>SKÅNE LÄN</t>
        </is>
      </c>
      <c r="E367" t="inlineStr">
        <is>
          <t>HÖÖR</t>
        </is>
      </c>
      <c r="G367" t="n">
        <v>6.2</v>
      </c>
      <c r="H367" t="n">
        <v>0</v>
      </c>
      <c r="I367" t="n">
        <v>0</v>
      </c>
      <c r="J367" t="n">
        <v>1</v>
      </c>
      <c r="K367" t="n">
        <v>0</v>
      </c>
      <c r="L367" t="n">
        <v>0</v>
      </c>
      <c r="M367" t="n">
        <v>0</v>
      </c>
      <c r="N367" t="n">
        <v>0</v>
      </c>
      <c r="O367" t="n">
        <v>1</v>
      </c>
      <c r="P367" t="n">
        <v>0</v>
      </c>
      <c r="Q367" t="n">
        <v>1</v>
      </c>
      <c r="R367" s="2" t="inlineStr">
        <is>
          <t>Igelkott</t>
        </is>
      </c>
      <c r="S367">
        <f>HYPERLINK("https://klasma.github.io/Logging_1267/artfynd/A 5423-2024 artfynd.xlsx", "A 5423-2024")</f>
        <v/>
      </c>
      <c r="T367">
        <f>HYPERLINK("https://klasma.github.io/Logging_1267/kartor/A 5423-2024 karta.png", "A 5423-2024")</f>
        <v/>
      </c>
      <c r="V367">
        <f>HYPERLINK("https://klasma.github.io/Logging_1267/klagomål/A 5423-2024 FSC-klagomål.docx", "A 5423-2024")</f>
        <v/>
      </c>
      <c r="W367">
        <f>HYPERLINK("https://klasma.github.io/Logging_1267/klagomålsmail/A 5423-2024 FSC-klagomål mail.docx", "A 5423-2024")</f>
        <v/>
      </c>
      <c r="X367">
        <f>HYPERLINK("https://klasma.github.io/Logging_1267/tillsyn/A 5423-2024 tillsynsbegäran.docx", "A 5423-2024")</f>
        <v/>
      </c>
      <c r="Y367">
        <f>HYPERLINK("https://klasma.github.io/Logging_1267/tillsynsmail/A 5423-2024 tillsynsbegäran mail.docx", "A 5423-2024")</f>
        <v/>
      </c>
    </row>
    <row r="368" ht="15" customHeight="1">
      <c r="A368" t="inlineStr">
        <is>
          <t>A 6245-2024</t>
        </is>
      </c>
      <c r="B368" s="1" t="n">
        <v>45337</v>
      </c>
      <c r="C368" s="1" t="n">
        <v>45796</v>
      </c>
      <c r="D368" t="inlineStr">
        <is>
          <t>SKÅNE LÄN</t>
        </is>
      </c>
      <c r="E368" t="inlineStr">
        <is>
          <t>KRISTIANSTAD</t>
        </is>
      </c>
      <c r="F368" t="inlineStr">
        <is>
          <t>Övriga Aktiebolag</t>
        </is>
      </c>
      <c r="G368" t="n">
        <v>8.699999999999999</v>
      </c>
      <c r="H368" t="n">
        <v>0</v>
      </c>
      <c r="I368" t="n">
        <v>0</v>
      </c>
      <c r="J368" t="n">
        <v>0</v>
      </c>
      <c r="K368" t="n">
        <v>1</v>
      </c>
      <c r="L368" t="n">
        <v>0</v>
      </c>
      <c r="M368" t="n">
        <v>0</v>
      </c>
      <c r="N368" t="n">
        <v>0</v>
      </c>
      <c r="O368" t="n">
        <v>1</v>
      </c>
      <c r="P368" t="n">
        <v>1</v>
      </c>
      <c r="Q368" t="n">
        <v>1</v>
      </c>
      <c r="R368" s="2" t="inlineStr">
        <is>
          <t>Flenörtskapuschongfly</t>
        </is>
      </c>
      <c r="S368">
        <f>HYPERLINK("https://klasma.github.io/Logging_1290/artfynd/A 6245-2024 artfynd.xlsx", "A 6245-2024")</f>
        <v/>
      </c>
      <c r="T368">
        <f>HYPERLINK("https://klasma.github.io/Logging_1290/kartor/A 6245-2024 karta.png", "A 6245-2024")</f>
        <v/>
      </c>
      <c r="V368">
        <f>HYPERLINK("https://klasma.github.io/Logging_1290/klagomål/A 6245-2024 FSC-klagomål.docx", "A 6245-2024")</f>
        <v/>
      </c>
      <c r="W368">
        <f>HYPERLINK("https://klasma.github.io/Logging_1290/klagomålsmail/A 6245-2024 FSC-klagomål mail.docx", "A 6245-2024")</f>
        <v/>
      </c>
      <c r="X368">
        <f>HYPERLINK("https://klasma.github.io/Logging_1290/tillsyn/A 6245-2024 tillsynsbegäran.docx", "A 6245-2024")</f>
        <v/>
      </c>
      <c r="Y368">
        <f>HYPERLINK("https://klasma.github.io/Logging_1290/tillsynsmail/A 6245-2024 tillsynsbegäran mail.docx", "A 6245-2024")</f>
        <v/>
      </c>
    </row>
    <row r="369" ht="15" customHeight="1">
      <c r="A369" t="inlineStr">
        <is>
          <t>A 6634-2024</t>
        </is>
      </c>
      <c r="B369" s="1" t="n">
        <v>45341</v>
      </c>
      <c r="C369" s="1" t="n">
        <v>45796</v>
      </c>
      <c r="D369" t="inlineStr">
        <is>
          <t>SKÅNE LÄN</t>
        </is>
      </c>
      <c r="E369" t="inlineStr">
        <is>
          <t>HÄSSLEHOLM</t>
        </is>
      </c>
      <c r="G369" t="n">
        <v>1.9</v>
      </c>
      <c r="H369" t="n">
        <v>0</v>
      </c>
      <c r="I369" t="n">
        <v>0</v>
      </c>
      <c r="J369" t="n">
        <v>0</v>
      </c>
      <c r="K369" t="n">
        <v>1</v>
      </c>
      <c r="L369" t="n">
        <v>0</v>
      </c>
      <c r="M369" t="n">
        <v>0</v>
      </c>
      <c r="N369" t="n">
        <v>0</v>
      </c>
      <c r="O369" t="n">
        <v>1</v>
      </c>
      <c r="P369" t="n">
        <v>1</v>
      </c>
      <c r="Q369" t="n">
        <v>1</v>
      </c>
      <c r="R369" s="2" t="inlineStr">
        <is>
          <t>Revig blodrot</t>
        </is>
      </c>
      <c r="S369">
        <f>HYPERLINK("https://klasma.github.io/Logging_1293/artfynd/A 6634-2024 artfynd.xlsx", "A 6634-2024")</f>
        <v/>
      </c>
      <c r="T369">
        <f>HYPERLINK("https://klasma.github.io/Logging_1293/kartor/A 6634-2024 karta.png", "A 6634-2024")</f>
        <v/>
      </c>
      <c r="V369">
        <f>HYPERLINK("https://klasma.github.io/Logging_1293/klagomål/A 6634-2024 FSC-klagomål.docx", "A 6634-2024")</f>
        <v/>
      </c>
      <c r="W369">
        <f>HYPERLINK("https://klasma.github.io/Logging_1293/klagomålsmail/A 6634-2024 FSC-klagomål mail.docx", "A 6634-2024")</f>
        <v/>
      </c>
      <c r="X369">
        <f>HYPERLINK("https://klasma.github.io/Logging_1293/tillsyn/A 6634-2024 tillsynsbegäran.docx", "A 6634-2024")</f>
        <v/>
      </c>
      <c r="Y369">
        <f>HYPERLINK("https://klasma.github.io/Logging_1293/tillsynsmail/A 6634-2024 tillsynsbegäran mail.docx", "A 6634-2024")</f>
        <v/>
      </c>
    </row>
    <row r="370" ht="15" customHeight="1">
      <c r="A370" t="inlineStr">
        <is>
          <t>A 7082-2024</t>
        </is>
      </c>
      <c r="B370" s="1" t="n">
        <v>45343</v>
      </c>
      <c r="C370" s="1" t="n">
        <v>45796</v>
      </c>
      <c r="D370" t="inlineStr">
        <is>
          <t>SKÅNE LÄN</t>
        </is>
      </c>
      <c r="E370" t="inlineStr">
        <is>
          <t>SIMRISHAMN</t>
        </is>
      </c>
      <c r="F370" t="inlineStr">
        <is>
          <t>Övriga Aktiebolag</t>
        </is>
      </c>
      <c r="G370" t="n">
        <v>22.7</v>
      </c>
      <c r="H370" t="n">
        <v>0</v>
      </c>
      <c r="I370" t="n">
        <v>0</v>
      </c>
      <c r="J370" t="n">
        <v>0</v>
      </c>
      <c r="K370" t="n">
        <v>1</v>
      </c>
      <c r="L370" t="n">
        <v>0</v>
      </c>
      <c r="M370" t="n">
        <v>0</v>
      </c>
      <c r="N370" t="n">
        <v>0</v>
      </c>
      <c r="O370" t="n">
        <v>1</v>
      </c>
      <c r="P370" t="n">
        <v>1</v>
      </c>
      <c r="Q370" t="n">
        <v>1</v>
      </c>
      <c r="R370" s="2" t="inlineStr">
        <is>
          <t>Småvänderot</t>
        </is>
      </c>
      <c r="S370">
        <f>HYPERLINK("https://klasma.github.io/Logging_1291/artfynd/A 7082-2024 artfynd.xlsx", "A 7082-2024")</f>
        <v/>
      </c>
      <c r="T370">
        <f>HYPERLINK("https://klasma.github.io/Logging_1291/kartor/A 7082-2024 karta.png", "A 7082-2024")</f>
        <v/>
      </c>
      <c r="V370">
        <f>HYPERLINK("https://klasma.github.io/Logging_1291/klagomål/A 7082-2024 FSC-klagomål.docx", "A 7082-2024")</f>
        <v/>
      </c>
      <c r="W370">
        <f>HYPERLINK("https://klasma.github.io/Logging_1291/klagomålsmail/A 7082-2024 FSC-klagomål mail.docx", "A 7082-2024")</f>
        <v/>
      </c>
      <c r="X370">
        <f>HYPERLINK("https://klasma.github.io/Logging_1291/tillsyn/A 7082-2024 tillsynsbegäran.docx", "A 7082-2024")</f>
        <v/>
      </c>
      <c r="Y370">
        <f>HYPERLINK("https://klasma.github.io/Logging_1291/tillsynsmail/A 7082-2024 tillsynsbegäran mail.docx", "A 7082-2024")</f>
        <v/>
      </c>
    </row>
    <row r="371" ht="15" customHeight="1">
      <c r="A371" t="inlineStr">
        <is>
          <t>A 7559-2024</t>
        </is>
      </c>
      <c r="B371" s="1" t="n">
        <v>45348</v>
      </c>
      <c r="C371" s="1" t="n">
        <v>45796</v>
      </c>
      <c r="D371" t="inlineStr">
        <is>
          <t>SKÅNE LÄN</t>
        </is>
      </c>
      <c r="E371" t="inlineStr">
        <is>
          <t>SVALÖV</t>
        </is>
      </c>
      <c r="G371" t="n">
        <v>10.2</v>
      </c>
      <c r="H371" t="n">
        <v>1</v>
      </c>
      <c r="I371" t="n">
        <v>0</v>
      </c>
      <c r="J371" t="n">
        <v>1</v>
      </c>
      <c r="K371" t="n">
        <v>0</v>
      </c>
      <c r="L371" t="n">
        <v>0</v>
      </c>
      <c r="M371" t="n">
        <v>0</v>
      </c>
      <c r="N371" t="n">
        <v>0</v>
      </c>
      <c r="O371" t="n">
        <v>1</v>
      </c>
      <c r="P371" t="n">
        <v>0</v>
      </c>
      <c r="Q371" t="n">
        <v>1</v>
      </c>
      <c r="R371" s="2" t="inlineStr">
        <is>
          <t>Entita</t>
        </is>
      </c>
      <c r="S371">
        <f>HYPERLINK("https://klasma.github.io/Logging_1214/artfynd/A 7559-2024 artfynd.xlsx", "A 7559-2024")</f>
        <v/>
      </c>
      <c r="T371">
        <f>HYPERLINK("https://klasma.github.io/Logging_1214/kartor/A 7559-2024 karta.png", "A 7559-2024")</f>
        <v/>
      </c>
      <c r="V371">
        <f>HYPERLINK("https://klasma.github.io/Logging_1214/klagomål/A 7559-2024 FSC-klagomål.docx", "A 7559-2024")</f>
        <v/>
      </c>
      <c r="W371">
        <f>HYPERLINK("https://klasma.github.io/Logging_1214/klagomålsmail/A 7559-2024 FSC-klagomål mail.docx", "A 7559-2024")</f>
        <v/>
      </c>
      <c r="X371">
        <f>HYPERLINK("https://klasma.github.io/Logging_1214/tillsyn/A 7559-2024 tillsynsbegäran.docx", "A 7559-2024")</f>
        <v/>
      </c>
      <c r="Y371">
        <f>HYPERLINK("https://klasma.github.io/Logging_1214/tillsynsmail/A 7559-2024 tillsynsbegäran mail.docx", "A 7559-2024")</f>
        <v/>
      </c>
      <c r="Z371">
        <f>HYPERLINK("https://klasma.github.io/Logging_1214/fåglar/A 7559-2024 prioriterade fågelarter.docx", "A 7559-2024")</f>
        <v/>
      </c>
    </row>
    <row r="372" ht="15" customHeight="1">
      <c r="A372" t="inlineStr">
        <is>
          <t>A 7862-2024</t>
        </is>
      </c>
      <c r="B372" s="1" t="n">
        <v>45348</v>
      </c>
      <c r="C372" s="1" t="n">
        <v>45796</v>
      </c>
      <c r="D372" t="inlineStr">
        <is>
          <t>SKÅNE LÄN</t>
        </is>
      </c>
      <c r="E372" t="inlineStr">
        <is>
          <t>HÄSSLEHOLM</t>
        </is>
      </c>
      <c r="G372" t="n">
        <v>5</v>
      </c>
      <c r="H372" t="n">
        <v>0</v>
      </c>
      <c r="I372" t="n">
        <v>1</v>
      </c>
      <c r="J372" t="n">
        <v>0</v>
      </c>
      <c r="K372" t="n">
        <v>0</v>
      </c>
      <c r="L372" t="n">
        <v>0</v>
      </c>
      <c r="M372" t="n">
        <v>0</v>
      </c>
      <c r="N372" t="n">
        <v>0</v>
      </c>
      <c r="O372" t="n">
        <v>0</v>
      </c>
      <c r="P372" t="n">
        <v>0</v>
      </c>
      <c r="Q372" t="n">
        <v>1</v>
      </c>
      <c r="R372" s="2" t="inlineStr">
        <is>
          <t>Stor revmossa</t>
        </is>
      </c>
      <c r="S372">
        <f>HYPERLINK("https://klasma.github.io/Logging_1293/artfynd/A 7862-2024 artfynd.xlsx", "A 7862-2024")</f>
        <v/>
      </c>
      <c r="T372">
        <f>HYPERLINK("https://klasma.github.io/Logging_1293/kartor/A 7862-2024 karta.png", "A 7862-2024")</f>
        <v/>
      </c>
      <c r="V372">
        <f>HYPERLINK("https://klasma.github.io/Logging_1293/klagomål/A 7862-2024 FSC-klagomål.docx", "A 7862-2024")</f>
        <v/>
      </c>
      <c r="W372">
        <f>HYPERLINK("https://klasma.github.io/Logging_1293/klagomålsmail/A 7862-2024 FSC-klagomål mail.docx", "A 7862-2024")</f>
        <v/>
      </c>
      <c r="X372">
        <f>HYPERLINK("https://klasma.github.io/Logging_1293/tillsyn/A 7862-2024 tillsynsbegäran.docx", "A 7862-2024")</f>
        <v/>
      </c>
      <c r="Y372">
        <f>HYPERLINK("https://klasma.github.io/Logging_1293/tillsynsmail/A 7862-2024 tillsynsbegäran mail.docx", "A 7862-2024")</f>
        <v/>
      </c>
    </row>
    <row r="373" ht="15" customHeight="1">
      <c r="A373" t="inlineStr">
        <is>
          <t>A 8150-2024</t>
        </is>
      </c>
      <c r="B373" s="1" t="n">
        <v>45351</v>
      </c>
      <c r="C373" s="1" t="n">
        <v>45796</v>
      </c>
      <c r="D373" t="inlineStr">
        <is>
          <t>SKÅNE LÄN</t>
        </is>
      </c>
      <c r="E373" t="inlineStr">
        <is>
          <t>SJÖBO</t>
        </is>
      </c>
      <c r="G373" t="n">
        <v>1.3</v>
      </c>
      <c r="H373" t="n">
        <v>0</v>
      </c>
      <c r="I373" t="n">
        <v>0</v>
      </c>
      <c r="J373" t="n">
        <v>0</v>
      </c>
      <c r="K373" t="n">
        <v>1</v>
      </c>
      <c r="L373" t="n">
        <v>0</v>
      </c>
      <c r="M373" t="n">
        <v>0</v>
      </c>
      <c r="N373" t="n">
        <v>0</v>
      </c>
      <c r="O373" t="n">
        <v>1</v>
      </c>
      <c r="P373" t="n">
        <v>1</v>
      </c>
      <c r="Q373" t="n">
        <v>1</v>
      </c>
      <c r="R373" s="2" t="inlineStr">
        <is>
          <t>Fläcklungört</t>
        </is>
      </c>
      <c r="S373">
        <f>HYPERLINK("https://klasma.github.io/Logging_1265/artfynd/A 8150-2024 artfynd.xlsx", "A 8150-2024")</f>
        <v/>
      </c>
      <c r="T373">
        <f>HYPERLINK("https://klasma.github.io/Logging_1265/kartor/A 8150-2024 karta.png", "A 8150-2024")</f>
        <v/>
      </c>
      <c r="V373">
        <f>HYPERLINK("https://klasma.github.io/Logging_1265/klagomål/A 8150-2024 FSC-klagomål.docx", "A 8150-2024")</f>
        <v/>
      </c>
      <c r="W373">
        <f>HYPERLINK("https://klasma.github.io/Logging_1265/klagomålsmail/A 8150-2024 FSC-klagomål mail.docx", "A 8150-2024")</f>
        <v/>
      </c>
      <c r="X373">
        <f>HYPERLINK("https://klasma.github.io/Logging_1265/tillsyn/A 8150-2024 tillsynsbegäran.docx", "A 8150-2024")</f>
        <v/>
      </c>
      <c r="Y373">
        <f>HYPERLINK("https://klasma.github.io/Logging_1265/tillsynsmail/A 8150-2024 tillsynsbegäran mail.docx", "A 8150-2024")</f>
        <v/>
      </c>
    </row>
    <row r="374" ht="15" customHeight="1">
      <c r="A374" t="inlineStr">
        <is>
          <t>A 8169-2024</t>
        </is>
      </c>
      <c r="B374" s="1" t="n">
        <v>45351</v>
      </c>
      <c r="C374" s="1" t="n">
        <v>45796</v>
      </c>
      <c r="D374" t="inlineStr">
        <is>
          <t>SKÅNE LÄN</t>
        </is>
      </c>
      <c r="E374" t="inlineStr">
        <is>
          <t>SVALÖV</t>
        </is>
      </c>
      <c r="G374" t="n">
        <v>3.1</v>
      </c>
      <c r="H374" t="n">
        <v>0</v>
      </c>
      <c r="I374" t="n">
        <v>0</v>
      </c>
      <c r="J374" t="n">
        <v>1</v>
      </c>
      <c r="K374" t="n">
        <v>0</v>
      </c>
      <c r="L374" t="n">
        <v>0</v>
      </c>
      <c r="M374" t="n">
        <v>0</v>
      </c>
      <c r="N374" t="n">
        <v>0</v>
      </c>
      <c r="O374" t="n">
        <v>1</v>
      </c>
      <c r="P374" t="n">
        <v>0</v>
      </c>
      <c r="Q374" t="n">
        <v>1</v>
      </c>
      <c r="R374" s="2" t="inlineStr">
        <is>
          <t>Mjukdån</t>
        </is>
      </c>
      <c r="S374">
        <f>HYPERLINK("https://klasma.github.io/Logging_1214/artfynd/A 8169-2024 artfynd.xlsx", "A 8169-2024")</f>
        <v/>
      </c>
      <c r="T374">
        <f>HYPERLINK("https://klasma.github.io/Logging_1214/kartor/A 8169-2024 karta.png", "A 8169-2024")</f>
        <v/>
      </c>
      <c r="V374">
        <f>HYPERLINK("https://klasma.github.io/Logging_1214/klagomål/A 8169-2024 FSC-klagomål.docx", "A 8169-2024")</f>
        <v/>
      </c>
      <c r="W374">
        <f>HYPERLINK("https://klasma.github.io/Logging_1214/klagomålsmail/A 8169-2024 FSC-klagomål mail.docx", "A 8169-2024")</f>
        <v/>
      </c>
      <c r="X374">
        <f>HYPERLINK("https://klasma.github.io/Logging_1214/tillsyn/A 8169-2024 tillsynsbegäran.docx", "A 8169-2024")</f>
        <v/>
      </c>
      <c r="Y374">
        <f>HYPERLINK("https://klasma.github.io/Logging_1214/tillsynsmail/A 8169-2024 tillsynsbegäran mail.docx", "A 8169-2024")</f>
        <v/>
      </c>
    </row>
    <row r="375" ht="15" customHeight="1">
      <c r="A375" t="inlineStr">
        <is>
          <t>A 9758-2024</t>
        </is>
      </c>
      <c r="B375" s="1" t="n">
        <v>45362</v>
      </c>
      <c r="C375" s="1" t="n">
        <v>45796</v>
      </c>
      <c r="D375" t="inlineStr">
        <is>
          <t>SKÅNE LÄN</t>
        </is>
      </c>
      <c r="E375" t="inlineStr">
        <is>
          <t>LUND</t>
        </is>
      </c>
      <c r="G375" t="n">
        <v>12.4</v>
      </c>
      <c r="H375" t="n">
        <v>1</v>
      </c>
      <c r="I375" t="n">
        <v>0</v>
      </c>
      <c r="J375" t="n">
        <v>0</v>
      </c>
      <c r="K375" t="n">
        <v>0</v>
      </c>
      <c r="L375" t="n">
        <v>0</v>
      </c>
      <c r="M375" t="n">
        <v>0</v>
      </c>
      <c r="N375" t="n">
        <v>0</v>
      </c>
      <c r="O375" t="n">
        <v>0</v>
      </c>
      <c r="P375" t="n">
        <v>0</v>
      </c>
      <c r="Q375" t="n">
        <v>1</v>
      </c>
      <c r="R375" s="2" t="inlineStr">
        <is>
          <t>Grönvit nattviol</t>
        </is>
      </c>
      <c r="S375">
        <f>HYPERLINK("https://klasma.github.io/Logging_1281/artfynd/A 9758-2024 artfynd.xlsx", "A 9758-2024")</f>
        <v/>
      </c>
      <c r="T375">
        <f>HYPERLINK("https://klasma.github.io/Logging_1281/kartor/A 9758-2024 karta.png", "A 9758-2024")</f>
        <v/>
      </c>
      <c r="V375">
        <f>HYPERLINK("https://klasma.github.io/Logging_1281/klagomål/A 9758-2024 FSC-klagomål.docx", "A 9758-2024")</f>
        <v/>
      </c>
      <c r="W375">
        <f>HYPERLINK("https://klasma.github.io/Logging_1281/klagomålsmail/A 9758-2024 FSC-klagomål mail.docx", "A 9758-2024")</f>
        <v/>
      </c>
      <c r="X375">
        <f>HYPERLINK("https://klasma.github.io/Logging_1281/tillsyn/A 9758-2024 tillsynsbegäran.docx", "A 9758-2024")</f>
        <v/>
      </c>
      <c r="Y375">
        <f>HYPERLINK("https://klasma.github.io/Logging_1281/tillsynsmail/A 9758-2024 tillsynsbegäran mail.docx", "A 9758-2024")</f>
        <v/>
      </c>
    </row>
    <row r="376" ht="15" customHeight="1">
      <c r="A376" t="inlineStr">
        <is>
          <t>A 10056-2024</t>
        </is>
      </c>
      <c r="B376" s="1" t="n">
        <v>45364</v>
      </c>
      <c r="C376" s="1" t="n">
        <v>45796</v>
      </c>
      <c r="D376" t="inlineStr">
        <is>
          <t>SKÅNE LÄN</t>
        </is>
      </c>
      <c r="E376" t="inlineStr">
        <is>
          <t>OSBY</t>
        </is>
      </c>
      <c r="G376" t="n">
        <v>6</v>
      </c>
      <c r="H376" t="n">
        <v>1</v>
      </c>
      <c r="I376" t="n">
        <v>0</v>
      </c>
      <c r="J376" t="n">
        <v>0</v>
      </c>
      <c r="K376" t="n">
        <v>0</v>
      </c>
      <c r="L376" t="n">
        <v>0</v>
      </c>
      <c r="M376" t="n">
        <v>0</v>
      </c>
      <c r="N376" t="n">
        <v>0</v>
      </c>
      <c r="O376" t="n">
        <v>0</v>
      </c>
      <c r="P376" t="n">
        <v>0</v>
      </c>
      <c r="Q376" t="n">
        <v>1</v>
      </c>
      <c r="R376" s="2" t="inlineStr">
        <is>
          <t>Grönvit nattviol</t>
        </is>
      </c>
      <c r="S376">
        <f>HYPERLINK("https://klasma.github.io/Logging_1273/artfynd/A 10056-2024 artfynd.xlsx", "A 10056-2024")</f>
        <v/>
      </c>
      <c r="T376">
        <f>HYPERLINK("https://klasma.github.io/Logging_1273/kartor/A 10056-2024 karta.png", "A 10056-2024")</f>
        <v/>
      </c>
      <c r="V376">
        <f>HYPERLINK("https://klasma.github.io/Logging_1273/klagomål/A 10056-2024 FSC-klagomål.docx", "A 10056-2024")</f>
        <v/>
      </c>
      <c r="W376">
        <f>HYPERLINK("https://klasma.github.io/Logging_1273/klagomålsmail/A 10056-2024 FSC-klagomål mail.docx", "A 10056-2024")</f>
        <v/>
      </c>
      <c r="X376">
        <f>HYPERLINK("https://klasma.github.io/Logging_1273/tillsyn/A 10056-2024 tillsynsbegäran.docx", "A 10056-2024")</f>
        <v/>
      </c>
      <c r="Y376">
        <f>HYPERLINK("https://klasma.github.io/Logging_1273/tillsynsmail/A 10056-2024 tillsynsbegäran mail.docx", "A 10056-2024")</f>
        <v/>
      </c>
    </row>
    <row r="377" ht="15" customHeight="1">
      <c r="A377" t="inlineStr">
        <is>
          <t>A 11226-2024</t>
        </is>
      </c>
      <c r="B377" s="1" t="n">
        <v>45371</v>
      </c>
      <c r="C377" s="1" t="n">
        <v>45796</v>
      </c>
      <c r="D377" t="inlineStr">
        <is>
          <t>SKÅNE LÄN</t>
        </is>
      </c>
      <c r="E377" t="inlineStr">
        <is>
          <t>HÄSSLEHOLM</t>
        </is>
      </c>
      <c r="G377" t="n">
        <v>1.5</v>
      </c>
      <c r="H377" t="n">
        <v>0</v>
      </c>
      <c r="I377" t="n">
        <v>0</v>
      </c>
      <c r="J377" t="n">
        <v>0</v>
      </c>
      <c r="K377" t="n">
        <v>1</v>
      </c>
      <c r="L377" t="n">
        <v>0</v>
      </c>
      <c r="M377" t="n">
        <v>0</v>
      </c>
      <c r="N377" t="n">
        <v>0</v>
      </c>
      <c r="O377" t="n">
        <v>1</v>
      </c>
      <c r="P377" t="n">
        <v>1</v>
      </c>
      <c r="Q377" t="n">
        <v>1</v>
      </c>
      <c r="R377" s="2" t="inlineStr">
        <is>
          <t>Småvänderot</t>
        </is>
      </c>
      <c r="S377">
        <f>HYPERLINK("https://klasma.github.io/Logging_1293/artfynd/A 11226-2024 artfynd.xlsx", "A 11226-2024")</f>
        <v/>
      </c>
      <c r="T377">
        <f>HYPERLINK("https://klasma.github.io/Logging_1293/kartor/A 11226-2024 karta.png", "A 11226-2024")</f>
        <v/>
      </c>
      <c r="V377">
        <f>HYPERLINK("https://klasma.github.io/Logging_1293/klagomål/A 11226-2024 FSC-klagomål.docx", "A 11226-2024")</f>
        <v/>
      </c>
      <c r="W377">
        <f>HYPERLINK("https://klasma.github.io/Logging_1293/klagomålsmail/A 11226-2024 FSC-klagomål mail.docx", "A 11226-2024")</f>
        <v/>
      </c>
      <c r="X377">
        <f>HYPERLINK("https://klasma.github.io/Logging_1293/tillsyn/A 11226-2024 tillsynsbegäran.docx", "A 11226-2024")</f>
        <v/>
      </c>
      <c r="Y377">
        <f>HYPERLINK("https://klasma.github.io/Logging_1293/tillsynsmail/A 11226-2024 tillsynsbegäran mail.docx", "A 11226-2024")</f>
        <v/>
      </c>
    </row>
    <row r="378" ht="15" customHeight="1">
      <c r="A378" t="inlineStr">
        <is>
          <t>A 11731-2024</t>
        </is>
      </c>
      <c r="B378" s="1" t="n">
        <v>45373</v>
      </c>
      <c r="C378" s="1" t="n">
        <v>45796</v>
      </c>
      <c r="D378" t="inlineStr">
        <is>
          <t>SKÅNE LÄN</t>
        </is>
      </c>
      <c r="E378" t="inlineStr">
        <is>
          <t>LUND</t>
        </is>
      </c>
      <c r="G378" t="n">
        <v>14.5</v>
      </c>
      <c r="H378" t="n">
        <v>0</v>
      </c>
      <c r="I378" t="n">
        <v>1</v>
      </c>
      <c r="J378" t="n">
        <v>0</v>
      </c>
      <c r="K378" t="n">
        <v>0</v>
      </c>
      <c r="L378" t="n">
        <v>0</v>
      </c>
      <c r="M378" t="n">
        <v>0</v>
      </c>
      <c r="N378" t="n">
        <v>0</v>
      </c>
      <c r="O378" t="n">
        <v>0</v>
      </c>
      <c r="P378" t="n">
        <v>0</v>
      </c>
      <c r="Q378" t="n">
        <v>1</v>
      </c>
      <c r="R378" s="2" t="inlineStr">
        <is>
          <t>Skogsbräsma</t>
        </is>
      </c>
      <c r="S378">
        <f>HYPERLINK("https://klasma.github.io/Logging_1281/artfynd/A 11731-2024 artfynd.xlsx", "A 11731-2024")</f>
        <v/>
      </c>
      <c r="T378">
        <f>HYPERLINK("https://klasma.github.io/Logging_1281/kartor/A 11731-2024 karta.png", "A 11731-2024")</f>
        <v/>
      </c>
      <c r="V378">
        <f>HYPERLINK("https://klasma.github.io/Logging_1281/klagomål/A 11731-2024 FSC-klagomål.docx", "A 11731-2024")</f>
        <v/>
      </c>
      <c r="W378">
        <f>HYPERLINK("https://klasma.github.io/Logging_1281/klagomålsmail/A 11731-2024 FSC-klagomål mail.docx", "A 11731-2024")</f>
        <v/>
      </c>
      <c r="X378">
        <f>HYPERLINK("https://klasma.github.io/Logging_1281/tillsyn/A 11731-2024 tillsynsbegäran.docx", "A 11731-2024")</f>
        <v/>
      </c>
      <c r="Y378">
        <f>HYPERLINK("https://klasma.github.io/Logging_1281/tillsynsmail/A 11731-2024 tillsynsbegäran mail.docx", "A 11731-2024")</f>
        <v/>
      </c>
    </row>
    <row r="379" ht="15" customHeight="1">
      <c r="A379" t="inlineStr">
        <is>
          <t>A 12892-2024</t>
        </is>
      </c>
      <c r="B379" s="1" t="n">
        <v>45385</v>
      </c>
      <c r="C379" s="1" t="n">
        <v>45796</v>
      </c>
      <c r="D379" t="inlineStr">
        <is>
          <t>SKÅNE LÄN</t>
        </is>
      </c>
      <c r="E379" t="inlineStr">
        <is>
          <t>HÖRBY</t>
        </is>
      </c>
      <c r="G379" t="n">
        <v>1.5</v>
      </c>
      <c r="H379" t="n">
        <v>0</v>
      </c>
      <c r="I379" t="n">
        <v>1</v>
      </c>
      <c r="J379" t="n">
        <v>0</v>
      </c>
      <c r="K379" t="n">
        <v>0</v>
      </c>
      <c r="L379" t="n">
        <v>0</v>
      </c>
      <c r="M379" t="n">
        <v>0</v>
      </c>
      <c r="N379" t="n">
        <v>0</v>
      </c>
      <c r="O379" t="n">
        <v>0</v>
      </c>
      <c r="P379" t="n">
        <v>0</v>
      </c>
      <c r="Q379" t="n">
        <v>1</v>
      </c>
      <c r="R379" s="2" t="inlineStr">
        <is>
          <t>Blåmossa</t>
        </is>
      </c>
      <c r="S379">
        <f>HYPERLINK("https://klasma.github.io/Logging_1266/artfynd/A 12892-2024 artfynd.xlsx", "A 12892-2024")</f>
        <v/>
      </c>
      <c r="T379">
        <f>HYPERLINK("https://klasma.github.io/Logging_1266/kartor/A 12892-2024 karta.png", "A 12892-2024")</f>
        <v/>
      </c>
      <c r="V379">
        <f>HYPERLINK("https://klasma.github.io/Logging_1266/klagomål/A 12892-2024 FSC-klagomål.docx", "A 12892-2024")</f>
        <v/>
      </c>
      <c r="W379">
        <f>HYPERLINK("https://klasma.github.io/Logging_1266/klagomålsmail/A 12892-2024 FSC-klagomål mail.docx", "A 12892-2024")</f>
        <v/>
      </c>
      <c r="X379">
        <f>HYPERLINK("https://klasma.github.io/Logging_1266/tillsyn/A 12892-2024 tillsynsbegäran.docx", "A 12892-2024")</f>
        <v/>
      </c>
      <c r="Y379">
        <f>HYPERLINK("https://klasma.github.io/Logging_1266/tillsynsmail/A 12892-2024 tillsynsbegäran mail.docx", "A 12892-2024")</f>
        <v/>
      </c>
    </row>
    <row r="380" ht="15" customHeight="1">
      <c r="A380" t="inlineStr">
        <is>
          <t>A 12934-2024</t>
        </is>
      </c>
      <c r="B380" s="1" t="n">
        <v>45385</v>
      </c>
      <c r="C380" s="1" t="n">
        <v>45796</v>
      </c>
      <c r="D380" t="inlineStr">
        <is>
          <t>SKÅNE LÄN</t>
        </is>
      </c>
      <c r="E380" t="inlineStr">
        <is>
          <t>TOMELILLA</t>
        </is>
      </c>
      <c r="F380" t="inlineStr">
        <is>
          <t>Övriga Aktiebolag</t>
        </is>
      </c>
      <c r="G380" t="n">
        <v>22</v>
      </c>
      <c r="H380" t="n">
        <v>0</v>
      </c>
      <c r="I380" t="n">
        <v>0</v>
      </c>
      <c r="J380" t="n">
        <v>1</v>
      </c>
      <c r="K380" t="n">
        <v>0</v>
      </c>
      <c r="L380" t="n">
        <v>0</v>
      </c>
      <c r="M380" t="n">
        <v>0</v>
      </c>
      <c r="N380" t="n">
        <v>0</v>
      </c>
      <c r="O380" t="n">
        <v>1</v>
      </c>
      <c r="P380" t="n">
        <v>0</v>
      </c>
      <c r="Q380" t="n">
        <v>1</v>
      </c>
      <c r="R380" s="2" t="inlineStr">
        <is>
          <t>Mindre bastardsvärmare</t>
        </is>
      </c>
      <c r="S380">
        <f>HYPERLINK("https://klasma.github.io/Logging_1270/artfynd/A 12934-2024 artfynd.xlsx", "A 12934-2024")</f>
        <v/>
      </c>
      <c r="T380">
        <f>HYPERLINK("https://klasma.github.io/Logging_1270/kartor/A 12934-2024 karta.png", "A 12934-2024")</f>
        <v/>
      </c>
      <c r="V380">
        <f>HYPERLINK("https://klasma.github.io/Logging_1270/klagomål/A 12934-2024 FSC-klagomål.docx", "A 12934-2024")</f>
        <v/>
      </c>
      <c r="W380">
        <f>HYPERLINK("https://klasma.github.io/Logging_1270/klagomålsmail/A 12934-2024 FSC-klagomål mail.docx", "A 12934-2024")</f>
        <v/>
      </c>
      <c r="X380">
        <f>HYPERLINK("https://klasma.github.io/Logging_1270/tillsyn/A 12934-2024 tillsynsbegäran.docx", "A 12934-2024")</f>
        <v/>
      </c>
      <c r="Y380">
        <f>HYPERLINK("https://klasma.github.io/Logging_1270/tillsynsmail/A 12934-2024 tillsynsbegäran mail.docx", "A 12934-2024")</f>
        <v/>
      </c>
    </row>
    <row r="381" ht="15" customHeight="1">
      <c r="A381" t="inlineStr">
        <is>
          <t>A 15456-2024</t>
        </is>
      </c>
      <c r="B381" s="1" t="n">
        <v>45401</v>
      </c>
      <c r="C381" s="1" t="n">
        <v>45796</v>
      </c>
      <c r="D381" t="inlineStr">
        <is>
          <t>SKÅNE LÄN</t>
        </is>
      </c>
      <c r="E381" t="inlineStr">
        <is>
          <t>SVALÖV</t>
        </is>
      </c>
      <c r="G381" t="n">
        <v>2.5</v>
      </c>
      <c r="H381" t="n">
        <v>0</v>
      </c>
      <c r="I381" t="n">
        <v>0</v>
      </c>
      <c r="J381" t="n">
        <v>0</v>
      </c>
      <c r="K381" t="n">
        <v>1</v>
      </c>
      <c r="L381" t="n">
        <v>0</v>
      </c>
      <c r="M381" t="n">
        <v>0</v>
      </c>
      <c r="N381" t="n">
        <v>0</v>
      </c>
      <c r="O381" t="n">
        <v>1</v>
      </c>
      <c r="P381" t="n">
        <v>1</v>
      </c>
      <c r="Q381" t="n">
        <v>1</v>
      </c>
      <c r="R381" s="2" t="inlineStr">
        <is>
          <t>Lundticka</t>
        </is>
      </c>
      <c r="S381">
        <f>HYPERLINK("https://klasma.github.io/Logging_1214/artfynd/A 15456-2024 artfynd.xlsx", "A 15456-2024")</f>
        <v/>
      </c>
      <c r="T381">
        <f>HYPERLINK("https://klasma.github.io/Logging_1214/kartor/A 15456-2024 karta.png", "A 15456-2024")</f>
        <v/>
      </c>
      <c r="V381">
        <f>HYPERLINK("https://klasma.github.io/Logging_1214/klagomål/A 15456-2024 FSC-klagomål.docx", "A 15456-2024")</f>
        <v/>
      </c>
      <c r="W381">
        <f>HYPERLINK("https://klasma.github.io/Logging_1214/klagomålsmail/A 15456-2024 FSC-klagomål mail.docx", "A 15456-2024")</f>
        <v/>
      </c>
      <c r="X381">
        <f>HYPERLINK("https://klasma.github.io/Logging_1214/tillsyn/A 15456-2024 tillsynsbegäran.docx", "A 15456-2024")</f>
        <v/>
      </c>
      <c r="Y381">
        <f>HYPERLINK("https://klasma.github.io/Logging_1214/tillsynsmail/A 15456-2024 tillsynsbegäran mail.docx", "A 15456-2024")</f>
        <v/>
      </c>
    </row>
    <row r="382" ht="15" customHeight="1">
      <c r="A382" t="inlineStr">
        <is>
          <t>A 15475-2024</t>
        </is>
      </c>
      <c r="B382" s="1" t="n">
        <v>45401</v>
      </c>
      <c r="C382" s="1" t="n">
        <v>45796</v>
      </c>
      <c r="D382" t="inlineStr">
        <is>
          <t>SKÅNE LÄN</t>
        </is>
      </c>
      <c r="E382" t="inlineStr">
        <is>
          <t>SVALÖV</t>
        </is>
      </c>
      <c r="G382" t="n">
        <v>4.7</v>
      </c>
      <c r="H382" t="n">
        <v>0</v>
      </c>
      <c r="I382" t="n">
        <v>1</v>
      </c>
      <c r="J382" t="n">
        <v>0</v>
      </c>
      <c r="K382" t="n">
        <v>0</v>
      </c>
      <c r="L382" t="n">
        <v>0</v>
      </c>
      <c r="M382" t="n">
        <v>0</v>
      </c>
      <c r="N382" t="n">
        <v>0</v>
      </c>
      <c r="O382" t="n">
        <v>0</v>
      </c>
      <c r="P382" t="n">
        <v>0</v>
      </c>
      <c r="Q382" t="n">
        <v>1</v>
      </c>
      <c r="R382" s="2" t="inlineStr">
        <is>
          <t>Strutbräken</t>
        </is>
      </c>
      <c r="S382">
        <f>HYPERLINK("https://klasma.github.io/Logging_1214/artfynd/A 15475-2024 artfynd.xlsx", "A 15475-2024")</f>
        <v/>
      </c>
      <c r="T382">
        <f>HYPERLINK("https://klasma.github.io/Logging_1214/kartor/A 15475-2024 karta.png", "A 15475-2024")</f>
        <v/>
      </c>
      <c r="V382">
        <f>HYPERLINK("https://klasma.github.io/Logging_1214/klagomål/A 15475-2024 FSC-klagomål.docx", "A 15475-2024")</f>
        <v/>
      </c>
      <c r="W382">
        <f>HYPERLINK("https://klasma.github.io/Logging_1214/klagomålsmail/A 15475-2024 FSC-klagomål mail.docx", "A 15475-2024")</f>
        <v/>
      </c>
      <c r="X382">
        <f>HYPERLINK("https://klasma.github.io/Logging_1214/tillsyn/A 15475-2024 tillsynsbegäran.docx", "A 15475-2024")</f>
        <v/>
      </c>
      <c r="Y382">
        <f>HYPERLINK("https://klasma.github.io/Logging_1214/tillsynsmail/A 15475-2024 tillsynsbegäran mail.docx", "A 15475-2024")</f>
        <v/>
      </c>
    </row>
    <row r="383" ht="15" customHeight="1">
      <c r="A383" t="inlineStr">
        <is>
          <t>A 17396-2024</t>
        </is>
      </c>
      <c r="B383" s="1" t="n">
        <v>45414</v>
      </c>
      <c r="C383" s="1" t="n">
        <v>45796</v>
      </c>
      <c r="D383" t="inlineStr">
        <is>
          <t>SKÅNE LÄN</t>
        </is>
      </c>
      <c r="E383" t="inlineStr">
        <is>
          <t>BROMÖLLA</t>
        </is>
      </c>
      <c r="G383" t="n">
        <v>1.8</v>
      </c>
      <c r="H383" t="n">
        <v>0</v>
      </c>
      <c r="I383" t="n">
        <v>1</v>
      </c>
      <c r="J383" t="n">
        <v>0</v>
      </c>
      <c r="K383" t="n">
        <v>0</v>
      </c>
      <c r="L383" t="n">
        <v>0</v>
      </c>
      <c r="M383" t="n">
        <v>0</v>
      </c>
      <c r="N383" t="n">
        <v>0</v>
      </c>
      <c r="O383" t="n">
        <v>0</v>
      </c>
      <c r="P383" t="n">
        <v>0</v>
      </c>
      <c r="Q383" t="n">
        <v>1</v>
      </c>
      <c r="R383" s="2" t="inlineStr">
        <is>
          <t>Safsa</t>
        </is>
      </c>
      <c r="S383">
        <f>HYPERLINK("https://klasma.github.io/Logging_1272/artfynd/A 17396-2024 artfynd.xlsx", "A 17396-2024")</f>
        <v/>
      </c>
      <c r="T383">
        <f>HYPERLINK("https://klasma.github.io/Logging_1272/kartor/A 17396-2024 karta.png", "A 17396-2024")</f>
        <v/>
      </c>
      <c r="V383">
        <f>HYPERLINK("https://klasma.github.io/Logging_1272/klagomål/A 17396-2024 FSC-klagomål.docx", "A 17396-2024")</f>
        <v/>
      </c>
      <c r="W383">
        <f>HYPERLINK("https://klasma.github.io/Logging_1272/klagomålsmail/A 17396-2024 FSC-klagomål mail.docx", "A 17396-2024")</f>
        <v/>
      </c>
      <c r="X383">
        <f>HYPERLINK("https://klasma.github.io/Logging_1272/tillsyn/A 17396-2024 tillsynsbegäran.docx", "A 17396-2024")</f>
        <v/>
      </c>
      <c r="Y383">
        <f>HYPERLINK("https://klasma.github.io/Logging_1272/tillsynsmail/A 17396-2024 tillsynsbegäran mail.docx", "A 17396-2024")</f>
        <v/>
      </c>
    </row>
    <row r="384" ht="15" customHeight="1">
      <c r="A384" t="inlineStr">
        <is>
          <t>A 20090-2024</t>
        </is>
      </c>
      <c r="B384" s="1" t="n">
        <v>45434</v>
      </c>
      <c r="C384" s="1" t="n">
        <v>45796</v>
      </c>
      <c r="D384" t="inlineStr">
        <is>
          <t>SKÅNE LÄN</t>
        </is>
      </c>
      <c r="E384" t="inlineStr">
        <is>
          <t>SIMRISHAMN</t>
        </is>
      </c>
      <c r="G384" t="n">
        <v>2.4</v>
      </c>
      <c r="H384" t="n">
        <v>1</v>
      </c>
      <c r="I384" t="n">
        <v>0</v>
      </c>
      <c r="J384" t="n">
        <v>0</v>
      </c>
      <c r="K384" t="n">
        <v>0</v>
      </c>
      <c r="L384" t="n">
        <v>0</v>
      </c>
      <c r="M384" t="n">
        <v>0</v>
      </c>
      <c r="N384" t="n">
        <v>0</v>
      </c>
      <c r="O384" t="n">
        <v>0</v>
      </c>
      <c r="P384" t="n">
        <v>0</v>
      </c>
      <c r="Q384" t="n">
        <v>1</v>
      </c>
      <c r="R384" s="2" t="inlineStr">
        <is>
          <t>Hasselmus</t>
        </is>
      </c>
      <c r="S384">
        <f>HYPERLINK("https://klasma.github.io/Logging_1291/artfynd/A 20090-2024 artfynd.xlsx", "A 20090-2024")</f>
        <v/>
      </c>
      <c r="T384">
        <f>HYPERLINK("https://klasma.github.io/Logging_1291/kartor/A 20090-2024 karta.png", "A 20090-2024")</f>
        <v/>
      </c>
      <c r="V384">
        <f>HYPERLINK("https://klasma.github.io/Logging_1291/klagomål/A 20090-2024 FSC-klagomål.docx", "A 20090-2024")</f>
        <v/>
      </c>
      <c r="W384">
        <f>HYPERLINK("https://klasma.github.io/Logging_1291/klagomålsmail/A 20090-2024 FSC-klagomål mail.docx", "A 20090-2024")</f>
        <v/>
      </c>
      <c r="X384">
        <f>HYPERLINK("https://klasma.github.io/Logging_1291/tillsyn/A 20090-2024 tillsynsbegäran.docx", "A 20090-2024")</f>
        <v/>
      </c>
      <c r="Y384">
        <f>HYPERLINK("https://klasma.github.io/Logging_1291/tillsynsmail/A 20090-2024 tillsynsbegäran mail.docx", "A 20090-2024")</f>
        <v/>
      </c>
    </row>
    <row r="385" ht="15" customHeight="1">
      <c r="A385" t="inlineStr">
        <is>
          <t>A 20179-2024</t>
        </is>
      </c>
      <c r="B385" s="1" t="n">
        <v>45434</v>
      </c>
      <c r="C385" s="1" t="n">
        <v>45796</v>
      </c>
      <c r="D385" t="inlineStr">
        <is>
          <t>SKÅNE LÄN</t>
        </is>
      </c>
      <c r="E385" t="inlineStr">
        <is>
          <t>ESLÖV</t>
        </is>
      </c>
      <c r="G385" t="n">
        <v>1.8</v>
      </c>
      <c r="H385" t="n">
        <v>0</v>
      </c>
      <c r="I385" t="n">
        <v>0</v>
      </c>
      <c r="J385" t="n">
        <v>1</v>
      </c>
      <c r="K385" t="n">
        <v>0</v>
      </c>
      <c r="L385" t="n">
        <v>0</v>
      </c>
      <c r="M385" t="n">
        <v>0</v>
      </c>
      <c r="N385" t="n">
        <v>0</v>
      </c>
      <c r="O385" t="n">
        <v>1</v>
      </c>
      <c r="P385" t="n">
        <v>0</v>
      </c>
      <c r="Q385" t="n">
        <v>1</v>
      </c>
      <c r="R385" s="2" t="inlineStr">
        <is>
          <t>Stiftklotterlav</t>
        </is>
      </c>
      <c r="S385">
        <f>HYPERLINK("https://klasma.github.io/Logging_1285/artfynd/A 20179-2024 artfynd.xlsx", "A 20179-2024")</f>
        <v/>
      </c>
      <c r="T385">
        <f>HYPERLINK("https://klasma.github.io/Logging_1285/kartor/A 20179-2024 karta.png", "A 20179-2024")</f>
        <v/>
      </c>
      <c r="V385">
        <f>HYPERLINK("https://klasma.github.io/Logging_1285/klagomål/A 20179-2024 FSC-klagomål.docx", "A 20179-2024")</f>
        <v/>
      </c>
      <c r="W385">
        <f>HYPERLINK("https://klasma.github.io/Logging_1285/klagomålsmail/A 20179-2024 FSC-klagomål mail.docx", "A 20179-2024")</f>
        <v/>
      </c>
      <c r="X385">
        <f>HYPERLINK("https://klasma.github.io/Logging_1285/tillsyn/A 20179-2024 tillsynsbegäran.docx", "A 20179-2024")</f>
        <v/>
      </c>
      <c r="Y385">
        <f>HYPERLINK("https://klasma.github.io/Logging_1285/tillsynsmail/A 20179-2024 tillsynsbegäran mail.docx", "A 20179-2024")</f>
        <v/>
      </c>
    </row>
    <row r="386" ht="15" customHeight="1">
      <c r="A386" t="inlineStr">
        <is>
          <t>A 20679-2024</t>
        </is>
      </c>
      <c r="B386" s="1" t="n">
        <v>45436</v>
      </c>
      <c r="C386" s="1" t="n">
        <v>45796</v>
      </c>
      <c r="D386" t="inlineStr">
        <is>
          <t>SKÅNE LÄN</t>
        </is>
      </c>
      <c r="E386" t="inlineStr">
        <is>
          <t>HÄSSLEHOLM</t>
        </is>
      </c>
      <c r="G386" t="n">
        <v>1.1</v>
      </c>
      <c r="H386" t="n">
        <v>0</v>
      </c>
      <c r="I386" t="n">
        <v>1</v>
      </c>
      <c r="J386" t="n">
        <v>0</v>
      </c>
      <c r="K386" t="n">
        <v>0</v>
      </c>
      <c r="L386" t="n">
        <v>0</v>
      </c>
      <c r="M386" t="n">
        <v>0</v>
      </c>
      <c r="N386" t="n">
        <v>0</v>
      </c>
      <c r="O386" t="n">
        <v>0</v>
      </c>
      <c r="P386" t="n">
        <v>0</v>
      </c>
      <c r="Q386" t="n">
        <v>1</v>
      </c>
      <c r="R386" s="2" t="inlineStr">
        <is>
          <t>Blodticka</t>
        </is>
      </c>
      <c r="S386">
        <f>HYPERLINK("https://klasma.github.io/Logging_1293/artfynd/A 20679-2024 artfynd.xlsx", "A 20679-2024")</f>
        <v/>
      </c>
      <c r="T386">
        <f>HYPERLINK("https://klasma.github.io/Logging_1293/kartor/A 20679-2024 karta.png", "A 20679-2024")</f>
        <v/>
      </c>
      <c r="V386">
        <f>HYPERLINK("https://klasma.github.io/Logging_1293/klagomål/A 20679-2024 FSC-klagomål.docx", "A 20679-2024")</f>
        <v/>
      </c>
      <c r="W386">
        <f>HYPERLINK("https://klasma.github.io/Logging_1293/klagomålsmail/A 20679-2024 FSC-klagomål mail.docx", "A 20679-2024")</f>
        <v/>
      </c>
      <c r="X386">
        <f>HYPERLINK("https://klasma.github.io/Logging_1293/tillsyn/A 20679-2024 tillsynsbegäran.docx", "A 20679-2024")</f>
        <v/>
      </c>
      <c r="Y386">
        <f>HYPERLINK("https://klasma.github.io/Logging_1293/tillsynsmail/A 20679-2024 tillsynsbegäran mail.docx", "A 20679-2024")</f>
        <v/>
      </c>
    </row>
    <row r="387" ht="15" customHeight="1">
      <c r="A387" t="inlineStr">
        <is>
          <t>A 21313-2024</t>
        </is>
      </c>
      <c r="B387" s="1" t="n">
        <v>45440</v>
      </c>
      <c r="C387" s="1" t="n">
        <v>45796</v>
      </c>
      <c r="D387" t="inlineStr">
        <is>
          <t>SKÅNE LÄN</t>
        </is>
      </c>
      <c r="E387" t="inlineStr">
        <is>
          <t>OSBY</t>
        </is>
      </c>
      <c r="G387" t="n">
        <v>3.2</v>
      </c>
      <c r="H387" t="n">
        <v>0</v>
      </c>
      <c r="I387" t="n">
        <v>1</v>
      </c>
      <c r="J387" t="n">
        <v>0</v>
      </c>
      <c r="K387" t="n">
        <v>0</v>
      </c>
      <c r="L387" t="n">
        <v>0</v>
      </c>
      <c r="M387" t="n">
        <v>0</v>
      </c>
      <c r="N387" t="n">
        <v>0</v>
      </c>
      <c r="O387" t="n">
        <v>0</v>
      </c>
      <c r="P387" t="n">
        <v>0</v>
      </c>
      <c r="Q387" t="n">
        <v>1</v>
      </c>
      <c r="R387" s="2" t="inlineStr">
        <is>
          <t>Blåmossa</t>
        </is>
      </c>
      <c r="S387">
        <f>HYPERLINK("https://klasma.github.io/Logging_1273/artfynd/A 21313-2024 artfynd.xlsx", "A 21313-2024")</f>
        <v/>
      </c>
      <c r="T387">
        <f>HYPERLINK("https://klasma.github.io/Logging_1273/kartor/A 21313-2024 karta.png", "A 21313-2024")</f>
        <v/>
      </c>
      <c r="V387">
        <f>HYPERLINK("https://klasma.github.io/Logging_1273/klagomål/A 21313-2024 FSC-klagomål.docx", "A 21313-2024")</f>
        <v/>
      </c>
      <c r="W387">
        <f>HYPERLINK("https://klasma.github.io/Logging_1273/klagomålsmail/A 21313-2024 FSC-klagomål mail.docx", "A 21313-2024")</f>
        <v/>
      </c>
      <c r="X387">
        <f>HYPERLINK("https://klasma.github.io/Logging_1273/tillsyn/A 21313-2024 tillsynsbegäran.docx", "A 21313-2024")</f>
        <v/>
      </c>
      <c r="Y387">
        <f>HYPERLINK("https://klasma.github.io/Logging_1273/tillsynsmail/A 21313-2024 tillsynsbegäran mail.docx", "A 21313-2024")</f>
        <v/>
      </c>
    </row>
    <row r="388" ht="15" customHeight="1">
      <c r="A388" t="inlineStr">
        <is>
          <t>A 22569-2024</t>
        </is>
      </c>
      <c r="B388" s="1" t="n">
        <v>45447</v>
      </c>
      <c r="C388" s="1" t="n">
        <v>45796</v>
      </c>
      <c r="D388" t="inlineStr">
        <is>
          <t>SKÅNE LÄN</t>
        </is>
      </c>
      <c r="E388" t="inlineStr">
        <is>
          <t>HÖÖR</t>
        </is>
      </c>
      <c r="G388" t="n">
        <v>2.2</v>
      </c>
      <c r="H388" t="n">
        <v>1</v>
      </c>
      <c r="I388" t="n">
        <v>0</v>
      </c>
      <c r="J388" t="n">
        <v>1</v>
      </c>
      <c r="K388" t="n">
        <v>0</v>
      </c>
      <c r="L388" t="n">
        <v>0</v>
      </c>
      <c r="M388" t="n">
        <v>0</v>
      </c>
      <c r="N388" t="n">
        <v>0</v>
      </c>
      <c r="O388" t="n">
        <v>1</v>
      </c>
      <c r="P388" t="n">
        <v>0</v>
      </c>
      <c r="Q388" t="n">
        <v>1</v>
      </c>
      <c r="R388" s="2" t="inlineStr">
        <is>
          <t>Spillkråka</t>
        </is>
      </c>
      <c r="S388">
        <f>HYPERLINK("https://klasma.github.io/Logging_1267/artfynd/A 22569-2024 artfynd.xlsx", "A 22569-2024")</f>
        <v/>
      </c>
      <c r="T388">
        <f>HYPERLINK("https://klasma.github.io/Logging_1267/kartor/A 22569-2024 karta.png", "A 22569-2024")</f>
        <v/>
      </c>
      <c r="V388">
        <f>HYPERLINK("https://klasma.github.io/Logging_1267/klagomål/A 22569-2024 FSC-klagomål.docx", "A 22569-2024")</f>
        <v/>
      </c>
      <c r="W388">
        <f>HYPERLINK("https://klasma.github.io/Logging_1267/klagomålsmail/A 22569-2024 FSC-klagomål mail.docx", "A 22569-2024")</f>
        <v/>
      </c>
      <c r="X388">
        <f>HYPERLINK("https://klasma.github.io/Logging_1267/tillsyn/A 22569-2024 tillsynsbegäran.docx", "A 22569-2024")</f>
        <v/>
      </c>
      <c r="Y388">
        <f>HYPERLINK("https://klasma.github.io/Logging_1267/tillsynsmail/A 22569-2024 tillsynsbegäran mail.docx", "A 22569-2024")</f>
        <v/>
      </c>
      <c r="Z388">
        <f>HYPERLINK("https://klasma.github.io/Logging_1267/fåglar/A 22569-2024 prioriterade fågelarter.docx", "A 22569-2024")</f>
        <v/>
      </c>
    </row>
    <row r="389" ht="15" customHeight="1">
      <c r="A389" t="inlineStr">
        <is>
          <t>A 23403-2024</t>
        </is>
      </c>
      <c r="B389" s="1" t="n">
        <v>45453</v>
      </c>
      <c r="C389" s="1" t="n">
        <v>45796</v>
      </c>
      <c r="D389" t="inlineStr">
        <is>
          <t>SKÅNE LÄN</t>
        </is>
      </c>
      <c r="E389" t="inlineStr">
        <is>
          <t>KLIPPAN</t>
        </is>
      </c>
      <c r="G389" t="n">
        <v>9.1</v>
      </c>
      <c r="H389" t="n">
        <v>0</v>
      </c>
      <c r="I389" t="n">
        <v>0</v>
      </c>
      <c r="J389" t="n">
        <v>1</v>
      </c>
      <c r="K389" t="n">
        <v>0</v>
      </c>
      <c r="L389" t="n">
        <v>0</v>
      </c>
      <c r="M389" t="n">
        <v>0</v>
      </c>
      <c r="N389" t="n">
        <v>0</v>
      </c>
      <c r="O389" t="n">
        <v>1</v>
      </c>
      <c r="P389" t="n">
        <v>0</v>
      </c>
      <c r="Q389" t="n">
        <v>1</v>
      </c>
      <c r="R389" s="2" t="inlineStr">
        <is>
          <t>Vårstarr</t>
        </is>
      </c>
      <c r="S389">
        <f>HYPERLINK("https://klasma.github.io/Logging_1276/artfynd/A 23403-2024 artfynd.xlsx", "A 23403-2024")</f>
        <v/>
      </c>
      <c r="T389">
        <f>HYPERLINK("https://klasma.github.io/Logging_1276/kartor/A 23403-2024 karta.png", "A 23403-2024")</f>
        <v/>
      </c>
      <c r="V389">
        <f>HYPERLINK("https://klasma.github.io/Logging_1276/klagomål/A 23403-2024 FSC-klagomål.docx", "A 23403-2024")</f>
        <v/>
      </c>
      <c r="W389">
        <f>HYPERLINK("https://klasma.github.io/Logging_1276/klagomålsmail/A 23403-2024 FSC-klagomål mail.docx", "A 23403-2024")</f>
        <v/>
      </c>
      <c r="X389">
        <f>HYPERLINK("https://klasma.github.io/Logging_1276/tillsyn/A 23403-2024 tillsynsbegäran.docx", "A 23403-2024")</f>
        <v/>
      </c>
      <c r="Y389">
        <f>HYPERLINK("https://klasma.github.io/Logging_1276/tillsynsmail/A 23403-2024 tillsynsbegäran mail.docx", "A 23403-2024")</f>
        <v/>
      </c>
    </row>
    <row r="390" ht="15" customHeight="1">
      <c r="A390" t="inlineStr">
        <is>
          <t>A 23694-2024</t>
        </is>
      </c>
      <c r="B390" s="1" t="n">
        <v>45454</v>
      </c>
      <c r="C390" s="1" t="n">
        <v>45796</v>
      </c>
      <c r="D390" t="inlineStr">
        <is>
          <t>SKÅNE LÄN</t>
        </is>
      </c>
      <c r="E390" t="inlineStr">
        <is>
          <t>OSBY</t>
        </is>
      </c>
      <c r="G390" t="n">
        <v>6</v>
      </c>
      <c r="H390" t="n">
        <v>0</v>
      </c>
      <c r="I390" t="n">
        <v>0</v>
      </c>
      <c r="J390" t="n">
        <v>0</v>
      </c>
      <c r="K390" t="n">
        <v>1</v>
      </c>
      <c r="L390" t="n">
        <v>0</v>
      </c>
      <c r="M390" t="n">
        <v>0</v>
      </c>
      <c r="N390" t="n">
        <v>0</v>
      </c>
      <c r="O390" t="n">
        <v>1</v>
      </c>
      <c r="P390" t="n">
        <v>1</v>
      </c>
      <c r="Q390" t="n">
        <v>1</v>
      </c>
      <c r="R390" s="2" t="inlineStr">
        <is>
          <t>Slåttergubbe</t>
        </is>
      </c>
      <c r="S390">
        <f>HYPERLINK("https://klasma.github.io/Logging_1273/artfynd/A 23694-2024 artfynd.xlsx", "A 23694-2024")</f>
        <v/>
      </c>
      <c r="T390">
        <f>HYPERLINK("https://klasma.github.io/Logging_1273/kartor/A 23694-2024 karta.png", "A 23694-2024")</f>
        <v/>
      </c>
      <c r="V390">
        <f>HYPERLINK("https://klasma.github.io/Logging_1273/klagomål/A 23694-2024 FSC-klagomål.docx", "A 23694-2024")</f>
        <v/>
      </c>
      <c r="W390">
        <f>HYPERLINK("https://klasma.github.io/Logging_1273/klagomålsmail/A 23694-2024 FSC-klagomål mail.docx", "A 23694-2024")</f>
        <v/>
      </c>
      <c r="X390">
        <f>HYPERLINK("https://klasma.github.io/Logging_1273/tillsyn/A 23694-2024 tillsynsbegäran.docx", "A 23694-2024")</f>
        <v/>
      </c>
      <c r="Y390">
        <f>HYPERLINK("https://klasma.github.io/Logging_1273/tillsynsmail/A 23694-2024 tillsynsbegäran mail.docx", "A 23694-2024")</f>
        <v/>
      </c>
    </row>
    <row r="391" ht="15" customHeight="1">
      <c r="A391" t="inlineStr">
        <is>
          <t>A 25761-2024</t>
        </is>
      </c>
      <c r="B391" s="1" t="n">
        <v>45465</v>
      </c>
      <c r="C391" s="1" t="n">
        <v>45796</v>
      </c>
      <c r="D391" t="inlineStr">
        <is>
          <t>SKÅNE LÄN</t>
        </is>
      </c>
      <c r="E391" t="inlineStr">
        <is>
          <t>KRISTIANSTAD</t>
        </is>
      </c>
      <c r="G391" t="n">
        <v>2.8</v>
      </c>
      <c r="H391" t="n">
        <v>1</v>
      </c>
      <c r="I391" t="n">
        <v>0</v>
      </c>
      <c r="J391" t="n">
        <v>0</v>
      </c>
      <c r="K391" t="n">
        <v>0</v>
      </c>
      <c r="L391" t="n">
        <v>0</v>
      </c>
      <c r="M391" t="n">
        <v>0</v>
      </c>
      <c r="N391" t="n">
        <v>0</v>
      </c>
      <c r="O391" t="n">
        <v>0</v>
      </c>
      <c r="P391" t="n">
        <v>0</v>
      </c>
      <c r="Q391" t="n">
        <v>1</v>
      </c>
      <c r="R391" s="2" t="inlineStr">
        <is>
          <t>Gullviva</t>
        </is>
      </c>
      <c r="S391">
        <f>HYPERLINK("https://klasma.github.io/Logging_1290/artfynd/A 25761-2024 artfynd.xlsx", "A 25761-2024")</f>
        <v/>
      </c>
      <c r="T391">
        <f>HYPERLINK("https://klasma.github.io/Logging_1290/kartor/A 25761-2024 karta.png", "A 25761-2024")</f>
        <v/>
      </c>
      <c r="V391">
        <f>HYPERLINK("https://klasma.github.io/Logging_1290/klagomål/A 25761-2024 FSC-klagomål.docx", "A 25761-2024")</f>
        <v/>
      </c>
      <c r="W391">
        <f>HYPERLINK("https://klasma.github.io/Logging_1290/klagomålsmail/A 25761-2024 FSC-klagomål mail.docx", "A 25761-2024")</f>
        <v/>
      </c>
      <c r="X391">
        <f>HYPERLINK("https://klasma.github.io/Logging_1290/tillsyn/A 25761-2024 tillsynsbegäran.docx", "A 25761-2024")</f>
        <v/>
      </c>
      <c r="Y391">
        <f>HYPERLINK("https://klasma.github.io/Logging_1290/tillsynsmail/A 25761-2024 tillsynsbegäran mail.docx", "A 25761-2024")</f>
        <v/>
      </c>
    </row>
    <row r="392" ht="15" customHeight="1">
      <c r="A392" t="inlineStr">
        <is>
          <t>A 27230-2024</t>
        </is>
      </c>
      <c r="B392" s="1" t="n">
        <v>45471</v>
      </c>
      <c r="C392" s="1" t="n">
        <v>45796</v>
      </c>
      <c r="D392" t="inlineStr">
        <is>
          <t>SKÅNE LÄN</t>
        </is>
      </c>
      <c r="E392" t="inlineStr">
        <is>
          <t>SJÖBO</t>
        </is>
      </c>
      <c r="G392" t="n">
        <v>1.5</v>
      </c>
      <c r="H392" t="n">
        <v>1</v>
      </c>
      <c r="I392" t="n">
        <v>0</v>
      </c>
      <c r="J392" t="n">
        <v>1</v>
      </c>
      <c r="K392" t="n">
        <v>0</v>
      </c>
      <c r="L392" t="n">
        <v>0</v>
      </c>
      <c r="M392" t="n">
        <v>0</v>
      </c>
      <c r="N392" t="n">
        <v>0</v>
      </c>
      <c r="O392" t="n">
        <v>1</v>
      </c>
      <c r="P392" t="n">
        <v>0</v>
      </c>
      <c r="Q392" t="n">
        <v>1</v>
      </c>
      <c r="R392" s="2" t="inlineStr">
        <is>
          <t>Havsörn</t>
        </is>
      </c>
      <c r="S392">
        <f>HYPERLINK("https://klasma.github.io/Logging_1265/artfynd/A 27230-2024 artfynd.xlsx", "A 27230-2024")</f>
        <v/>
      </c>
      <c r="T392">
        <f>HYPERLINK("https://klasma.github.io/Logging_1265/kartor/A 27230-2024 karta.png", "A 27230-2024")</f>
        <v/>
      </c>
      <c r="V392">
        <f>HYPERLINK("https://klasma.github.io/Logging_1265/klagomål/A 27230-2024 FSC-klagomål.docx", "A 27230-2024")</f>
        <v/>
      </c>
      <c r="W392">
        <f>HYPERLINK("https://klasma.github.io/Logging_1265/klagomålsmail/A 27230-2024 FSC-klagomål mail.docx", "A 27230-2024")</f>
        <v/>
      </c>
      <c r="X392">
        <f>HYPERLINK("https://klasma.github.io/Logging_1265/tillsyn/A 27230-2024 tillsynsbegäran.docx", "A 27230-2024")</f>
        <v/>
      </c>
      <c r="Y392">
        <f>HYPERLINK("https://klasma.github.io/Logging_1265/tillsynsmail/A 27230-2024 tillsynsbegäran mail.docx", "A 27230-2024")</f>
        <v/>
      </c>
      <c r="Z392">
        <f>HYPERLINK("https://klasma.github.io/Logging_1265/fåglar/A 27230-2024 prioriterade fågelarter.docx", "A 27230-2024")</f>
        <v/>
      </c>
    </row>
    <row r="393" ht="15" customHeight="1">
      <c r="A393" t="inlineStr">
        <is>
          <t>A 28429-2024</t>
        </is>
      </c>
      <c r="B393" s="1" t="n">
        <v>45477</v>
      </c>
      <c r="C393" s="1" t="n">
        <v>45796</v>
      </c>
      <c r="D393" t="inlineStr">
        <is>
          <t>SKÅNE LÄN</t>
        </is>
      </c>
      <c r="E393" t="inlineStr">
        <is>
          <t>KRISTIANSTAD</t>
        </is>
      </c>
      <c r="G393" t="n">
        <v>0.4</v>
      </c>
      <c r="H393" t="n">
        <v>0</v>
      </c>
      <c r="I393" t="n">
        <v>0</v>
      </c>
      <c r="J393" t="n">
        <v>1</v>
      </c>
      <c r="K393" t="n">
        <v>0</v>
      </c>
      <c r="L393" t="n">
        <v>0</v>
      </c>
      <c r="M393" t="n">
        <v>0</v>
      </c>
      <c r="N393" t="n">
        <v>0</v>
      </c>
      <c r="O393" t="n">
        <v>1</v>
      </c>
      <c r="P393" t="n">
        <v>0</v>
      </c>
      <c r="Q393" t="n">
        <v>1</v>
      </c>
      <c r="R393" s="2" t="inlineStr">
        <is>
          <t>Knölspindel</t>
        </is>
      </c>
      <c r="S393">
        <f>HYPERLINK("https://klasma.github.io/Logging_1290/artfynd/A 28429-2024 artfynd.xlsx", "A 28429-2024")</f>
        <v/>
      </c>
      <c r="T393">
        <f>HYPERLINK("https://klasma.github.io/Logging_1290/kartor/A 28429-2024 karta.png", "A 28429-2024")</f>
        <v/>
      </c>
      <c r="V393">
        <f>HYPERLINK("https://klasma.github.io/Logging_1290/klagomål/A 28429-2024 FSC-klagomål.docx", "A 28429-2024")</f>
        <v/>
      </c>
      <c r="W393">
        <f>HYPERLINK("https://klasma.github.io/Logging_1290/klagomålsmail/A 28429-2024 FSC-klagomål mail.docx", "A 28429-2024")</f>
        <v/>
      </c>
      <c r="X393">
        <f>HYPERLINK("https://klasma.github.io/Logging_1290/tillsyn/A 28429-2024 tillsynsbegäran.docx", "A 28429-2024")</f>
        <v/>
      </c>
      <c r="Y393">
        <f>HYPERLINK("https://klasma.github.io/Logging_1290/tillsynsmail/A 28429-2024 tillsynsbegäran mail.docx", "A 28429-2024")</f>
        <v/>
      </c>
    </row>
    <row r="394" ht="15" customHeight="1">
      <c r="A394" t="inlineStr">
        <is>
          <t>A 28342-2024</t>
        </is>
      </c>
      <c r="B394" s="1" t="n">
        <v>45477</v>
      </c>
      <c r="C394" s="1" t="n">
        <v>45796</v>
      </c>
      <c r="D394" t="inlineStr">
        <is>
          <t>SKÅNE LÄN</t>
        </is>
      </c>
      <c r="E394" t="inlineStr">
        <is>
          <t>KRISTIANSTAD</t>
        </is>
      </c>
      <c r="G394" t="n">
        <v>3.2</v>
      </c>
      <c r="H394" t="n">
        <v>0</v>
      </c>
      <c r="I394" t="n">
        <v>0</v>
      </c>
      <c r="J394" t="n">
        <v>1</v>
      </c>
      <c r="K394" t="n">
        <v>0</v>
      </c>
      <c r="L394" t="n">
        <v>0</v>
      </c>
      <c r="M394" t="n">
        <v>0</v>
      </c>
      <c r="N394" t="n">
        <v>0</v>
      </c>
      <c r="O394" t="n">
        <v>1</v>
      </c>
      <c r="P394" t="n">
        <v>0</v>
      </c>
      <c r="Q394" t="n">
        <v>1</v>
      </c>
      <c r="R394" s="2" t="inlineStr">
        <is>
          <t>Knölspindel</t>
        </is>
      </c>
      <c r="S394">
        <f>HYPERLINK("https://klasma.github.io/Logging_1290/artfynd/A 28342-2024 artfynd.xlsx", "A 28342-2024")</f>
        <v/>
      </c>
      <c r="T394">
        <f>HYPERLINK("https://klasma.github.io/Logging_1290/kartor/A 28342-2024 karta.png", "A 28342-2024")</f>
        <v/>
      </c>
      <c r="V394">
        <f>HYPERLINK("https://klasma.github.io/Logging_1290/klagomål/A 28342-2024 FSC-klagomål.docx", "A 28342-2024")</f>
        <v/>
      </c>
      <c r="W394">
        <f>HYPERLINK("https://klasma.github.io/Logging_1290/klagomålsmail/A 28342-2024 FSC-klagomål mail.docx", "A 28342-2024")</f>
        <v/>
      </c>
      <c r="X394">
        <f>HYPERLINK("https://klasma.github.io/Logging_1290/tillsyn/A 28342-2024 tillsynsbegäran.docx", "A 28342-2024")</f>
        <v/>
      </c>
      <c r="Y394">
        <f>HYPERLINK("https://klasma.github.io/Logging_1290/tillsynsmail/A 28342-2024 tillsynsbegäran mail.docx", "A 28342-2024")</f>
        <v/>
      </c>
    </row>
    <row r="395" ht="15" customHeight="1">
      <c r="A395" t="inlineStr">
        <is>
          <t>A 30000-2024</t>
        </is>
      </c>
      <c r="B395" s="1" t="n">
        <v>45488</v>
      </c>
      <c r="C395" s="1" t="n">
        <v>45796</v>
      </c>
      <c r="D395" t="inlineStr">
        <is>
          <t>SKÅNE LÄN</t>
        </is>
      </c>
      <c r="E395" t="inlineStr">
        <is>
          <t>PERSTORP</t>
        </is>
      </c>
      <c r="G395" t="n">
        <v>10.8</v>
      </c>
      <c r="H395" t="n">
        <v>1</v>
      </c>
      <c r="I395" t="n">
        <v>0</v>
      </c>
      <c r="J395" t="n">
        <v>0</v>
      </c>
      <c r="K395" t="n">
        <v>0</v>
      </c>
      <c r="L395" t="n">
        <v>0</v>
      </c>
      <c r="M395" t="n">
        <v>0</v>
      </c>
      <c r="N395" t="n">
        <v>0</v>
      </c>
      <c r="O395" t="n">
        <v>0</v>
      </c>
      <c r="P395" t="n">
        <v>0</v>
      </c>
      <c r="Q395" t="n">
        <v>1</v>
      </c>
      <c r="R395" s="2" t="inlineStr">
        <is>
          <t>Revlummer</t>
        </is>
      </c>
      <c r="S395">
        <f>HYPERLINK("https://klasma.github.io/Logging_1275/artfynd/A 30000-2024 artfynd.xlsx", "A 30000-2024")</f>
        <v/>
      </c>
      <c r="T395">
        <f>HYPERLINK("https://klasma.github.io/Logging_1275/kartor/A 30000-2024 karta.png", "A 30000-2024")</f>
        <v/>
      </c>
      <c r="V395">
        <f>HYPERLINK("https://klasma.github.io/Logging_1275/klagomål/A 30000-2024 FSC-klagomål.docx", "A 30000-2024")</f>
        <v/>
      </c>
      <c r="W395">
        <f>HYPERLINK("https://klasma.github.io/Logging_1275/klagomålsmail/A 30000-2024 FSC-klagomål mail.docx", "A 30000-2024")</f>
        <v/>
      </c>
      <c r="X395">
        <f>HYPERLINK("https://klasma.github.io/Logging_1275/tillsyn/A 30000-2024 tillsynsbegäran.docx", "A 30000-2024")</f>
        <v/>
      </c>
      <c r="Y395">
        <f>HYPERLINK("https://klasma.github.io/Logging_1275/tillsynsmail/A 30000-2024 tillsynsbegäran mail.docx", "A 30000-2024")</f>
        <v/>
      </c>
    </row>
    <row r="396" ht="15" customHeight="1">
      <c r="A396" t="inlineStr">
        <is>
          <t>A 30526-2024</t>
        </is>
      </c>
      <c r="B396" s="1" t="n">
        <v>45492</v>
      </c>
      <c r="C396" s="1" t="n">
        <v>45796</v>
      </c>
      <c r="D396" t="inlineStr">
        <is>
          <t>SKÅNE LÄN</t>
        </is>
      </c>
      <c r="E396" t="inlineStr">
        <is>
          <t>KRISTIANSTAD</t>
        </is>
      </c>
      <c r="G396" t="n">
        <v>2.3</v>
      </c>
      <c r="H396" t="n">
        <v>1</v>
      </c>
      <c r="I396" t="n">
        <v>0</v>
      </c>
      <c r="J396" t="n">
        <v>0</v>
      </c>
      <c r="K396" t="n">
        <v>0</v>
      </c>
      <c r="L396" t="n">
        <v>1</v>
      </c>
      <c r="M396" t="n">
        <v>0</v>
      </c>
      <c r="N396" t="n">
        <v>0</v>
      </c>
      <c r="O396" t="n">
        <v>1</v>
      </c>
      <c r="P396" t="n">
        <v>1</v>
      </c>
      <c r="Q396" t="n">
        <v>1</v>
      </c>
      <c r="R396" s="2" t="inlineStr">
        <is>
          <t>Dvärgjohannesört</t>
        </is>
      </c>
      <c r="S396">
        <f>HYPERLINK("https://klasma.github.io/Logging_1290/artfynd/A 30526-2024 artfynd.xlsx", "A 30526-2024")</f>
        <v/>
      </c>
      <c r="T396">
        <f>HYPERLINK("https://klasma.github.io/Logging_1290/kartor/A 30526-2024 karta.png", "A 30526-2024")</f>
        <v/>
      </c>
      <c r="V396">
        <f>HYPERLINK("https://klasma.github.io/Logging_1290/klagomål/A 30526-2024 FSC-klagomål.docx", "A 30526-2024")</f>
        <v/>
      </c>
      <c r="W396">
        <f>HYPERLINK("https://klasma.github.io/Logging_1290/klagomålsmail/A 30526-2024 FSC-klagomål mail.docx", "A 30526-2024")</f>
        <v/>
      </c>
      <c r="X396">
        <f>HYPERLINK("https://klasma.github.io/Logging_1290/tillsyn/A 30526-2024 tillsynsbegäran.docx", "A 30526-2024")</f>
        <v/>
      </c>
      <c r="Y396">
        <f>HYPERLINK("https://klasma.github.io/Logging_1290/tillsynsmail/A 30526-2024 tillsynsbegäran mail.docx", "A 30526-2024")</f>
        <v/>
      </c>
    </row>
    <row r="397" ht="15" customHeight="1">
      <c r="A397" t="inlineStr">
        <is>
          <t>A 31620-2024</t>
        </is>
      </c>
      <c r="B397" s="1" t="n">
        <v>45506</v>
      </c>
      <c r="C397" s="1" t="n">
        <v>45796</v>
      </c>
      <c r="D397" t="inlineStr">
        <is>
          <t>SKÅNE LÄN</t>
        </is>
      </c>
      <c r="E397" t="inlineStr">
        <is>
          <t>KRISTIANSTAD</t>
        </is>
      </c>
      <c r="G397" t="n">
        <v>0.5</v>
      </c>
      <c r="H397" t="n">
        <v>1</v>
      </c>
      <c r="I397" t="n">
        <v>0</v>
      </c>
      <c r="J397" t="n">
        <v>0</v>
      </c>
      <c r="K397" t="n">
        <v>1</v>
      </c>
      <c r="L397" t="n">
        <v>0</v>
      </c>
      <c r="M397" t="n">
        <v>0</v>
      </c>
      <c r="N397" t="n">
        <v>0</v>
      </c>
      <c r="O397" t="n">
        <v>1</v>
      </c>
      <c r="P397" t="n">
        <v>1</v>
      </c>
      <c r="Q397" t="n">
        <v>1</v>
      </c>
      <c r="R397" s="2" t="inlineStr">
        <is>
          <t>Backsippa</t>
        </is>
      </c>
      <c r="S397">
        <f>HYPERLINK("https://klasma.github.io/Logging_1290/artfynd/A 31620-2024 artfynd.xlsx", "A 31620-2024")</f>
        <v/>
      </c>
      <c r="T397">
        <f>HYPERLINK("https://klasma.github.io/Logging_1290/kartor/A 31620-2024 karta.png", "A 31620-2024")</f>
        <v/>
      </c>
      <c r="V397">
        <f>HYPERLINK("https://klasma.github.io/Logging_1290/klagomål/A 31620-2024 FSC-klagomål.docx", "A 31620-2024")</f>
        <v/>
      </c>
      <c r="W397">
        <f>HYPERLINK("https://klasma.github.io/Logging_1290/klagomålsmail/A 31620-2024 FSC-klagomål mail.docx", "A 31620-2024")</f>
        <v/>
      </c>
      <c r="X397">
        <f>HYPERLINK("https://klasma.github.io/Logging_1290/tillsyn/A 31620-2024 tillsynsbegäran.docx", "A 31620-2024")</f>
        <v/>
      </c>
      <c r="Y397">
        <f>HYPERLINK("https://klasma.github.io/Logging_1290/tillsynsmail/A 31620-2024 tillsynsbegäran mail.docx", "A 31620-2024")</f>
        <v/>
      </c>
    </row>
    <row r="398" ht="15" customHeight="1">
      <c r="A398" t="inlineStr">
        <is>
          <t>A 32101-2024</t>
        </is>
      </c>
      <c r="B398" s="1" t="n">
        <v>45511</v>
      </c>
      <c r="C398" s="1" t="n">
        <v>45796</v>
      </c>
      <c r="D398" t="inlineStr">
        <is>
          <t>SKÅNE LÄN</t>
        </is>
      </c>
      <c r="E398" t="inlineStr">
        <is>
          <t>KRISTIANSTAD</t>
        </is>
      </c>
      <c r="G398" t="n">
        <v>6.6</v>
      </c>
      <c r="H398" t="n">
        <v>1</v>
      </c>
      <c r="I398" t="n">
        <v>1</v>
      </c>
      <c r="J398" t="n">
        <v>0</v>
      </c>
      <c r="K398" t="n">
        <v>0</v>
      </c>
      <c r="L398" t="n">
        <v>0</v>
      </c>
      <c r="M398" t="n">
        <v>0</v>
      </c>
      <c r="N398" t="n">
        <v>0</v>
      </c>
      <c r="O398" t="n">
        <v>0</v>
      </c>
      <c r="P398" t="n">
        <v>0</v>
      </c>
      <c r="Q398" t="n">
        <v>1</v>
      </c>
      <c r="R398" s="2" t="inlineStr">
        <is>
          <t>Skogsknipprot</t>
        </is>
      </c>
      <c r="S398">
        <f>HYPERLINK("https://klasma.github.io/Logging_1290/artfynd/A 32101-2024 artfynd.xlsx", "A 32101-2024")</f>
        <v/>
      </c>
      <c r="T398">
        <f>HYPERLINK("https://klasma.github.io/Logging_1290/kartor/A 32101-2024 karta.png", "A 32101-2024")</f>
        <v/>
      </c>
      <c r="V398">
        <f>HYPERLINK("https://klasma.github.io/Logging_1290/klagomål/A 32101-2024 FSC-klagomål.docx", "A 32101-2024")</f>
        <v/>
      </c>
      <c r="W398">
        <f>HYPERLINK("https://klasma.github.io/Logging_1290/klagomålsmail/A 32101-2024 FSC-klagomål mail.docx", "A 32101-2024")</f>
        <v/>
      </c>
      <c r="X398">
        <f>HYPERLINK("https://klasma.github.io/Logging_1290/tillsyn/A 32101-2024 tillsynsbegäran.docx", "A 32101-2024")</f>
        <v/>
      </c>
      <c r="Y398">
        <f>HYPERLINK("https://klasma.github.io/Logging_1290/tillsynsmail/A 32101-2024 tillsynsbegäran mail.docx", "A 32101-2024")</f>
        <v/>
      </c>
    </row>
    <row r="399" ht="15" customHeight="1">
      <c r="A399" t="inlineStr">
        <is>
          <t>A 32367-2024</t>
        </is>
      </c>
      <c r="B399" s="1" t="n">
        <v>45512</v>
      </c>
      <c r="C399" s="1" t="n">
        <v>45796</v>
      </c>
      <c r="D399" t="inlineStr">
        <is>
          <t>SKÅNE LÄN</t>
        </is>
      </c>
      <c r="E399" t="inlineStr">
        <is>
          <t>ÖSTRA GÖINGE</t>
        </is>
      </c>
      <c r="G399" t="n">
        <v>5.4</v>
      </c>
      <c r="H399" t="n">
        <v>0</v>
      </c>
      <c r="I399" t="n">
        <v>1</v>
      </c>
      <c r="J399" t="n">
        <v>0</v>
      </c>
      <c r="K399" t="n">
        <v>0</v>
      </c>
      <c r="L399" t="n">
        <v>0</v>
      </c>
      <c r="M399" t="n">
        <v>0</v>
      </c>
      <c r="N399" t="n">
        <v>0</v>
      </c>
      <c r="O399" t="n">
        <v>0</v>
      </c>
      <c r="P399" t="n">
        <v>0</v>
      </c>
      <c r="Q399" t="n">
        <v>1</v>
      </c>
      <c r="R399" s="2" t="inlineStr">
        <is>
          <t>Blomkålssvamp</t>
        </is>
      </c>
      <c r="S399">
        <f>HYPERLINK("https://klasma.github.io/Logging_1256/artfynd/A 32367-2024 artfynd.xlsx", "A 32367-2024")</f>
        <v/>
      </c>
      <c r="T399">
        <f>HYPERLINK("https://klasma.github.io/Logging_1256/kartor/A 32367-2024 karta.png", "A 32367-2024")</f>
        <v/>
      </c>
      <c r="V399">
        <f>HYPERLINK("https://klasma.github.io/Logging_1256/klagomål/A 32367-2024 FSC-klagomål.docx", "A 32367-2024")</f>
        <v/>
      </c>
      <c r="W399">
        <f>HYPERLINK("https://klasma.github.io/Logging_1256/klagomålsmail/A 32367-2024 FSC-klagomål mail.docx", "A 32367-2024")</f>
        <v/>
      </c>
      <c r="X399">
        <f>HYPERLINK("https://klasma.github.io/Logging_1256/tillsyn/A 32367-2024 tillsynsbegäran.docx", "A 32367-2024")</f>
        <v/>
      </c>
      <c r="Y399">
        <f>HYPERLINK("https://klasma.github.io/Logging_1256/tillsynsmail/A 32367-2024 tillsynsbegäran mail.docx", "A 32367-2024")</f>
        <v/>
      </c>
    </row>
    <row r="400" ht="15" customHeight="1">
      <c r="A400" t="inlineStr">
        <is>
          <t>A 32842-2024</t>
        </is>
      </c>
      <c r="B400" s="1" t="n">
        <v>45516</v>
      </c>
      <c r="C400" s="1" t="n">
        <v>45796</v>
      </c>
      <c r="D400" t="inlineStr">
        <is>
          <t>SKÅNE LÄN</t>
        </is>
      </c>
      <c r="E400" t="inlineStr">
        <is>
          <t>PERSTORP</t>
        </is>
      </c>
      <c r="G400" t="n">
        <v>2.5</v>
      </c>
      <c r="H400" t="n">
        <v>0</v>
      </c>
      <c r="I400" t="n">
        <v>1</v>
      </c>
      <c r="J400" t="n">
        <v>0</v>
      </c>
      <c r="K400" t="n">
        <v>0</v>
      </c>
      <c r="L400" t="n">
        <v>0</v>
      </c>
      <c r="M400" t="n">
        <v>0</v>
      </c>
      <c r="N400" t="n">
        <v>0</v>
      </c>
      <c r="O400" t="n">
        <v>0</v>
      </c>
      <c r="P400" t="n">
        <v>0</v>
      </c>
      <c r="Q400" t="n">
        <v>1</v>
      </c>
      <c r="R400" s="2" t="inlineStr">
        <is>
          <t>Blåmossa</t>
        </is>
      </c>
      <c r="S400">
        <f>HYPERLINK("https://klasma.github.io/Logging_1275/artfynd/A 32842-2024 artfynd.xlsx", "A 32842-2024")</f>
        <v/>
      </c>
      <c r="T400">
        <f>HYPERLINK("https://klasma.github.io/Logging_1275/kartor/A 32842-2024 karta.png", "A 32842-2024")</f>
        <v/>
      </c>
      <c r="V400">
        <f>HYPERLINK("https://klasma.github.io/Logging_1275/klagomål/A 32842-2024 FSC-klagomål.docx", "A 32842-2024")</f>
        <v/>
      </c>
      <c r="W400">
        <f>HYPERLINK("https://klasma.github.io/Logging_1275/klagomålsmail/A 32842-2024 FSC-klagomål mail.docx", "A 32842-2024")</f>
        <v/>
      </c>
      <c r="X400">
        <f>HYPERLINK("https://klasma.github.io/Logging_1275/tillsyn/A 32842-2024 tillsynsbegäran.docx", "A 32842-2024")</f>
        <v/>
      </c>
      <c r="Y400">
        <f>HYPERLINK("https://klasma.github.io/Logging_1275/tillsynsmail/A 32842-2024 tillsynsbegäran mail.docx", "A 32842-2024")</f>
        <v/>
      </c>
    </row>
    <row r="401" ht="15" customHeight="1">
      <c r="A401" t="inlineStr">
        <is>
          <t>A 34341-2024</t>
        </is>
      </c>
      <c r="B401" s="1" t="n">
        <v>45525</v>
      </c>
      <c r="C401" s="1" t="n">
        <v>45796</v>
      </c>
      <c r="D401" t="inlineStr">
        <is>
          <t>SKÅNE LÄN</t>
        </is>
      </c>
      <c r="E401" t="inlineStr">
        <is>
          <t>YSTAD</t>
        </is>
      </c>
      <c r="F401" t="inlineStr">
        <is>
          <t>Övriga Aktiebolag</t>
        </is>
      </c>
      <c r="G401" t="n">
        <v>14.4</v>
      </c>
      <c r="H401" t="n">
        <v>0</v>
      </c>
      <c r="I401" t="n">
        <v>0</v>
      </c>
      <c r="J401" t="n">
        <v>1</v>
      </c>
      <c r="K401" t="n">
        <v>0</v>
      </c>
      <c r="L401" t="n">
        <v>0</v>
      </c>
      <c r="M401" t="n">
        <v>0</v>
      </c>
      <c r="N401" t="n">
        <v>0</v>
      </c>
      <c r="O401" t="n">
        <v>1</v>
      </c>
      <c r="P401" t="n">
        <v>0</v>
      </c>
      <c r="Q401" t="n">
        <v>1</v>
      </c>
      <c r="R401" s="2" t="inlineStr">
        <is>
          <t>Desmeknopp</t>
        </is>
      </c>
      <c r="S401">
        <f>HYPERLINK("https://klasma.github.io/Logging_1286/artfynd/A 34341-2024 artfynd.xlsx", "A 34341-2024")</f>
        <v/>
      </c>
      <c r="T401">
        <f>HYPERLINK("https://klasma.github.io/Logging_1286/kartor/A 34341-2024 karta.png", "A 34341-2024")</f>
        <v/>
      </c>
      <c r="V401">
        <f>HYPERLINK("https://klasma.github.io/Logging_1286/klagomål/A 34341-2024 FSC-klagomål.docx", "A 34341-2024")</f>
        <v/>
      </c>
      <c r="W401">
        <f>HYPERLINK("https://klasma.github.io/Logging_1286/klagomålsmail/A 34341-2024 FSC-klagomål mail.docx", "A 34341-2024")</f>
        <v/>
      </c>
      <c r="X401">
        <f>HYPERLINK("https://klasma.github.io/Logging_1286/tillsyn/A 34341-2024 tillsynsbegäran.docx", "A 34341-2024")</f>
        <v/>
      </c>
      <c r="Y401">
        <f>HYPERLINK("https://klasma.github.io/Logging_1286/tillsynsmail/A 34341-2024 tillsynsbegäran mail.docx", "A 34341-2024")</f>
        <v/>
      </c>
    </row>
    <row r="402" ht="15" customHeight="1">
      <c r="A402" t="inlineStr">
        <is>
          <t>A 35258-2024</t>
        </is>
      </c>
      <c r="B402" s="1" t="n">
        <v>45530</v>
      </c>
      <c r="C402" s="1" t="n">
        <v>45796</v>
      </c>
      <c r="D402" t="inlineStr">
        <is>
          <t>SKÅNE LÄN</t>
        </is>
      </c>
      <c r="E402" t="inlineStr">
        <is>
          <t>SJÖBO</t>
        </is>
      </c>
      <c r="G402" t="n">
        <v>16.6</v>
      </c>
      <c r="H402" t="n">
        <v>0</v>
      </c>
      <c r="I402" t="n">
        <v>0</v>
      </c>
      <c r="J402" t="n">
        <v>0</v>
      </c>
      <c r="K402" t="n">
        <v>0</v>
      </c>
      <c r="L402" t="n">
        <v>1</v>
      </c>
      <c r="M402" t="n">
        <v>0</v>
      </c>
      <c r="N402" t="n">
        <v>0</v>
      </c>
      <c r="O402" t="n">
        <v>1</v>
      </c>
      <c r="P402" t="n">
        <v>1</v>
      </c>
      <c r="Q402" t="n">
        <v>1</v>
      </c>
      <c r="R402" s="2" t="inlineStr">
        <is>
          <t>Ask</t>
        </is>
      </c>
      <c r="S402">
        <f>HYPERLINK("https://klasma.github.io/Logging_1265/artfynd/A 35258-2024 artfynd.xlsx", "A 35258-2024")</f>
        <v/>
      </c>
      <c r="T402">
        <f>HYPERLINK("https://klasma.github.io/Logging_1265/kartor/A 35258-2024 karta.png", "A 35258-2024")</f>
        <v/>
      </c>
      <c r="V402">
        <f>HYPERLINK("https://klasma.github.io/Logging_1265/klagomål/A 35258-2024 FSC-klagomål.docx", "A 35258-2024")</f>
        <v/>
      </c>
      <c r="W402">
        <f>HYPERLINK("https://klasma.github.io/Logging_1265/klagomålsmail/A 35258-2024 FSC-klagomål mail.docx", "A 35258-2024")</f>
        <v/>
      </c>
      <c r="X402">
        <f>HYPERLINK("https://klasma.github.io/Logging_1265/tillsyn/A 35258-2024 tillsynsbegäran.docx", "A 35258-2024")</f>
        <v/>
      </c>
      <c r="Y402">
        <f>HYPERLINK("https://klasma.github.io/Logging_1265/tillsynsmail/A 35258-2024 tillsynsbegäran mail.docx", "A 35258-2024")</f>
        <v/>
      </c>
    </row>
    <row r="403" ht="15" customHeight="1">
      <c r="A403" t="inlineStr">
        <is>
          <t>A 48064-2024</t>
        </is>
      </c>
      <c r="B403" s="1" t="n">
        <v>45589</v>
      </c>
      <c r="C403" s="1" t="n">
        <v>45796</v>
      </c>
      <c r="D403" t="inlineStr">
        <is>
          <t>SKÅNE LÄN</t>
        </is>
      </c>
      <c r="E403" t="inlineStr">
        <is>
          <t>ÄNGELHOLM</t>
        </is>
      </c>
      <c r="G403" t="n">
        <v>14.9</v>
      </c>
      <c r="H403" t="n">
        <v>1</v>
      </c>
      <c r="I403" t="n">
        <v>0</v>
      </c>
      <c r="J403" t="n">
        <v>0</v>
      </c>
      <c r="K403" t="n">
        <v>0</v>
      </c>
      <c r="L403" t="n">
        <v>0</v>
      </c>
      <c r="M403" t="n">
        <v>0</v>
      </c>
      <c r="N403" t="n">
        <v>0</v>
      </c>
      <c r="O403" t="n">
        <v>0</v>
      </c>
      <c r="P403" t="n">
        <v>0</v>
      </c>
      <c r="Q403" t="n">
        <v>1</v>
      </c>
      <c r="R403" s="2" t="inlineStr">
        <is>
          <t>Klotullört</t>
        </is>
      </c>
      <c r="S403">
        <f>HYPERLINK("https://klasma.github.io/Logging_1292/artfynd/A 48064-2024 artfynd.xlsx", "A 48064-2024")</f>
        <v/>
      </c>
      <c r="T403">
        <f>HYPERLINK("https://klasma.github.io/Logging_1292/kartor/A 48064-2024 karta.png", "A 48064-2024")</f>
        <v/>
      </c>
      <c r="V403">
        <f>HYPERLINK("https://klasma.github.io/Logging_1292/klagomål/A 48064-2024 FSC-klagomål.docx", "A 48064-2024")</f>
        <v/>
      </c>
      <c r="W403">
        <f>HYPERLINK("https://klasma.github.io/Logging_1292/klagomålsmail/A 48064-2024 FSC-klagomål mail.docx", "A 48064-2024")</f>
        <v/>
      </c>
      <c r="X403">
        <f>HYPERLINK("https://klasma.github.io/Logging_1292/tillsyn/A 48064-2024 tillsynsbegäran.docx", "A 48064-2024")</f>
        <v/>
      </c>
      <c r="Y403">
        <f>HYPERLINK("https://klasma.github.io/Logging_1292/tillsynsmail/A 48064-2024 tillsynsbegäran mail.docx", "A 48064-2024")</f>
        <v/>
      </c>
    </row>
    <row r="404" ht="15" customHeight="1">
      <c r="A404" t="inlineStr">
        <is>
          <t>A 48926-2024</t>
        </is>
      </c>
      <c r="B404" s="1" t="n">
        <v>45594</v>
      </c>
      <c r="C404" s="1" t="n">
        <v>45796</v>
      </c>
      <c r="D404" t="inlineStr">
        <is>
          <t>SKÅNE LÄN</t>
        </is>
      </c>
      <c r="E404" t="inlineStr">
        <is>
          <t>HÖÖR</t>
        </is>
      </c>
      <c r="G404" t="n">
        <v>10.8</v>
      </c>
      <c r="H404" t="n">
        <v>0</v>
      </c>
      <c r="I404" t="n">
        <v>0</v>
      </c>
      <c r="J404" t="n">
        <v>0</v>
      </c>
      <c r="K404" t="n">
        <v>1</v>
      </c>
      <c r="L404" t="n">
        <v>0</v>
      </c>
      <c r="M404" t="n">
        <v>0</v>
      </c>
      <c r="N404" t="n">
        <v>0</v>
      </c>
      <c r="O404" t="n">
        <v>1</v>
      </c>
      <c r="P404" t="n">
        <v>1</v>
      </c>
      <c r="Q404" t="n">
        <v>1</v>
      </c>
      <c r="R404" s="2" t="inlineStr">
        <is>
          <t>Småvänderot</t>
        </is>
      </c>
      <c r="S404">
        <f>HYPERLINK("https://klasma.github.io/Logging_1267/artfynd/A 48926-2024 artfynd.xlsx", "A 48926-2024")</f>
        <v/>
      </c>
      <c r="T404">
        <f>HYPERLINK("https://klasma.github.io/Logging_1267/kartor/A 48926-2024 karta.png", "A 48926-2024")</f>
        <v/>
      </c>
      <c r="V404">
        <f>HYPERLINK("https://klasma.github.io/Logging_1267/klagomål/A 48926-2024 FSC-klagomål.docx", "A 48926-2024")</f>
        <v/>
      </c>
      <c r="W404">
        <f>HYPERLINK("https://klasma.github.io/Logging_1267/klagomålsmail/A 48926-2024 FSC-klagomål mail.docx", "A 48926-2024")</f>
        <v/>
      </c>
      <c r="X404">
        <f>HYPERLINK("https://klasma.github.io/Logging_1267/tillsyn/A 48926-2024 tillsynsbegäran.docx", "A 48926-2024")</f>
        <v/>
      </c>
      <c r="Y404">
        <f>HYPERLINK("https://klasma.github.io/Logging_1267/tillsynsmail/A 48926-2024 tillsynsbegäran mail.docx", "A 48926-2024")</f>
        <v/>
      </c>
    </row>
    <row r="405" ht="15" customHeight="1">
      <c r="A405" t="inlineStr">
        <is>
          <t>A 50779-2024</t>
        </is>
      </c>
      <c r="B405" s="1" t="n">
        <v>45602</v>
      </c>
      <c r="C405" s="1" t="n">
        <v>45796</v>
      </c>
      <c r="D405" t="inlineStr">
        <is>
          <t>SKÅNE LÄN</t>
        </is>
      </c>
      <c r="E405" t="inlineStr">
        <is>
          <t>KRISTIANSTAD</t>
        </is>
      </c>
      <c r="G405" t="n">
        <v>6.6</v>
      </c>
      <c r="H405" t="n">
        <v>0</v>
      </c>
      <c r="I405" t="n">
        <v>1</v>
      </c>
      <c r="J405" t="n">
        <v>0</v>
      </c>
      <c r="K405" t="n">
        <v>0</v>
      </c>
      <c r="L405" t="n">
        <v>0</v>
      </c>
      <c r="M405" t="n">
        <v>0</v>
      </c>
      <c r="N405" t="n">
        <v>0</v>
      </c>
      <c r="O405" t="n">
        <v>0</v>
      </c>
      <c r="P405" t="n">
        <v>0</v>
      </c>
      <c r="Q405" t="n">
        <v>1</v>
      </c>
      <c r="R405" s="2" t="inlineStr">
        <is>
          <t>Bokoxe</t>
        </is>
      </c>
      <c r="S405">
        <f>HYPERLINK("https://klasma.github.io/Logging_1290/artfynd/A 50779-2024 artfynd.xlsx", "A 50779-2024")</f>
        <v/>
      </c>
      <c r="T405">
        <f>HYPERLINK("https://klasma.github.io/Logging_1290/kartor/A 50779-2024 karta.png", "A 50779-2024")</f>
        <v/>
      </c>
      <c r="V405">
        <f>HYPERLINK("https://klasma.github.io/Logging_1290/klagomål/A 50779-2024 FSC-klagomål.docx", "A 50779-2024")</f>
        <v/>
      </c>
      <c r="W405">
        <f>HYPERLINK("https://klasma.github.io/Logging_1290/klagomålsmail/A 50779-2024 FSC-klagomål mail.docx", "A 50779-2024")</f>
        <v/>
      </c>
      <c r="X405">
        <f>HYPERLINK("https://klasma.github.io/Logging_1290/tillsyn/A 50779-2024 tillsynsbegäran.docx", "A 50779-2024")</f>
        <v/>
      </c>
      <c r="Y405">
        <f>HYPERLINK("https://klasma.github.io/Logging_1290/tillsynsmail/A 50779-2024 tillsynsbegäran mail.docx", "A 50779-2024")</f>
        <v/>
      </c>
    </row>
    <row r="406" ht="15" customHeight="1">
      <c r="A406" t="inlineStr">
        <is>
          <t>A 53811-2024</t>
        </is>
      </c>
      <c r="B406" s="1" t="n">
        <v>45615</v>
      </c>
      <c r="C406" s="1" t="n">
        <v>45796</v>
      </c>
      <c r="D406" t="inlineStr">
        <is>
          <t>SKÅNE LÄN</t>
        </is>
      </c>
      <c r="E406" t="inlineStr">
        <is>
          <t>ESLÖV</t>
        </is>
      </c>
      <c r="G406" t="n">
        <v>1.2</v>
      </c>
      <c r="H406" t="n">
        <v>0</v>
      </c>
      <c r="I406" t="n">
        <v>0</v>
      </c>
      <c r="J406" t="n">
        <v>1</v>
      </c>
      <c r="K406" t="n">
        <v>0</v>
      </c>
      <c r="L406" t="n">
        <v>0</v>
      </c>
      <c r="M406" t="n">
        <v>0</v>
      </c>
      <c r="N406" t="n">
        <v>0</v>
      </c>
      <c r="O406" t="n">
        <v>1</v>
      </c>
      <c r="P406" t="n">
        <v>0</v>
      </c>
      <c r="Q406" t="n">
        <v>1</v>
      </c>
      <c r="R406" s="2" t="inlineStr">
        <is>
          <t>Dystersopp</t>
        </is>
      </c>
      <c r="S406">
        <f>HYPERLINK("https://klasma.github.io/Logging_1285/artfynd/A 53811-2024 artfynd.xlsx", "A 53811-2024")</f>
        <v/>
      </c>
      <c r="T406">
        <f>HYPERLINK("https://klasma.github.io/Logging_1285/kartor/A 53811-2024 karta.png", "A 53811-2024")</f>
        <v/>
      </c>
      <c r="V406">
        <f>HYPERLINK("https://klasma.github.io/Logging_1285/klagomål/A 53811-2024 FSC-klagomål.docx", "A 53811-2024")</f>
        <v/>
      </c>
      <c r="W406">
        <f>HYPERLINK("https://klasma.github.io/Logging_1285/klagomålsmail/A 53811-2024 FSC-klagomål mail.docx", "A 53811-2024")</f>
        <v/>
      </c>
      <c r="X406">
        <f>HYPERLINK("https://klasma.github.io/Logging_1285/tillsyn/A 53811-2024 tillsynsbegäran.docx", "A 53811-2024")</f>
        <v/>
      </c>
      <c r="Y406">
        <f>HYPERLINK("https://klasma.github.io/Logging_1285/tillsynsmail/A 53811-2024 tillsynsbegäran mail.docx", "A 53811-2024")</f>
        <v/>
      </c>
    </row>
    <row r="407" ht="15" customHeight="1">
      <c r="A407" t="inlineStr">
        <is>
          <t>A 54523-2024</t>
        </is>
      </c>
      <c r="B407" s="1" t="n">
        <v>45617</v>
      </c>
      <c r="C407" s="1" t="n">
        <v>45796</v>
      </c>
      <c r="D407" t="inlineStr">
        <is>
          <t>SKÅNE LÄN</t>
        </is>
      </c>
      <c r="E407" t="inlineStr">
        <is>
          <t>HÄSSLEHOLM</t>
        </is>
      </c>
      <c r="G407" t="n">
        <v>4.5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54523-2024 artfynd.xlsx", "A 54523-2024")</f>
        <v/>
      </c>
      <c r="T407">
        <f>HYPERLINK("https://klasma.github.io/Logging_1293/kartor/A 54523-2024 karta.png", "A 54523-2024")</f>
        <v/>
      </c>
      <c r="V407">
        <f>HYPERLINK("https://klasma.github.io/Logging_1293/klagomål/A 54523-2024 FSC-klagomål.docx", "A 54523-2024")</f>
        <v/>
      </c>
      <c r="W407">
        <f>HYPERLINK("https://klasma.github.io/Logging_1293/klagomålsmail/A 54523-2024 FSC-klagomål mail.docx", "A 54523-2024")</f>
        <v/>
      </c>
      <c r="X407">
        <f>HYPERLINK("https://klasma.github.io/Logging_1293/tillsyn/A 54523-2024 tillsynsbegäran.docx", "A 54523-2024")</f>
        <v/>
      </c>
      <c r="Y407">
        <f>HYPERLINK("https://klasma.github.io/Logging_1293/tillsynsmail/A 54523-2024 tillsynsbegäran mail.docx", "A 54523-2024")</f>
        <v/>
      </c>
    </row>
    <row r="408" ht="15" customHeight="1">
      <c r="A408" t="inlineStr">
        <is>
          <t>A 59446-2024</t>
        </is>
      </c>
      <c r="B408" s="1" t="n">
        <v>45638</v>
      </c>
      <c r="C408" s="1" t="n">
        <v>45796</v>
      </c>
      <c r="D408" t="inlineStr">
        <is>
          <t>SKÅNE LÄN</t>
        </is>
      </c>
      <c r="E408" t="inlineStr">
        <is>
          <t>BJUV</t>
        </is>
      </c>
      <c r="G408" t="n">
        <v>3.9</v>
      </c>
      <c r="H408" t="n">
        <v>0</v>
      </c>
      <c r="I408" t="n">
        <v>1</v>
      </c>
      <c r="J408" t="n">
        <v>0</v>
      </c>
      <c r="K408" t="n">
        <v>0</v>
      </c>
      <c r="L408" t="n">
        <v>0</v>
      </c>
      <c r="M408" t="n">
        <v>0</v>
      </c>
      <c r="N408" t="n">
        <v>0</v>
      </c>
      <c r="O408" t="n">
        <v>0</v>
      </c>
      <c r="P408" t="n">
        <v>0</v>
      </c>
      <c r="Q408" t="n">
        <v>1</v>
      </c>
      <c r="R408" s="2" t="inlineStr">
        <is>
          <t>Platt fjädermossa</t>
        </is>
      </c>
      <c r="S408">
        <f>HYPERLINK("https://klasma.github.io/Logging_1260/artfynd/A 59446-2024 artfynd.xlsx", "A 59446-2024")</f>
        <v/>
      </c>
      <c r="T408">
        <f>HYPERLINK("https://klasma.github.io/Logging_1260/kartor/A 59446-2024 karta.png", "A 59446-2024")</f>
        <v/>
      </c>
      <c r="V408">
        <f>HYPERLINK("https://klasma.github.io/Logging_1260/klagomål/A 59446-2024 FSC-klagomål.docx", "A 59446-2024")</f>
        <v/>
      </c>
      <c r="W408">
        <f>HYPERLINK("https://klasma.github.io/Logging_1260/klagomålsmail/A 59446-2024 FSC-klagomål mail.docx", "A 59446-2024")</f>
        <v/>
      </c>
      <c r="X408">
        <f>HYPERLINK("https://klasma.github.io/Logging_1260/tillsyn/A 59446-2024 tillsynsbegäran.docx", "A 59446-2024")</f>
        <v/>
      </c>
      <c r="Y408">
        <f>HYPERLINK("https://klasma.github.io/Logging_1260/tillsynsmail/A 59446-2024 tillsynsbegäran mail.docx", "A 59446-2024")</f>
        <v/>
      </c>
    </row>
    <row r="409" ht="15" customHeight="1">
      <c r="A409" t="inlineStr">
        <is>
          <t>A 60891-2024</t>
        </is>
      </c>
      <c r="B409" s="1" t="n">
        <v>45644</v>
      </c>
      <c r="C409" s="1" t="n">
        <v>45796</v>
      </c>
      <c r="D409" t="inlineStr">
        <is>
          <t>SKÅNE LÄN</t>
        </is>
      </c>
      <c r="E409" t="inlineStr">
        <is>
          <t>YSTAD</t>
        </is>
      </c>
      <c r="G409" t="n">
        <v>16.1</v>
      </c>
      <c r="H409" t="n">
        <v>1</v>
      </c>
      <c r="I409" t="n">
        <v>0</v>
      </c>
      <c r="J409" t="n">
        <v>0</v>
      </c>
      <c r="K409" t="n">
        <v>0</v>
      </c>
      <c r="L409" t="n">
        <v>0</v>
      </c>
      <c r="M409" t="n">
        <v>0</v>
      </c>
      <c r="N409" t="n">
        <v>0</v>
      </c>
      <c r="O409" t="n">
        <v>0</v>
      </c>
      <c r="P409" t="n">
        <v>0</v>
      </c>
      <c r="Q409" t="n">
        <v>1</v>
      </c>
      <c r="R409" s="2" t="inlineStr">
        <is>
          <t>Lövgroda</t>
        </is>
      </c>
      <c r="S409">
        <f>HYPERLINK("https://klasma.github.io/Logging_1286/artfynd/A 60891-2024 artfynd.xlsx", "A 60891-2024")</f>
        <v/>
      </c>
      <c r="T409">
        <f>HYPERLINK("https://klasma.github.io/Logging_1286/kartor/A 60891-2024 karta.png", "A 60891-2024")</f>
        <v/>
      </c>
      <c r="V409">
        <f>HYPERLINK("https://klasma.github.io/Logging_1286/klagomål/A 60891-2024 FSC-klagomål.docx", "A 60891-2024")</f>
        <v/>
      </c>
      <c r="W409">
        <f>HYPERLINK("https://klasma.github.io/Logging_1286/klagomålsmail/A 60891-2024 FSC-klagomål mail.docx", "A 60891-2024")</f>
        <v/>
      </c>
      <c r="X409">
        <f>HYPERLINK("https://klasma.github.io/Logging_1286/tillsyn/A 60891-2024 tillsynsbegäran.docx", "A 60891-2024")</f>
        <v/>
      </c>
      <c r="Y409">
        <f>HYPERLINK("https://klasma.github.io/Logging_1286/tillsynsmail/A 60891-2024 tillsynsbegäran mail.docx", "A 60891-2024")</f>
        <v/>
      </c>
    </row>
    <row r="410" ht="15" customHeight="1">
      <c r="A410" t="inlineStr">
        <is>
          <t>A 60925-2024</t>
        </is>
      </c>
      <c r="B410" s="1" t="n">
        <v>45645</v>
      </c>
      <c r="C410" s="1" t="n">
        <v>45796</v>
      </c>
      <c r="D410" t="inlineStr">
        <is>
          <t>SKÅNE LÄN</t>
        </is>
      </c>
      <c r="E410" t="inlineStr">
        <is>
          <t>HÄSSLEHOLM</t>
        </is>
      </c>
      <c r="G410" t="n">
        <v>1.8</v>
      </c>
      <c r="H410" t="n">
        <v>0</v>
      </c>
      <c r="I410" t="n">
        <v>0</v>
      </c>
      <c r="J410" t="n">
        <v>0</v>
      </c>
      <c r="K410" t="n">
        <v>0</v>
      </c>
      <c r="L410" t="n">
        <v>1</v>
      </c>
      <c r="M410" t="n">
        <v>0</v>
      </c>
      <c r="N410" t="n">
        <v>0</v>
      </c>
      <c r="O410" t="n">
        <v>1</v>
      </c>
      <c r="P410" t="n">
        <v>1</v>
      </c>
      <c r="Q410" t="n">
        <v>1</v>
      </c>
      <c r="R410" s="2" t="inlineStr">
        <is>
          <t>Ask</t>
        </is>
      </c>
      <c r="S410">
        <f>HYPERLINK("https://klasma.github.io/Logging_1293/artfynd/A 60925-2024 artfynd.xlsx", "A 60925-2024")</f>
        <v/>
      </c>
      <c r="T410">
        <f>HYPERLINK("https://klasma.github.io/Logging_1293/kartor/A 60925-2024 karta.png", "A 60925-2024")</f>
        <v/>
      </c>
      <c r="V410">
        <f>HYPERLINK("https://klasma.github.io/Logging_1293/klagomål/A 60925-2024 FSC-klagomål.docx", "A 60925-2024")</f>
        <v/>
      </c>
      <c r="W410">
        <f>HYPERLINK("https://klasma.github.io/Logging_1293/klagomålsmail/A 60925-2024 FSC-klagomål mail.docx", "A 60925-2024")</f>
        <v/>
      </c>
      <c r="X410">
        <f>HYPERLINK("https://klasma.github.io/Logging_1293/tillsyn/A 60925-2024 tillsynsbegäran.docx", "A 60925-2024")</f>
        <v/>
      </c>
      <c r="Y410">
        <f>HYPERLINK("https://klasma.github.io/Logging_1293/tillsynsmail/A 60925-2024 tillsynsbegäran mail.docx", "A 60925-2024")</f>
        <v/>
      </c>
    </row>
    <row r="411" ht="15" customHeight="1">
      <c r="A411" t="inlineStr">
        <is>
          <t>A 61019-2024</t>
        </is>
      </c>
      <c r="B411" s="1" t="n">
        <v>45645</v>
      </c>
      <c r="C411" s="1" t="n">
        <v>45796</v>
      </c>
      <c r="D411" t="inlineStr">
        <is>
          <t>SKÅNE LÄN</t>
        </is>
      </c>
      <c r="E411" t="inlineStr">
        <is>
          <t>HÖÖR</t>
        </is>
      </c>
      <c r="F411" t="inlineStr">
        <is>
          <t>Kommuner</t>
        </is>
      </c>
      <c r="G411" t="n">
        <v>2.2</v>
      </c>
      <c r="H411" t="n">
        <v>0</v>
      </c>
      <c r="I411" t="n">
        <v>0</v>
      </c>
      <c r="J411" t="n">
        <v>1</v>
      </c>
      <c r="K411" t="n">
        <v>0</v>
      </c>
      <c r="L411" t="n">
        <v>0</v>
      </c>
      <c r="M411" t="n">
        <v>0</v>
      </c>
      <c r="N411" t="n">
        <v>0</v>
      </c>
      <c r="O411" t="n">
        <v>1</v>
      </c>
      <c r="P411" t="n">
        <v>0</v>
      </c>
      <c r="Q411" t="n">
        <v>1</v>
      </c>
      <c r="R411" s="2" t="inlineStr">
        <is>
          <t>Brokigt ängsfly</t>
        </is>
      </c>
      <c r="S411">
        <f>HYPERLINK("https://klasma.github.io/Logging_1267/artfynd/A 61019-2024 artfynd.xlsx", "A 61019-2024")</f>
        <v/>
      </c>
      <c r="T411">
        <f>HYPERLINK("https://klasma.github.io/Logging_1267/kartor/A 61019-2024 karta.png", "A 61019-2024")</f>
        <v/>
      </c>
      <c r="V411">
        <f>HYPERLINK("https://klasma.github.io/Logging_1267/klagomål/A 61019-2024 FSC-klagomål.docx", "A 61019-2024")</f>
        <v/>
      </c>
      <c r="W411">
        <f>HYPERLINK("https://klasma.github.io/Logging_1267/klagomålsmail/A 61019-2024 FSC-klagomål mail.docx", "A 61019-2024")</f>
        <v/>
      </c>
      <c r="X411">
        <f>HYPERLINK("https://klasma.github.io/Logging_1267/tillsyn/A 61019-2024 tillsynsbegäran.docx", "A 61019-2024")</f>
        <v/>
      </c>
      <c r="Y411">
        <f>HYPERLINK("https://klasma.github.io/Logging_1267/tillsynsmail/A 61019-2024 tillsynsbegäran mail.docx", "A 61019-2024")</f>
        <v/>
      </c>
    </row>
    <row r="412" ht="15" customHeight="1">
      <c r="A412" t="inlineStr">
        <is>
          <t>A 61707-2024</t>
        </is>
      </c>
      <c r="B412" s="1" t="n">
        <v>45648</v>
      </c>
      <c r="C412" s="1" t="n">
        <v>45796</v>
      </c>
      <c r="D412" t="inlineStr">
        <is>
          <t>SKÅNE LÄN</t>
        </is>
      </c>
      <c r="E412" t="inlineStr">
        <is>
          <t>HÄSSLEHOLM</t>
        </is>
      </c>
      <c r="G412" t="n">
        <v>3.2</v>
      </c>
      <c r="H412" t="n">
        <v>0</v>
      </c>
      <c r="I412" t="n">
        <v>0</v>
      </c>
      <c r="J412" t="n">
        <v>1</v>
      </c>
      <c r="K412" t="n">
        <v>0</v>
      </c>
      <c r="L412" t="n">
        <v>0</v>
      </c>
      <c r="M412" t="n">
        <v>0</v>
      </c>
      <c r="N412" t="n">
        <v>0</v>
      </c>
      <c r="O412" t="n">
        <v>1</v>
      </c>
      <c r="P412" t="n">
        <v>0</v>
      </c>
      <c r="Q412" t="n">
        <v>1</v>
      </c>
      <c r="R412" s="2" t="inlineStr">
        <is>
          <t>Rödlånke</t>
        </is>
      </c>
      <c r="S412">
        <f>HYPERLINK("https://klasma.github.io/Logging_1293/artfynd/A 61707-2024 artfynd.xlsx", "A 61707-2024")</f>
        <v/>
      </c>
      <c r="T412">
        <f>HYPERLINK("https://klasma.github.io/Logging_1293/kartor/A 61707-2024 karta.png", "A 61707-2024")</f>
        <v/>
      </c>
      <c r="V412">
        <f>HYPERLINK("https://klasma.github.io/Logging_1293/klagomål/A 61707-2024 FSC-klagomål.docx", "A 61707-2024")</f>
        <v/>
      </c>
      <c r="W412">
        <f>HYPERLINK("https://klasma.github.io/Logging_1293/klagomålsmail/A 61707-2024 FSC-klagomål mail.docx", "A 61707-2024")</f>
        <v/>
      </c>
      <c r="X412">
        <f>HYPERLINK("https://klasma.github.io/Logging_1293/tillsyn/A 61707-2024 tillsynsbegäran.docx", "A 61707-2024")</f>
        <v/>
      </c>
      <c r="Y412">
        <f>HYPERLINK("https://klasma.github.io/Logging_1293/tillsynsmail/A 61707-2024 tillsynsbegäran mail.docx", "A 61707-2024")</f>
        <v/>
      </c>
    </row>
    <row r="413" ht="15" customHeight="1">
      <c r="A413" t="inlineStr">
        <is>
          <t>A 61738-2024</t>
        </is>
      </c>
      <c r="B413" s="1" t="n">
        <v>45649</v>
      </c>
      <c r="C413" s="1" t="n">
        <v>45796</v>
      </c>
      <c r="D413" t="inlineStr">
        <is>
          <t>SKÅNE LÄN</t>
        </is>
      </c>
      <c r="E413" t="inlineStr">
        <is>
          <t>OSBY</t>
        </is>
      </c>
      <c r="G413" t="n">
        <v>3.7</v>
      </c>
      <c r="H413" t="n">
        <v>1</v>
      </c>
      <c r="I413" t="n">
        <v>0</v>
      </c>
      <c r="J413" t="n">
        <v>0</v>
      </c>
      <c r="K413" t="n">
        <v>0</v>
      </c>
      <c r="L413" t="n">
        <v>0</v>
      </c>
      <c r="M413" t="n">
        <v>0</v>
      </c>
      <c r="N413" t="n">
        <v>0</v>
      </c>
      <c r="O413" t="n">
        <v>0</v>
      </c>
      <c r="P413" t="n">
        <v>0</v>
      </c>
      <c r="Q413" t="n">
        <v>1</v>
      </c>
      <c r="R413" s="2" t="inlineStr">
        <is>
          <t>Vanlig snok</t>
        </is>
      </c>
      <c r="S413">
        <f>HYPERLINK("https://klasma.github.io/Logging_1273/artfynd/A 61738-2024 artfynd.xlsx", "A 61738-2024")</f>
        <v/>
      </c>
      <c r="T413">
        <f>HYPERLINK("https://klasma.github.io/Logging_1273/kartor/A 61738-2024 karta.png", "A 61738-2024")</f>
        <v/>
      </c>
      <c r="V413">
        <f>HYPERLINK("https://klasma.github.io/Logging_1273/klagomål/A 61738-2024 FSC-klagomål.docx", "A 61738-2024")</f>
        <v/>
      </c>
      <c r="W413">
        <f>HYPERLINK("https://klasma.github.io/Logging_1273/klagomålsmail/A 61738-2024 FSC-klagomål mail.docx", "A 61738-2024")</f>
        <v/>
      </c>
      <c r="X413">
        <f>HYPERLINK("https://klasma.github.io/Logging_1273/tillsyn/A 61738-2024 tillsynsbegäran.docx", "A 61738-2024")</f>
        <v/>
      </c>
      <c r="Y413">
        <f>HYPERLINK("https://klasma.github.io/Logging_1273/tillsynsmail/A 61738-2024 tillsynsbegäran mail.docx", "A 61738-2024")</f>
        <v/>
      </c>
    </row>
    <row r="414" ht="15" customHeight="1">
      <c r="A414" t="inlineStr">
        <is>
          <t>A 2482-2025</t>
        </is>
      </c>
      <c r="B414" s="1" t="n">
        <v>45674</v>
      </c>
      <c r="C414" s="1" t="n">
        <v>45796</v>
      </c>
      <c r="D414" t="inlineStr">
        <is>
          <t>SKÅNE LÄN</t>
        </is>
      </c>
      <c r="E414" t="inlineStr">
        <is>
          <t>SVEDALA</t>
        </is>
      </c>
      <c r="G414" t="n">
        <v>0.5</v>
      </c>
      <c r="H414" t="n">
        <v>0</v>
      </c>
      <c r="I414" t="n">
        <v>0</v>
      </c>
      <c r="J414" t="n">
        <v>1</v>
      </c>
      <c r="K414" t="n">
        <v>0</v>
      </c>
      <c r="L414" t="n">
        <v>0</v>
      </c>
      <c r="M414" t="n">
        <v>0</v>
      </c>
      <c r="N414" t="n">
        <v>0</v>
      </c>
      <c r="O414" t="n">
        <v>1</v>
      </c>
      <c r="P414" t="n">
        <v>0</v>
      </c>
      <c r="Q414" t="n">
        <v>1</v>
      </c>
      <c r="R414" s="2" t="inlineStr">
        <is>
          <t>Korallticka</t>
        </is>
      </c>
      <c r="S414">
        <f>HYPERLINK("https://klasma.github.io/Logging_1263/artfynd/A 2482-2025 artfynd.xlsx", "A 2482-2025")</f>
        <v/>
      </c>
      <c r="T414">
        <f>HYPERLINK("https://klasma.github.io/Logging_1263/kartor/A 2482-2025 karta.png", "A 2482-2025")</f>
        <v/>
      </c>
      <c r="V414">
        <f>HYPERLINK("https://klasma.github.io/Logging_1263/klagomål/A 2482-2025 FSC-klagomål.docx", "A 2482-2025")</f>
        <v/>
      </c>
      <c r="W414">
        <f>HYPERLINK("https://klasma.github.io/Logging_1263/klagomålsmail/A 2482-2025 FSC-klagomål mail.docx", "A 2482-2025")</f>
        <v/>
      </c>
      <c r="X414">
        <f>HYPERLINK("https://klasma.github.io/Logging_1263/tillsyn/A 2482-2025 tillsynsbegäran.docx", "A 2482-2025")</f>
        <v/>
      </c>
      <c r="Y414">
        <f>HYPERLINK("https://klasma.github.io/Logging_1263/tillsynsmail/A 2482-2025 tillsynsbegäran mail.docx", "A 2482-2025")</f>
        <v/>
      </c>
    </row>
    <row r="415" ht="15" customHeight="1">
      <c r="A415" t="inlineStr">
        <is>
          <t>A 4619-2025</t>
        </is>
      </c>
      <c r="B415" s="1" t="n">
        <v>45687</v>
      </c>
      <c r="C415" s="1" t="n">
        <v>45796</v>
      </c>
      <c r="D415" t="inlineStr">
        <is>
          <t>SKÅNE LÄN</t>
        </is>
      </c>
      <c r="E415" t="inlineStr">
        <is>
          <t>HÄSSLEHOLM</t>
        </is>
      </c>
      <c r="G415" t="n">
        <v>2.2</v>
      </c>
      <c r="H415" t="n">
        <v>0</v>
      </c>
      <c r="I415" t="n">
        <v>0</v>
      </c>
      <c r="J415" t="n">
        <v>0</v>
      </c>
      <c r="K415" t="n">
        <v>1</v>
      </c>
      <c r="L415" t="n">
        <v>0</v>
      </c>
      <c r="M415" t="n">
        <v>0</v>
      </c>
      <c r="N415" t="n">
        <v>0</v>
      </c>
      <c r="O415" t="n">
        <v>1</v>
      </c>
      <c r="P415" t="n">
        <v>1</v>
      </c>
      <c r="Q415" t="n">
        <v>1</v>
      </c>
      <c r="R415" s="2" t="inlineStr">
        <is>
          <t>Vildris</t>
        </is>
      </c>
      <c r="S415">
        <f>HYPERLINK("https://klasma.github.io/Logging_1293/artfynd/A 4619-2025 artfynd.xlsx", "A 4619-2025")</f>
        <v/>
      </c>
      <c r="T415">
        <f>HYPERLINK("https://klasma.github.io/Logging_1293/kartor/A 4619-2025 karta.png", "A 4619-2025")</f>
        <v/>
      </c>
      <c r="V415">
        <f>HYPERLINK("https://klasma.github.io/Logging_1293/klagomål/A 4619-2025 FSC-klagomål.docx", "A 4619-2025")</f>
        <v/>
      </c>
      <c r="W415">
        <f>HYPERLINK("https://klasma.github.io/Logging_1293/klagomålsmail/A 4619-2025 FSC-klagomål mail.docx", "A 4619-2025")</f>
        <v/>
      </c>
      <c r="X415">
        <f>HYPERLINK("https://klasma.github.io/Logging_1293/tillsyn/A 4619-2025 tillsynsbegäran.docx", "A 4619-2025")</f>
        <v/>
      </c>
      <c r="Y415">
        <f>HYPERLINK("https://klasma.github.io/Logging_1293/tillsynsmail/A 4619-2025 tillsynsbegäran mail.docx", "A 4619-2025")</f>
        <v/>
      </c>
    </row>
    <row r="416" ht="15" customHeight="1">
      <c r="A416" t="inlineStr">
        <is>
          <t>A 4746-2025</t>
        </is>
      </c>
      <c r="B416" s="1" t="n">
        <v>45688</v>
      </c>
      <c r="C416" s="1" t="n">
        <v>45796</v>
      </c>
      <c r="D416" t="inlineStr">
        <is>
          <t>SKÅNE LÄN</t>
        </is>
      </c>
      <c r="E416" t="inlineStr">
        <is>
          <t>LUND</t>
        </is>
      </c>
      <c r="G416" t="n">
        <v>1.1</v>
      </c>
      <c r="H416" t="n">
        <v>1</v>
      </c>
      <c r="I416" t="n">
        <v>0</v>
      </c>
      <c r="J416" t="n">
        <v>1</v>
      </c>
      <c r="K416" t="n">
        <v>0</v>
      </c>
      <c r="L416" t="n">
        <v>0</v>
      </c>
      <c r="M416" t="n">
        <v>0</v>
      </c>
      <c r="N416" t="n">
        <v>0</v>
      </c>
      <c r="O416" t="n">
        <v>1</v>
      </c>
      <c r="P416" t="n">
        <v>0</v>
      </c>
      <c r="Q416" t="n">
        <v>1</v>
      </c>
      <c r="R416" s="2" t="inlineStr">
        <is>
          <t>Svartvit flugsnappare</t>
        </is>
      </c>
      <c r="S416">
        <f>HYPERLINK("https://klasma.github.io/Logging_1281/artfynd/A 4746-2025 artfynd.xlsx", "A 4746-2025")</f>
        <v/>
      </c>
      <c r="T416">
        <f>HYPERLINK("https://klasma.github.io/Logging_1281/kartor/A 4746-2025 karta.png", "A 4746-2025")</f>
        <v/>
      </c>
      <c r="V416">
        <f>HYPERLINK("https://klasma.github.io/Logging_1281/klagomål/A 4746-2025 FSC-klagomål.docx", "A 4746-2025")</f>
        <v/>
      </c>
      <c r="W416">
        <f>HYPERLINK("https://klasma.github.io/Logging_1281/klagomålsmail/A 4746-2025 FSC-klagomål mail.docx", "A 4746-2025")</f>
        <v/>
      </c>
      <c r="X416">
        <f>HYPERLINK("https://klasma.github.io/Logging_1281/tillsyn/A 4746-2025 tillsynsbegäran.docx", "A 4746-2025")</f>
        <v/>
      </c>
      <c r="Y416">
        <f>HYPERLINK("https://klasma.github.io/Logging_1281/tillsynsmail/A 4746-2025 tillsynsbegäran mail.docx", "A 4746-2025")</f>
        <v/>
      </c>
      <c r="Z416">
        <f>HYPERLINK("https://klasma.github.io/Logging_1281/fåglar/A 4746-2025 prioriterade fågelarter.docx", "A 4746-2025")</f>
        <v/>
      </c>
    </row>
    <row r="417" ht="15" customHeight="1">
      <c r="A417" t="inlineStr">
        <is>
          <t>A 4725-2025</t>
        </is>
      </c>
      <c r="B417" s="1" t="n">
        <v>45688</v>
      </c>
      <c r="C417" s="1" t="n">
        <v>45796</v>
      </c>
      <c r="D417" t="inlineStr">
        <is>
          <t>SKÅNE LÄN</t>
        </is>
      </c>
      <c r="E417" t="inlineStr">
        <is>
          <t>HÄSSLEHOLM</t>
        </is>
      </c>
      <c r="G417" t="n">
        <v>5.5</v>
      </c>
      <c r="H417" t="n">
        <v>1</v>
      </c>
      <c r="I417" t="n">
        <v>0</v>
      </c>
      <c r="J417" t="n">
        <v>0</v>
      </c>
      <c r="K417" t="n">
        <v>0</v>
      </c>
      <c r="L417" t="n">
        <v>0</v>
      </c>
      <c r="M417" t="n">
        <v>0</v>
      </c>
      <c r="N417" t="n">
        <v>0</v>
      </c>
      <c r="O417" t="n">
        <v>0</v>
      </c>
      <c r="P417" t="n">
        <v>0</v>
      </c>
      <c r="Q417" t="n">
        <v>1</v>
      </c>
      <c r="R417" s="2" t="inlineStr">
        <is>
          <t>Grönvit nattviol</t>
        </is>
      </c>
      <c r="S417">
        <f>HYPERLINK("https://klasma.github.io/Logging_1293/artfynd/A 4725-2025 artfynd.xlsx", "A 4725-2025")</f>
        <v/>
      </c>
      <c r="T417">
        <f>HYPERLINK("https://klasma.github.io/Logging_1293/kartor/A 4725-2025 karta.png", "A 4725-2025")</f>
        <v/>
      </c>
      <c r="V417">
        <f>HYPERLINK("https://klasma.github.io/Logging_1293/klagomål/A 4725-2025 FSC-klagomål.docx", "A 4725-2025")</f>
        <v/>
      </c>
      <c r="W417">
        <f>HYPERLINK("https://klasma.github.io/Logging_1293/klagomålsmail/A 4725-2025 FSC-klagomål mail.docx", "A 4725-2025")</f>
        <v/>
      </c>
      <c r="X417">
        <f>HYPERLINK("https://klasma.github.io/Logging_1293/tillsyn/A 4725-2025 tillsynsbegäran.docx", "A 4725-2025")</f>
        <v/>
      </c>
      <c r="Y417">
        <f>HYPERLINK("https://klasma.github.io/Logging_1293/tillsynsmail/A 4725-2025 tillsynsbegäran mail.docx", "A 4725-2025")</f>
        <v/>
      </c>
    </row>
    <row r="418" ht="15" customHeight="1">
      <c r="A418" t="inlineStr">
        <is>
          <t>A 4816-2025</t>
        </is>
      </c>
      <c r="B418" s="1" t="n">
        <v>45688</v>
      </c>
      <c r="C418" s="1" t="n">
        <v>45796</v>
      </c>
      <c r="D418" t="inlineStr">
        <is>
          <t>SKÅNE LÄN</t>
        </is>
      </c>
      <c r="E418" t="inlineStr">
        <is>
          <t>LUND</t>
        </is>
      </c>
      <c r="G418" t="n">
        <v>7.7</v>
      </c>
      <c r="H418" t="n">
        <v>0</v>
      </c>
      <c r="I418" t="n">
        <v>1</v>
      </c>
      <c r="J418" t="n">
        <v>0</v>
      </c>
      <c r="K418" t="n">
        <v>0</v>
      </c>
      <c r="L418" t="n">
        <v>0</v>
      </c>
      <c r="M418" t="n">
        <v>0</v>
      </c>
      <c r="N418" t="n">
        <v>0</v>
      </c>
      <c r="O418" t="n">
        <v>0</v>
      </c>
      <c r="P418" t="n">
        <v>0</v>
      </c>
      <c r="Q418" t="n">
        <v>1</v>
      </c>
      <c r="R418" s="2" t="inlineStr">
        <is>
          <t>Strutbräken</t>
        </is>
      </c>
      <c r="S418">
        <f>HYPERLINK("https://klasma.github.io/Logging_1281/artfynd/A 4816-2025 artfynd.xlsx", "A 4816-2025")</f>
        <v/>
      </c>
      <c r="T418">
        <f>HYPERLINK("https://klasma.github.io/Logging_1281/kartor/A 4816-2025 karta.png", "A 4816-2025")</f>
        <v/>
      </c>
      <c r="V418">
        <f>HYPERLINK("https://klasma.github.io/Logging_1281/klagomål/A 4816-2025 FSC-klagomål.docx", "A 4816-2025")</f>
        <v/>
      </c>
      <c r="W418">
        <f>HYPERLINK("https://klasma.github.io/Logging_1281/klagomålsmail/A 4816-2025 FSC-klagomål mail.docx", "A 4816-2025")</f>
        <v/>
      </c>
      <c r="X418">
        <f>HYPERLINK("https://klasma.github.io/Logging_1281/tillsyn/A 4816-2025 tillsynsbegäran.docx", "A 4816-2025")</f>
        <v/>
      </c>
      <c r="Y418">
        <f>HYPERLINK("https://klasma.github.io/Logging_1281/tillsynsmail/A 4816-2025 tillsynsbegäran mail.docx", "A 4816-2025")</f>
        <v/>
      </c>
    </row>
    <row r="419" ht="15" customHeight="1">
      <c r="A419" t="inlineStr">
        <is>
          <t>A 4792-2025</t>
        </is>
      </c>
      <c r="B419" s="1" t="n">
        <v>45688</v>
      </c>
      <c r="C419" s="1" t="n">
        <v>45796</v>
      </c>
      <c r="D419" t="inlineStr">
        <is>
          <t>SKÅNE LÄN</t>
        </is>
      </c>
      <c r="E419" t="inlineStr">
        <is>
          <t>LUND</t>
        </is>
      </c>
      <c r="G419" t="n">
        <v>5.9</v>
      </c>
      <c r="H419" t="n">
        <v>0</v>
      </c>
      <c r="I419" t="n">
        <v>0</v>
      </c>
      <c r="J419" t="n">
        <v>1</v>
      </c>
      <c r="K419" t="n">
        <v>0</v>
      </c>
      <c r="L419" t="n">
        <v>0</v>
      </c>
      <c r="M419" t="n">
        <v>0</v>
      </c>
      <c r="N419" t="n">
        <v>0</v>
      </c>
      <c r="O419" t="n">
        <v>1</v>
      </c>
      <c r="P419" t="n">
        <v>0</v>
      </c>
      <c r="Q419" t="n">
        <v>1</v>
      </c>
      <c r="R419" s="2" t="inlineStr">
        <is>
          <t>Oxtungssvamp</t>
        </is>
      </c>
      <c r="S419">
        <f>HYPERLINK("https://klasma.github.io/Logging_1281/artfynd/A 4792-2025 artfynd.xlsx", "A 4792-2025")</f>
        <v/>
      </c>
      <c r="T419">
        <f>HYPERLINK("https://klasma.github.io/Logging_1281/kartor/A 4792-2025 karta.png", "A 4792-2025")</f>
        <v/>
      </c>
      <c r="V419">
        <f>HYPERLINK("https://klasma.github.io/Logging_1281/klagomål/A 4792-2025 FSC-klagomål.docx", "A 4792-2025")</f>
        <v/>
      </c>
      <c r="W419">
        <f>HYPERLINK("https://klasma.github.io/Logging_1281/klagomålsmail/A 4792-2025 FSC-klagomål mail.docx", "A 4792-2025")</f>
        <v/>
      </c>
      <c r="X419">
        <f>HYPERLINK("https://klasma.github.io/Logging_1281/tillsyn/A 4792-2025 tillsynsbegäran.docx", "A 4792-2025")</f>
        <v/>
      </c>
      <c r="Y419">
        <f>HYPERLINK("https://klasma.github.io/Logging_1281/tillsynsmail/A 4792-2025 tillsynsbegäran mail.docx", "A 4792-2025")</f>
        <v/>
      </c>
    </row>
    <row r="420" ht="15" customHeight="1">
      <c r="A420" t="inlineStr">
        <is>
          <t>A 7705-2025</t>
        </is>
      </c>
      <c r="B420" s="1" t="n">
        <v>45705</v>
      </c>
      <c r="C420" s="1" t="n">
        <v>45796</v>
      </c>
      <c r="D420" t="inlineStr">
        <is>
          <t>SKÅNE LÄN</t>
        </is>
      </c>
      <c r="E420" t="inlineStr">
        <is>
          <t>ÄNGELHOLM</t>
        </is>
      </c>
      <c r="G420" t="n">
        <v>7.1</v>
      </c>
      <c r="H420" t="n">
        <v>1</v>
      </c>
      <c r="I420" t="n">
        <v>0</v>
      </c>
      <c r="J420" t="n">
        <v>0</v>
      </c>
      <c r="K420" t="n">
        <v>0</v>
      </c>
      <c r="L420" t="n">
        <v>0</v>
      </c>
      <c r="M420" t="n">
        <v>0</v>
      </c>
      <c r="N420" t="n">
        <v>0</v>
      </c>
      <c r="O420" t="n">
        <v>0</v>
      </c>
      <c r="P420" t="n">
        <v>0</v>
      </c>
      <c r="Q420" t="n">
        <v>1</v>
      </c>
      <c r="R420" s="2" t="inlineStr">
        <is>
          <t>Revlummer</t>
        </is>
      </c>
      <c r="S420">
        <f>HYPERLINK("https://klasma.github.io/Logging_1292/artfynd/A 7705-2025 artfynd.xlsx", "A 7705-2025")</f>
        <v/>
      </c>
      <c r="T420">
        <f>HYPERLINK("https://klasma.github.io/Logging_1292/kartor/A 7705-2025 karta.png", "A 7705-2025")</f>
        <v/>
      </c>
      <c r="V420">
        <f>HYPERLINK("https://klasma.github.io/Logging_1292/klagomål/A 7705-2025 FSC-klagomål.docx", "A 7705-2025")</f>
        <v/>
      </c>
      <c r="W420">
        <f>HYPERLINK("https://klasma.github.io/Logging_1292/klagomålsmail/A 7705-2025 FSC-klagomål mail.docx", "A 7705-2025")</f>
        <v/>
      </c>
      <c r="X420">
        <f>HYPERLINK("https://klasma.github.io/Logging_1292/tillsyn/A 7705-2025 tillsynsbegäran.docx", "A 7705-2025")</f>
        <v/>
      </c>
      <c r="Y420">
        <f>HYPERLINK("https://klasma.github.io/Logging_1292/tillsynsmail/A 7705-2025 tillsynsbegäran mail.docx", "A 7705-2025")</f>
        <v/>
      </c>
    </row>
    <row r="421" ht="15" customHeight="1">
      <c r="A421" t="inlineStr">
        <is>
          <t>A 7659-2025</t>
        </is>
      </c>
      <c r="B421" s="1" t="n">
        <v>45706</v>
      </c>
      <c r="C421" s="1" t="n">
        <v>45796</v>
      </c>
      <c r="D421" t="inlineStr">
        <is>
          <t>SKÅNE LÄN</t>
        </is>
      </c>
      <c r="E421" t="inlineStr">
        <is>
          <t>KLIPPAN</t>
        </is>
      </c>
      <c r="G421" t="n">
        <v>3</v>
      </c>
      <c r="H421" t="n">
        <v>1</v>
      </c>
      <c r="I421" t="n">
        <v>0</v>
      </c>
      <c r="J421" t="n">
        <v>0</v>
      </c>
      <c r="K421" t="n">
        <v>0</v>
      </c>
      <c r="L421" t="n">
        <v>0</v>
      </c>
      <c r="M421" t="n">
        <v>0</v>
      </c>
      <c r="N421" t="n">
        <v>0</v>
      </c>
      <c r="O421" t="n">
        <v>0</v>
      </c>
      <c r="P421" t="n">
        <v>0</v>
      </c>
      <c r="Q421" t="n">
        <v>1</v>
      </c>
      <c r="R421" s="2" t="inlineStr">
        <is>
          <t>Röd glada</t>
        </is>
      </c>
      <c r="S421">
        <f>HYPERLINK("https://klasma.github.io/Logging_1276/artfynd/A 7659-2025 artfynd.xlsx", "A 7659-2025")</f>
        <v/>
      </c>
      <c r="T421">
        <f>HYPERLINK("https://klasma.github.io/Logging_1276/kartor/A 7659-2025 karta.png", "A 7659-2025")</f>
        <v/>
      </c>
      <c r="V421">
        <f>HYPERLINK("https://klasma.github.io/Logging_1276/klagomål/A 7659-2025 FSC-klagomål.docx", "A 7659-2025")</f>
        <v/>
      </c>
      <c r="W421">
        <f>HYPERLINK("https://klasma.github.io/Logging_1276/klagomålsmail/A 7659-2025 FSC-klagomål mail.docx", "A 7659-2025")</f>
        <v/>
      </c>
      <c r="X421">
        <f>HYPERLINK("https://klasma.github.io/Logging_1276/tillsyn/A 7659-2025 tillsynsbegäran.docx", "A 7659-2025")</f>
        <v/>
      </c>
      <c r="Y421">
        <f>HYPERLINK("https://klasma.github.io/Logging_1276/tillsynsmail/A 7659-2025 tillsynsbegäran mail.docx", "A 7659-2025")</f>
        <v/>
      </c>
      <c r="Z421">
        <f>HYPERLINK("https://klasma.github.io/Logging_1276/fåglar/A 7659-2025 prioriterade fågelarter.docx", "A 7659-2025")</f>
        <v/>
      </c>
    </row>
    <row r="422" ht="15" customHeight="1">
      <c r="A422" t="inlineStr">
        <is>
          <t>A 8223-2025</t>
        </is>
      </c>
      <c r="B422" s="1" t="n">
        <v>45708</v>
      </c>
      <c r="C422" s="1" t="n">
        <v>45796</v>
      </c>
      <c r="D422" t="inlineStr">
        <is>
          <t>SKÅNE LÄN</t>
        </is>
      </c>
      <c r="E422" t="inlineStr">
        <is>
          <t>HÄSSLEHOLM</t>
        </is>
      </c>
      <c r="G422" t="n">
        <v>0.8</v>
      </c>
      <c r="H422" t="n">
        <v>1</v>
      </c>
      <c r="I422" t="n">
        <v>0</v>
      </c>
      <c r="J422" t="n">
        <v>0</v>
      </c>
      <c r="K422" t="n">
        <v>0</v>
      </c>
      <c r="L422" t="n">
        <v>0</v>
      </c>
      <c r="M422" t="n">
        <v>0</v>
      </c>
      <c r="N422" t="n">
        <v>0</v>
      </c>
      <c r="O422" t="n">
        <v>0</v>
      </c>
      <c r="P422" t="n">
        <v>0</v>
      </c>
      <c r="Q422" t="n">
        <v>1</v>
      </c>
      <c r="R422" s="2" t="inlineStr">
        <is>
          <t>Kungsfågel</t>
        </is>
      </c>
      <c r="S422">
        <f>HYPERLINK("https://klasma.github.io/Logging_1293/artfynd/A 8223-2025 artfynd.xlsx", "A 8223-2025")</f>
        <v/>
      </c>
      <c r="T422">
        <f>HYPERLINK("https://klasma.github.io/Logging_1293/kartor/A 8223-2025 karta.png", "A 8223-2025")</f>
        <v/>
      </c>
      <c r="V422">
        <f>HYPERLINK("https://klasma.github.io/Logging_1293/klagomål/A 8223-2025 FSC-klagomål.docx", "A 8223-2025")</f>
        <v/>
      </c>
      <c r="W422">
        <f>HYPERLINK("https://klasma.github.io/Logging_1293/klagomålsmail/A 8223-2025 FSC-klagomål mail.docx", "A 8223-2025")</f>
        <v/>
      </c>
      <c r="X422">
        <f>HYPERLINK("https://klasma.github.io/Logging_1293/tillsyn/A 8223-2025 tillsynsbegäran.docx", "A 8223-2025")</f>
        <v/>
      </c>
      <c r="Y422">
        <f>HYPERLINK("https://klasma.github.io/Logging_1293/tillsynsmail/A 8223-2025 tillsynsbegäran mail.docx", "A 8223-2025")</f>
        <v/>
      </c>
      <c r="Z422">
        <f>HYPERLINK("https://klasma.github.io/Logging_1293/fåglar/A 8223-2025 prioriterade fågelarter.docx", "A 8223-2025")</f>
        <v/>
      </c>
    </row>
    <row r="423" ht="15" customHeight="1">
      <c r="A423" t="inlineStr">
        <is>
          <t>A 9289-2025</t>
        </is>
      </c>
      <c r="B423" s="1" t="n">
        <v>45714</v>
      </c>
      <c r="C423" s="1" t="n">
        <v>45796</v>
      </c>
      <c r="D423" t="inlineStr">
        <is>
          <t>SKÅNE LÄN</t>
        </is>
      </c>
      <c r="E423" t="inlineStr">
        <is>
          <t>HÄSSLEHOLM</t>
        </is>
      </c>
      <c r="G423" t="n">
        <v>18</v>
      </c>
      <c r="H423" t="n">
        <v>0</v>
      </c>
      <c r="I423" t="n">
        <v>1</v>
      </c>
      <c r="J423" t="n">
        <v>0</v>
      </c>
      <c r="K423" t="n">
        <v>0</v>
      </c>
      <c r="L423" t="n">
        <v>0</v>
      </c>
      <c r="M423" t="n">
        <v>0</v>
      </c>
      <c r="N423" t="n">
        <v>0</v>
      </c>
      <c r="O423" t="n">
        <v>0</v>
      </c>
      <c r="P423" t="n">
        <v>0</v>
      </c>
      <c r="Q423" t="n">
        <v>1</v>
      </c>
      <c r="R423" s="2" t="inlineStr">
        <is>
          <t>Tibast</t>
        </is>
      </c>
      <c r="S423">
        <f>HYPERLINK("https://klasma.github.io/Logging_1293/artfynd/A 9289-2025 artfynd.xlsx", "A 9289-2025")</f>
        <v/>
      </c>
      <c r="T423">
        <f>HYPERLINK("https://klasma.github.io/Logging_1293/kartor/A 9289-2025 karta.png", "A 9289-2025")</f>
        <v/>
      </c>
      <c r="V423">
        <f>HYPERLINK("https://klasma.github.io/Logging_1293/klagomål/A 9289-2025 FSC-klagomål.docx", "A 9289-2025")</f>
        <v/>
      </c>
      <c r="W423">
        <f>HYPERLINK("https://klasma.github.io/Logging_1293/klagomålsmail/A 9289-2025 FSC-klagomål mail.docx", "A 9289-2025")</f>
        <v/>
      </c>
      <c r="X423">
        <f>HYPERLINK("https://klasma.github.io/Logging_1293/tillsyn/A 9289-2025 tillsynsbegäran.docx", "A 9289-2025")</f>
        <v/>
      </c>
      <c r="Y423">
        <f>HYPERLINK("https://klasma.github.io/Logging_1293/tillsynsmail/A 9289-2025 tillsynsbegäran mail.docx", "A 9289-2025")</f>
        <v/>
      </c>
    </row>
    <row r="424" ht="15" customHeight="1">
      <c r="A424" t="inlineStr">
        <is>
          <t>A 10000-2025</t>
        </is>
      </c>
      <c r="B424" s="1" t="n">
        <v>45719</v>
      </c>
      <c r="C424" s="1" t="n">
        <v>45796</v>
      </c>
      <c r="D424" t="inlineStr">
        <is>
          <t>SKÅNE LÄN</t>
        </is>
      </c>
      <c r="E424" t="inlineStr">
        <is>
          <t>KLIPPAN</t>
        </is>
      </c>
      <c r="G424" t="n">
        <v>2.6</v>
      </c>
      <c r="H424" t="n">
        <v>0</v>
      </c>
      <c r="I424" t="n">
        <v>1</v>
      </c>
      <c r="J424" t="n">
        <v>0</v>
      </c>
      <c r="K424" t="n">
        <v>0</v>
      </c>
      <c r="L424" t="n">
        <v>0</v>
      </c>
      <c r="M424" t="n">
        <v>0</v>
      </c>
      <c r="N424" t="n">
        <v>0</v>
      </c>
      <c r="O424" t="n">
        <v>0</v>
      </c>
      <c r="P424" t="n">
        <v>0</v>
      </c>
      <c r="Q424" t="n">
        <v>1</v>
      </c>
      <c r="R424" s="2" t="inlineStr">
        <is>
          <t>Dvärghäxört</t>
        </is>
      </c>
      <c r="S424">
        <f>HYPERLINK("https://klasma.github.io/Logging_121276/artfynd/A 10000-2025 artfynd.xlsx", "A 10000-2025")</f>
        <v/>
      </c>
      <c r="T424">
        <f>HYPERLINK("https://klasma.github.io/Logging_121276/kartor/A 10000-2025 karta.png", "A 10000-2025")</f>
        <v/>
      </c>
      <c r="V424">
        <f>HYPERLINK("https://klasma.github.io/Logging_121276/klagomål/A 10000-2025 FSC-klagomål.docx", "A 10000-2025")</f>
        <v/>
      </c>
      <c r="W424">
        <f>HYPERLINK("https://klasma.github.io/Logging_121276/klagomålsmail/A 10000-2025 FSC-klagomål mail.docx", "A 10000-2025")</f>
        <v/>
      </c>
      <c r="X424">
        <f>HYPERLINK("https://klasma.github.io/Logging_121276/tillsyn/A 10000-2025 tillsynsbegäran.docx", "A 10000-2025")</f>
        <v/>
      </c>
      <c r="Y424">
        <f>HYPERLINK("https://klasma.github.io/Logging_121276/tillsynsmail/A 10000-2025 tillsynsbegäran mail.docx", "A 10000-2025")</f>
        <v/>
      </c>
    </row>
    <row r="425" ht="15" customHeight="1">
      <c r="A425" t="inlineStr">
        <is>
          <t>A 11720-2025</t>
        </is>
      </c>
      <c r="B425" s="1" t="n">
        <v>45727</v>
      </c>
      <c r="C425" s="1" t="n">
        <v>45796</v>
      </c>
      <c r="D425" t="inlineStr">
        <is>
          <t>SKÅNE LÄN</t>
        </is>
      </c>
      <c r="E425" t="inlineStr">
        <is>
          <t>KRISTIANSTAD</t>
        </is>
      </c>
      <c r="G425" t="n">
        <v>3.1</v>
      </c>
      <c r="H425" t="n">
        <v>0</v>
      </c>
      <c r="I425" t="n">
        <v>1</v>
      </c>
      <c r="J425" t="n">
        <v>0</v>
      </c>
      <c r="K425" t="n">
        <v>0</v>
      </c>
      <c r="L425" t="n">
        <v>0</v>
      </c>
      <c r="M425" t="n">
        <v>0</v>
      </c>
      <c r="N425" t="n">
        <v>0</v>
      </c>
      <c r="O425" t="n">
        <v>0</v>
      </c>
      <c r="P425" t="n">
        <v>0</v>
      </c>
      <c r="Q425" t="n">
        <v>1</v>
      </c>
      <c r="R425" s="2" t="inlineStr">
        <is>
          <t>Igelkottsröksvamp</t>
        </is>
      </c>
      <c r="S425">
        <f>HYPERLINK("https://klasma.github.io/Logging_121290/artfynd/A 11720-2025 artfynd.xlsx", "A 11720-2025")</f>
        <v/>
      </c>
      <c r="T425">
        <f>HYPERLINK("https://klasma.github.io/Logging_121290/kartor/A 11720-2025 karta.png", "A 11720-2025")</f>
        <v/>
      </c>
      <c r="V425">
        <f>HYPERLINK("https://klasma.github.io/Logging_121290/klagomål/A 11720-2025 FSC-klagomål.docx", "A 11720-2025")</f>
        <v/>
      </c>
      <c r="W425">
        <f>HYPERLINK("https://klasma.github.io/Logging_121290/klagomålsmail/A 11720-2025 FSC-klagomål mail.docx", "A 11720-2025")</f>
        <v/>
      </c>
      <c r="X425">
        <f>HYPERLINK("https://klasma.github.io/Logging_121290/tillsyn/A 11720-2025 tillsynsbegäran.docx", "A 11720-2025")</f>
        <v/>
      </c>
      <c r="Y425">
        <f>HYPERLINK("https://klasma.github.io/Logging_121290/tillsynsmail/A 11720-2025 tillsynsbegäran mail.docx", "A 11720-2025")</f>
        <v/>
      </c>
    </row>
    <row r="426" ht="15" customHeight="1">
      <c r="A426" t="inlineStr">
        <is>
          <t>A 12159-2025</t>
        </is>
      </c>
      <c r="B426" s="1" t="n">
        <v>45729</v>
      </c>
      <c r="C426" s="1" t="n">
        <v>45796</v>
      </c>
      <c r="D426" t="inlineStr">
        <is>
          <t>SKÅNE LÄN</t>
        </is>
      </c>
      <c r="E426" t="inlineStr">
        <is>
          <t>BROMÖLLA</t>
        </is>
      </c>
      <c r="G426" t="n">
        <v>13.2</v>
      </c>
      <c r="H426" t="n">
        <v>0</v>
      </c>
      <c r="I426" t="n">
        <v>0</v>
      </c>
      <c r="J426" t="n">
        <v>0</v>
      </c>
      <c r="K426" t="n">
        <v>0</v>
      </c>
      <c r="L426" t="n">
        <v>1</v>
      </c>
      <c r="M426" t="n">
        <v>0</v>
      </c>
      <c r="N426" t="n">
        <v>0</v>
      </c>
      <c r="O426" t="n">
        <v>1</v>
      </c>
      <c r="P426" t="n">
        <v>1</v>
      </c>
      <c r="Q426" t="n">
        <v>1</v>
      </c>
      <c r="R426" s="2" t="inlineStr">
        <is>
          <t>Ask</t>
        </is>
      </c>
      <c r="S426">
        <f>HYPERLINK("https://klasma.github.io/Logging_121272/artfynd/A 12159-2025 artfynd.xlsx", "A 12159-2025")</f>
        <v/>
      </c>
      <c r="T426">
        <f>HYPERLINK("https://klasma.github.io/Logging_121272/kartor/A 12159-2025 karta.png", "A 12159-2025")</f>
        <v/>
      </c>
      <c r="V426">
        <f>HYPERLINK("https://klasma.github.io/Logging_121272/klagomål/A 12159-2025 FSC-klagomål.docx", "A 12159-2025")</f>
        <v/>
      </c>
      <c r="W426">
        <f>HYPERLINK("https://klasma.github.io/Logging_121272/klagomålsmail/A 12159-2025 FSC-klagomål mail.docx", "A 12159-2025")</f>
        <v/>
      </c>
      <c r="X426">
        <f>HYPERLINK("https://klasma.github.io/Logging_121272/tillsyn/A 12159-2025 tillsynsbegäran.docx", "A 12159-2025")</f>
        <v/>
      </c>
      <c r="Y426">
        <f>HYPERLINK("https://klasma.github.io/Logging_121272/tillsynsmail/A 12159-2025 tillsynsbegäran mail.docx", "A 12159-2025")</f>
        <v/>
      </c>
    </row>
    <row r="427" ht="15" customHeight="1">
      <c r="A427" t="inlineStr">
        <is>
          <t>A 13182-2025</t>
        </is>
      </c>
      <c r="B427" s="1" t="n">
        <v>45735</v>
      </c>
      <c r="C427" s="1" t="n">
        <v>45796</v>
      </c>
      <c r="D427" t="inlineStr">
        <is>
          <t>SKÅNE LÄN</t>
        </is>
      </c>
      <c r="E427" t="inlineStr">
        <is>
          <t>LUND</t>
        </is>
      </c>
      <c r="G427" t="n">
        <v>1.2</v>
      </c>
      <c r="H427" t="n">
        <v>0</v>
      </c>
      <c r="I427" t="n">
        <v>0</v>
      </c>
      <c r="J427" t="n">
        <v>0</v>
      </c>
      <c r="K427" t="n">
        <v>0</v>
      </c>
      <c r="L427" t="n">
        <v>1</v>
      </c>
      <c r="M427" t="n">
        <v>0</v>
      </c>
      <c r="N427" t="n">
        <v>0</v>
      </c>
      <c r="O427" t="n">
        <v>1</v>
      </c>
      <c r="P427" t="n">
        <v>1</v>
      </c>
      <c r="Q427" t="n">
        <v>1</v>
      </c>
      <c r="R427" s="2" t="inlineStr">
        <is>
          <t>Klubbfibbla</t>
        </is>
      </c>
      <c r="S427">
        <f>HYPERLINK("https://klasma.github.io/Logging_121281/artfynd/A 13182-2025 artfynd.xlsx", "A 13182-2025")</f>
        <v/>
      </c>
      <c r="T427">
        <f>HYPERLINK("https://klasma.github.io/Logging_121281/kartor/A 13182-2025 karta.png", "A 13182-2025")</f>
        <v/>
      </c>
      <c r="V427">
        <f>HYPERLINK("https://klasma.github.io/Logging_121281/klagomål/A 13182-2025 FSC-klagomål.docx", "A 13182-2025")</f>
        <v/>
      </c>
      <c r="W427">
        <f>HYPERLINK("https://klasma.github.io/Logging_121281/klagomålsmail/A 13182-2025 FSC-klagomål mail.docx", "A 13182-2025")</f>
        <v/>
      </c>
      <c r="X427">
        <f>HYPERLINK("https://klasma.github.io/Logging_121281/tillsyn/A 13182-2025 tillsynsbegäran.docx", "A 13182-2025")</f>
        <v/>
      </c>
      <c r="Y427">
        <f>HYPERLINK("https://klasma.github.io/Logging_121281/tillsynsmail/A 13182-2025 tillsynsbegäran mail.docx", "A 13182-2025")</f>
        <v/>
      </c>
    </row>
    <row r="428" ht="15" customHeight="1">
      <c r="A428" t="inlineStr">
        <is>
          <t>A 16107-2025</t>
        </is>
      </c>
      <c r="B428" s="1" t="n">
        <v>45750</v>
      </c>
      <c r="C428" s="1" t="n">
        <v>45796</v>
      </c>
      <c r="D428" t="inlineStr">
        <is>
          <t>SKÅNE LÄN</t>
        </is>
      </c>
      <c r="E428" t="inlineStr">
        <is>
          <t>HÄSSLEHOLM</t>
        </is>
      </c>
      <c r="G428" t="n">
        <v>1.4</v>
      </c>
      <c r="H428" t="n">
        <v>1</v>
      </c>
      <c r="I428" t="n">
        <v>0</v>
      </c>
      <c r="J428" t="n">
        <v>1</v>
      </c>
      <c r="K428" t="n">
        <v>0</v>
      </c>
      <c r="L428" t="n">
        <v>0</v>
      </c>
      <c r="M428" t="n">
        <v>0</v>
      </c>
      <c r="N428" t="n">
        <v>0</v>
      </c>
      <c r="O428" t="n">
        <v>1</v>
      </c>
      <c r="P428" t="n">
        <v>0</v>
      </c>
      <c r="Q428" t="n">
        <v>1</v>
      </c>
      <c r="R428" s="2" t="inlineStr">
        <is>
          <t>Spillkråka</t>
        </is>
      </c>
      <c r="S428">
        <f>HYPERLINK("https://klasma.github.io/Logging_121293/artfynd/A 16107-2025 artfynd.xlsx", "A 16107-2025")</f>
        <v/>
      </c>
      <c r="T428">
        <f>HYPERLINK("https://klasma.github.io/Logging_121293/kartor/A 16107-2025 karta.png", "A 16107-2025")</f>
        <v/>
      </c>
      <c r="V428">
        <f>HYPERLINK("https://klasma.github.io/Logging_121293/klagomål/A 16107-2025 FSC-klagomål.docx", "A 16107-2025")</f>
        <v/>
      </c>
      <c r="W428">
        <f>HYPERLINK("https://klasma.github.io/Logging_121293/klagomålsmail/A 16107-2025 FSC-klagomål mail.docx", "A 16107-2025")</f>
        <v/>
      </c>
      <c r="X428">
        <f>HYPERLINK("https://klasma.github.io/Logging_121293/tillsyn/A 16107-2025 tillsynsbegäran.docx", "A 16107-2025")</f>
        <v/>
      </c>
      <c r="Y428">
        <f>HYPERLINK("https://klasma.github.io/Logging_121293/tillsynsmail/A 16107-2025 tillsynsbegäran mail.docx", "A 16107-2025")</f>
        <v/>
      </c>
      <c r="Z428">
        <f>HYPERLINK("https://klasma.github.io/Logging_121293/fåglar/A 16107-2025 prioriterade fågelarter.docx", "A 16107-2025")</f>
        <v/>
      </c>
    </row>
    <row r="429" ht="15" customHeight="1">
      <c r="A429" t="inlineStr">
        <is>
          <t>A 16422-2025</t>
        </is>
      </c>
      <c r="B429" s="1" t="n">
        <v>45751</v>
      </c>
      <c r="C429" s="1" t="n">
        <v>45796</v>
      </c>
      <c r="D429" t="inlineStr">
        <is>
          <t>SKÅNE LÄN</t>
        </is>
      </c>
      <c r="E429" t="inlineStr">
        <is>
          <t>ÖRKELLJUNGA</t>
        </is>
      </c>
      <c r="G429" t="n">
        <v>2.1</v>
      </c>
      <c r="H429" t="n">
        <v>1</v>
      </c>
      <c r="I429" t="n">
        <v>0</v>
      </c>
      <c r="J429" t="n">
        <v>1</v>
      </c>
      <c r="K429" t="n">
        <v>0</v>
      </c>
      <c r="L429" t="n">
        <v>0</v>
      </c>
      <c r="M429" t="n">
        <v>0</v>
      </c>
      <c r="N429" t="n">
        <v>0</v>
      </c>
      <c r="O429" t="n">
        <v>1</v>
      </c>
      <c r="P429" t="n">
        <v>0</v>
      </c>
      <c r="Q429" t="n">
        <v>1</v>
      </c>
      <c r="R429" s="2" t="inlineStr">
        <is>
          <t>Entita</t>
        </is>
      </c>
      <c r="S429">
        <f>HYPERLINK("https://klasma.github.io/Logging_121257/artfynd/A 16422-2025 artfynd.xlsx", "A 16422-2025")</f>
        <v/>
      </c>
      <c r="T429">
        <f>HYPERLINK("https://klasma.github.io/Logging_121257/kartor/A 16422-2025 karta.png", "A 16422-2025")</f>
        <v/>
      </c>
      <c r="V429">
        <f>HYPERLINK("https://klasma.github.io/Logging_121257/klagomål/A 16422-2025 FSC-klagomål.docx", "A 16422-2025")</f>
        <v/>
      </c>
      <c r="W429">
        <f>HYPERLINK("https://klasma.github.io/Logging_121257/klagomålsmail/A 16422-2025 FSC-klagomål mail.docx", "A 16422-2025")</f>
        <v/>
      </c>
      <c r="X429">
        <f>HYPERLINK("https://klasma.github.io/Logging_121257/tillsyn/A 16422-2025 tillsynsbegäran.docx", "A 16422-2025")</f>
        <v/>
      </c>
      <c r="Y429">
        <f>HYPERLINK("https://klasma.github.io/Logging_121257/tillsynsmail/A 16422-2025 tillsynsbegäran mail.docx", "A 16422-2025")</f>
        <v/>
      </c>
      <c r="Z429">
        <f>HYPERLINK("https://klasma.github.io/Logging_121257/fåglar/A 16422-2025 prioriterade fågelarter.docx", "A 16422-2025")</f>
        <v/>
      </c>
    </row>
    <row r="430" ht="15" customHeight="1">
      <c r="A430" t="inlineStr">
        <is>
          <t>A 20280-2025</t>
        </is>
      </c>
      <c r="B430" s="1" t="n">
        <v>45774</v>
      </c>
      <c r="C430" s="1" t="n">
        <v>45796</v>
      </c>
      <c r="D430" t="inlineStr">
        <is>
          <t>SKÅNE LÄN</t>
        </is>
      </c>
      <c r="E430" t="inlineStr">
        <is>
          <t>HÄSSLEHOLM</t>
        </is>
      </c>
      <c r="G430" t="n">
        <v>3</v>
      </c>
      <c r="H430" t="n">
        <v>0</v>
      </c>
      <c r="I430" t="n">
        <v>0</v>
      </c>
      <c r="J430" t="n">
        <v>0</v>
      </c>
      <c r="K430" t="n">
        <v>1</v>
      </c>
      <c r="L430" t="n">
        <v>0</v>
      </c>
      <c r="M430" t="n">
        <v>0</v>
      </c>
      <c r="N430" t="n">
        <v>0</v>
      </c>
      <c r="O430" t="n">
        <v>1</v>
      </c>
      <c r="P430" t="n">
        <v>1</v>
      </c>
      <c r="Q430" t="n">
        <v>1</v>
      </c>
      <c r="R430" s="2" t="inlineStr">
        <is>
          <t>Revig blodrot</t>
        </is>
      </c>
      <c r="S430">
        <f>HYPERLINK("https://klasma.github.io/Logging_121293/artfynd/A 20280-2025 artfynd.xlsx", "A 20280-2025")</f>
        <v/>
      </c>
      <c r="T430">
        <f>HYPERLINK("https://klasma.github.io/Logging_121293/kartor/A 20280-2025 karta.png", "A 20280-2025")</f>
        <v/>
      </c>
      <c r="V430">
        <f>HYPERLINK("https://klasma.github.io/Logging_121293/klagomål/A 20280-2025 FSC-klagomål.docx", "A 20280-2025")</f>
        <v/>
      </c>
      <c r="W430">
        <f>HYPERLINK("https://klasma.github.io/Logging_121293/klagomålsmail/A 20280-2025 FSC-klagomål mail.docx", "A 20280-2025")</f>
        <v/>
      </c>
      <c r="X430">
        <f>HYPERLINK("https://klasma.github.io/Logging_121293/tillsyn/A 20280-2025 tillsynsbegäran.docx", "A 20280-2025")</f>
        <v/>
      </c>
      <c r="Y430">
        <f>HYPERLINK("https://klasma.github.io/Logging_121293/tillsynsmail/A 20280-2025 tillsynsbegäran mail.docx", "A 20280-2025")</f>
        <v/>
      </c>
    </row>
    <row r="431" ht="15" customHeight="1">
      <c r="A431" t="inlineStr">
        <is>
          <t>A 18175-2019</t>
        </is>
      </c>
      <c r="B431" s="1" t="n">
        <v>43556</v>
      </c>
      <c r="C431" s="1" t="n">
        <v>45796</v>
      </c>
      <c r="D431" t="inlineStr">
        <is>
          <t>SKÅNE LÄN</t>
        </is>
      </c>
      <c r="E431" t="inlineStr">
        <is>
          <t>ÅSTORP</t>
        </is>
      </c>
      <c r="G431" t="n">
        <v>5.9</v>
      </c>
      <c r="H431" t="n">
        <v>0</v>
      </c>
      <c r="I431" t="n">
        <v>0</v>
      </c>
      <c r="J431" t="n">
        <v>0</v>
      </c>
      <c r="K431" t="n">
        <v>0</v>
      </c>
      <c r="L431" t="n">
        <v>0</v>
      </c>
      <c r="M431" t="n">
        <v>0</v>
      </c>
      <c r="N431" t="n">
        <v>0</v>
      </c>
      <c r="O431" t="n">
        <v>0</v>
      </c>
      <c r="P431" t="n">
        <v>0</v>
      </c>
      <c r="Q431" t="n">
        <v>0</v>
      </c>
      <c r="R431" s="2" t="inlineStr"/>
    </row>
    <row r="432" ht="15" customHeight="1">
      <c r="A432" t="inlineStr">
        <is>
          <t>A 18039-2019</t>
        </is>
      </c>
      <c r="B432" s="1" t="n">
        <v>43557</v>
      </c>
      <c r="C432" s="1" t="n">
        <v>45796</v>
      </c>
      <c r="D432" t="inlineStr">
        <is>
          <t>SKÅNE LÄN</t>
        </is>
      </c>
      <c r="E432" t="inlineStr">
        <is>
          <t>HÄSSLEHOLM</t>
        </is>
      </c>
      <c r="F432" t="inlineStr">
        <is>
          <t>Kommuner</t>
        </is>
      </c>
      <c r="G432" t="n">
        <v>4.5</v>
      </c>
      <c r="H432" t="n">
        <v>0</v>
      </c>
      <c r="I432" t="n">
        <v>0</v>
      </c>
      <c r="J432" t="n">
        <v>0</v>
      </c>
      <c r="K432" t="n">
        <v>0</v>
      </c>
      <c r="L432" t="n">
        <v>0</v>
      </c>
      <c r="M432" t="n">
        <v>0</v>
      </c>
      <c r="N432" t="n">
        <v>0</v>
      </c>
      <c r="O432" t="n">
        <v>0</v>
      </c>
      <c r="P432" t="n">
        <v>0</v>
      </c>
      <c r="Q432" t="n">
        <v>0</v>
      </c>
      <c r="R432" s="2" t="inlineStr"/>
    </row>
    <row r="433" ht="15" customHeight="1">
      <c r="A433" t="inlineStr">
        <is>
          <t>A 18260-2019</t>
        </is>
      </c>
      <c r="B433" s="1" t="n">
        <v>43557</v>
      </c>
      <c r="C433" s="1" t="n">
        <v>45796</v>
      </c>
      <c r="D433" t="inlineStr">
        <is>
          <t>SKÅNE LÄN</t>
        </is>
      </c>
      <c r="E433" t="inlineStr">
        <is>
          <t>KRISTIANSTAD</t>
        </is>
      </c>
      <c r="G433" t="n">
        <v>7</v>
      </c>
      <c r="H433" t="n">
        <v>0</v>
      </c>
      <c r="I433" t="n">
        <v>0</v>
      </c>
      <c r="J433" t="n">
        <v>0</v>
      </c>
      <c r="K433" t="n">
        <v>0</v>
      </c>
      <c r="L433" t="n">
        <v>0</v>
      </c>
      <c r="M433" t="n">
        <v>0</v>
      </c>
      <c r="N433" t="n">
        <v>0</v>
      </c>
      <c r="O433" t="n">
        <v>0</v>
      </c>
      <c r="P433" t="n">
        <v>0</v>
      </c>
      <c r="Q433" t="n">
        <v>0</v>
      </c>
      <c r="R433" s="2" t="inlineStr"/>
    </row>
    <row r="434" ht="15" customHeight="1">
      <c r="A434" t="inlineStr">
        <is>
          <t>A 18581-2019</t>
        </is>
      </c>
      <c r="B434" s="1" t="n">
        <v>43558</v>
      </c>
      <c r="C434" s="1" t="n">
        <v>45796</v>
      </c>
      <c r="D434" t="inlineStr">
        <is>
          <t>SKÅNE LÄN</t>
        </is>
      </c>
      <c r="E434" t="inlineStr">
        <is>
          <t>ÅSTORP</t>
        </is>
      </c>
      <c r="G434" t="n">
        <v>1.6</v>
      </c>
      <c r="H434" t="n">
        <v>0</v>
      </c>
      <c r="I434" t="n">
        <v>0</v>
      </c>
      <c r="J434" t="n">
        <v>0</v>
      </c>
      <c r="K434" t="n">
        <v>0</v>
      </c>
      <c r="L434" t="n">
        <v>0</v>
      </c>
      <c r="M434" t="n">
        <v>0</v>
      </c>
      <c r="N434" t="n">
        <v>0</v>
      </c>
      <c r="O434" t="n">
        <v>0</v>
      </c>
      <c r="P434" t="n">
        <v>0</v>
      </c>
      <c r="Q434" t="n">
        <v>0</v>
      </c>
      <c r="R434" s="2" t="inlineStr"/>
    </row>
    <row r="435" ht="15" customHeight="1">
      <c r="A435" t="inlineStr">
        <is>
          <t>A 18412-2019</t>
        </is>
      </c>
      <c r="B435" s="1" t="n">
        <v>43559</v>
      </c>
      <c r="C435" s="1" t="n">
        <v>45796</v>
      </c>
      <c r="D435" t="inlineStr">
        <is>
          <t>SKÅNE LÄN</t>
        </is>
      </c>
      <c r="E435" t="inlineStr">
        <is>
          <t>KRISTIANSTAD</t>
        </is>
      </c>
      <c r="G435" t="n">
        <v>2.5</v>
      </c>
      <c r="H435" t="n">
        <v>0</v>
      </c>
      <c r="I435" t="n">
        <v>0</v>
      </c>
      <c r="J435" t="n">
        <v>0</v>
      </c>
      <c r="K435" t="n">
        <v>0</v>
      </c>
      <c r="L435" t="n">
        <v>0</v>
      </c>
      <c r="M435" t="n">
        <v>0</v>
      </c>
      <c r="N435" t="n">
        <v>0</v>
      </c>
      <c r="O435" t="n">
        <v>0</v>
      </c>
      <c r="P435" t="n">
        <v>0</v>
      </c>
      <c r="Q435" t="n">
        <v>0</v>
      </c>
      <c r="R435" s="2" t="inlineStr"/>
    </row>
    <row r="436" ht="15" customHeight="1">
      <c r="A436" t="inlineStr">
        <is>
          <t>A 18475-2019</t>
        </is>
      </c>
      <c r="B436" s="1" t="n">
        <v>43559</v>
      </c>
      <c r="C436" s="1" t="n">
        <v>45796</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18749-2019</t>
        </is>
      </c>
      <c r="B437" s="1" t="n">
        <v>43560</v>
      </c>
      <c r="C437" s="1" t="n">
        <v>45796</v>
      </c>
      <c r="D437" t="inlineStr">
        <is>
          <t>SKÅNE LÄN</t>
        </is>
      </c>
      <c r="E437" t="inlineStr">
        <is>
          <t>ÖSTRA GÖINGE</t>
        </is>
      </c>
      <c r="G437" t="n">
        <v>1.9</v>
      </c>
      <c r="H437" t="n">
        <v>0</v>
      </c>
      <c r="I437" t="n">
        <v>0</v>
      </c>
      <c r="J437" t="n">
        <v>0</v>
      </c>
      <c r="K437" t="n">
        <v>0</v>
      </c>
      <c r="L437" t="n">
        <v>0</v>
      </c>
      <c r="M437" t="n">
        <v>0</v>
      </c>
      <c r="N437" t="n">
        <v>0</v>
      </c>
      <c r="O437" t="n">
        <v>0</v>
      </c>
      <c r="P437" t="n">
        <v>0</v>
      </c>
      <c r="Q437" t="n">
        <v>0</v>
      </c>
      <c r="R437" s="2" t="inlineStr"/>
    </row>
    <row r="438" ht="15" customHeight="1">
      <c r="A438" t="inlineStr">
        <is>
          <t>A 18822-2019</t>
        </is>
      </c>
      <c r="B438" s="1" t="n">
        <v>43563</v>
      </c>
      <c r="C438" s="1" t="n">
        <v>45796</v>
      </c>
      <c r="D438" t="inlineStr">
        <is>
          <t>SKÅNE LÄN</t>
        </is>
      </c>
      <c r="E438" t="inlineStr">
        <is>
          <t>ÖRKELLJUNGA</t>
        </is>
      </c>
      <c r="G438" t="n">
        <v>0.9</v>
      </c>
      <c r="H438" t="n">
        <v>0</v>
      </c>
      <c r="I438" t="n">
        <v>0</v>
      </c>
      <c r="J438" t="n">
        <v>0</v>
      </c>
      <c r="K438" t="n">
        <v>0</v>
      </c>
      <c r="L438" t="n">
        <v>0</v>
      </c>
      <c r="M438" t="n">
        <v>0</v>
      </c>
      <c r="N438" t="n">
        <v>0</v>
      </c>
      <c r="O438" t="n">
        <v>0</v>
      </c>
      <c r="P438" t="n">
        <v>0</v>
      </c>
      <c r="Q438" t="n">
        <v>0</v>
      </c>
      <c r="R438" s="2" t="inlineStr"/>
    </row>
    <row r="439" ht="15" customHeight="1">
      <c r="A439" t="inlineStr">
        <is>
          <t>A 18984-2019</t>
        </is>
      </c>
      <c r="B439" s="1" t="n">
        <v>43563</v>
      </c>
      <c r="C439" s="1" t="n">
        <v>45796</v>
      </c>
      <c r="D439" t="inlineStr">
        <is>
          <t>SKÅNE LÄN</t>
        </is>
      </c>
      <c r="E439" t="inlineStr">
        <is>
          <t>HÄSSLEHOLM</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18982-2019</t>
        </is>
      </c>
      <c r="B440" s="1" t="n">
        <v>43563</v>
      </c>
      <c r="C440" s="1" t="n">
        <v>45796</v>
      </c>
      <c r="D440" t="inlineStr">
        <is>
          <t>SKÅNE LÄN</t>
        </is>
      </c>
      <c r="E440" t="inlineStr">
        <is>
          <t>HÄSSLEHOLM</t>
        </is>
      </c>
      <c r="F440" t="inlineStr">
        <is>
          <t>Kommuner</t>
        </is>
      </c>
      <c r="G440" t="n">
        <v>1.8</v>
      </c>
      <c r="H440" t="n">
        <v>0</v>
      </c>
      <c r="I440" t="n">
        <v>0</v>
      </c>
      <c r="J440" t="n">
        <v>0</v>
      </c>
      <c r="K440" t="n">
        <v>0</v>
      </c>
      <c r="L440" t="n">
        <v>0</v>
      </c>
      <c r="M440" t="n">
        <v>0</v>
      </c>
      <c r="N440" t="n">
        <v>0</v>
      </c>
      <c r="O440" t="n">
        <v>0</v>
      </c>
      <c r="P440" t="n">
        <v>0</v>
      </c>
      <c r="Q440" t="n">
        <v>0</v>
      </c>
      <c r="R440" s="2" t="inlineStr"/>
    </row>
    <row r="441" ht="15" customHeight="1">
      <c r="A441" t="inlineStr">
        <is>
          <t>A 18896-2019</t>
        </is>
      </c>
      <c r="B441" s="1" t="n">
        <v>43563</v>
      </c>
      <c r="C441" s="1" t="n">
        <v>45796</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18911-2019</t>
        </is>
      </c>
      <c r="B442" s="1" t="n">
        <v>43563</v>
      </c>
      <c r="C442" s="1" t="n">
        <v>45796</v>
      </c>
      <c r="D442" t="inlineStr">
        <is>
          <t>SKÅNE LÄN</t>
        </is>
      </c>
      <c r="E442" t="inlineStr">
        <is>
          <t>HÄSSLEHOLM</t>
        </is>
      </c>
      <c r="G442" t="n">
        <v>2.1</v>
      </c>
      <c r="H442" t="n">
        <v>0</v>
      </c>
      <c r="I442" t="n">
        <v>0</v>
      </c>
      <c r="J442" t="n">
        <v>0</v>
      </c>
      <c r="K442" t="n">
        <v>0</v>
      </c>
      <c r="L442" t="n">
        <v>0</v>
      </c>
      <c r="M442" t="n">
        <v>0</v>
      </c>
      <c r="N442" t="n">
        <v>0</v>
      </c>
      <c r="O442" t="n">
        <v>0</v>
      </c>
      <c r="P442" t="n">
        <v>0</v>
      </c>
      <c r="Q442" t="n">
        <v>0</v>
      </c>
      <c r="R442" s="2" t="inlineStr"/>
    </row>
    <row r="443" ht="15" customHeight="1">
      <c r="A443" t="inlineStr">
        <is>
          <t>A 18898-2019</t>
        </is>
      </c>
      <c r="B443" s="1" t="n">
        <v>43563</v>
      </c>
      <c r="C443" s="1" t="n">
        <v>45796</v>
      </c>
      <c r="D443" t="inlineStr">
        <is>
          <t>SKÅNE LÄN</t>
        </is>
      </c>
      <c r="E443" t="inlineStr">
        <is>
          <t>OSBY</t>
        </is>
      </c>
      <c r="G443" t="n">
        <v>5.2</v>
      </c>
      <c r="H443" t="n">
        <v>0</v>
      </c>
      <c r="I443" t="n">
        <v>0</v>
      </c>
      <c r="J443" t="n">
        <v>0</v>
      </c>
      <c r="K443" t="n">
        <v>0</v>
      </c>
      <c r="L443" t="n">
        <v>0</v>
      </c>
      <c r="M443" t="n">
        <v>0</v>
      </c>
      <c r="N443" t="n">
        <v>0</v>
      </c>
      <c r="O443" t="n">
        <v>0</v>
      </c>
      <c r="P443" t="n">
        <v>0</v>
      </c>
      <c r="Q443" t="n">
        <v>0</v>
      </c>
      <c r="R443" s="2" t="inlineStr"/>
    </row>
    <row r="444" ht="15" customHeight="1">
      <c r="A444" t="inlineStr">
        <is>
          <t>A 19078-2019</t>
        </is>
      </c>
      <c r="B444" s="1" t="n">
        <v>43564</v>
      </c>
      <c r="C444" s="1" t="n">
        <v>45796</v>
      </c>
      <c r="D444" t="inlineStr">
        <is>
          <t>SKÅNE LÄN</t>
        </is>
      </c>
      <c r="E444" t="inlineStr">
        <is>
          <t>BROMÖLLA</t>
        </is>
      </c>
      <c r="G444" t="n">
        <v>0.6</v>
      </c>
      <c r="H444" t="n">
        <v>0</v>
      </c>
      <c r="I444" t="n">
        <v>0</v>
      </c>
      <c r="J444" t="n">
        <v>0</v>
      </c>
      <c r="K444" t="n">
        <v>0</v>
      </c>
      <c r="L444" t="n">
        <v>0</v>
      </c>
      <c r="M444" t="n">
        <v>0</v>
      </c>
      <c r="N444" t="n">
        <v>0</v>
      </c>
      <c r="O444" t="n">
        <v>0</v>
      </c>
      <c r="P444" t="n">
        <v>0</v>
      </c>
      <c r="Q444" t="n">
        <v>0</v>
      </c>
      <c r="R444" s="2" t="inlineStr"/>
    </row>
    <row r="445" ht="15" customHeight="1">
      <c r="A445" t="inlineStr">
        <is>
          <t>A 19171-2019</t>
        </is>
      </c>
      <c r="B445" s="1" t="n">
        <v>43564</v>
      </c>
      <c r="C445" s="1" t="n">
        <v>45796</v>
      </c>
      <c r="D445" t="inlineStr">
        <is>
          <t>SKÅNE LÄN</t>
        </is>
      </c>
      <c r="E445" t="inlineStr">
        <is>
          <t>ÖSTRA GÖINGE</t>
        </is>
      </c>
      <c r="G445" t="n">
        <v>2.7</v>
      </c>
      <c r="H445" t="n">
        <v>0</v>
      </c>
      <c r="I445" t="n">
        <v>0</v>
      </c>
      <c r="J445" t="n">
        <v>0</v>
      </c>
      <c r="K445" t="n">
        <v>0</v>
      </c>
      <c r="L445" t="n">
        <v>0</v>
      </c>
      <c r="M445" t="n">
        <v>0</v>
      </c>
      <c r="N445" t="n">
        <v>0</v>
      </c>
      <c r="O445" t="n">
        <v>0</v>
      </c>
      <c r="P445" t="n">
        <v>0</v>
      </c>
      <c r="Q445" t="n">
        <v>0</v>
      </c>
      <c r="R445" s="2" t="inlineStr"/>
    </row>
    <row r="446" ht="15" customHeight="1">
      <c r="A446" t="inlineStr">
        <is>
          <t>A 19165-2019</t>
        </is>
      </c>
      <c r="B446" s="1" t="n">
        <v>43564</v>
      </c>
      <c r="C446" s="1" t="n">
        <v>45796</v>
      </c>
      <c r="D446" t="inlineStr">
        <is>
          <t>SKÅNE LÄN</t>
        </is>
      </c>
      <c r="E446" t="inlineStr">
        <is>
          <t>ÖSTRA GÖINGE</t>
        </is>
      </c>
      <c r="G446" t="n">
        <v>7.5</v>
      </c>
      <c r="H446" t="n">
        <v>0</v>
      </c>
      <c r="I446" t="n">
        <v>0</v>
      </c>
      <c r="J446" t="n">
        <v>0</v>
      </c>
      <c r="K446" t="n">
        <v>0</v>
      </c>
      <c r="L446" t="n">
        <v>0</v>
      </c>
      <c r="M446" t="n">
        <v>0</v>
      </c>
      <c r="N446" t="n">
        <v>0</v>
      </c>
      <c r="O446" t="n">
        <v>0</v>
      </c>
      <c r="P446" t="n">
        <v>0</v>
      </c>
      <c r="Q446" t="n">
        <v>0</v>
      </c>
      <c r="R446" s="2" t="inlineStr"/>
    </row>
    <row r="447" ht="15" customHeight="1">
      <c r="A447" t="inlineStr">
        <is>
          <t>A 19183-2019</t>
        </is>
      </c>
      <c r="B447" s="1" t="n">
        <v>43564</v>
      </c>
      <c r="C447" s="1" t="n">
        <v>45796</v>
      </c>
      <c r="D447" t="inlineStr">
        <is>
          <t>SKÅNE LÄN</t>
        </is>
      </c>
      <c r="E447" t="inlineStr">
        <is>
          <t>KRISTIANSTAD</t>
        </is>
      </c>
      <c r="G447" t="n">
        <v>0.8</v>
      </c>
      <c r="H447" t="n">
        <v>0</v>
      </c>
      <c r="I447" t="n">
        <v>0</v>
      </c>
      <c r="J447" t="n">
        <v>0</v>
      </c>
      <c r="K447" t="n">
        <v>0</v>
      </c>
      <c r="L447" t="n">
        <v>0</v>
      </c>
      <c r="M447" t="n">
        <v>0</v>
      </c>
      <c r="N447" t="n">
        <v>0</v>
      </c>
      <c r="O447" t="n">
        <v>0</v>
      </c>
      <c r="P447" t="n">
        <v>0</v>
      </c>
      <c r="Q447" t="n">
        <v>0</v>
      </c>
      <c r="R447" s="2" t="inlineStr"/>
    </row>
    <row r="448" ht="15" customHeight="1">
      <c r="A448" t="inlineStr">
        <is>
          <t>A 19176-2019</t>
        </is>
      </c>
      <c r="B448" s="1" t="n">
        <v>43564</v>
      </c>
      <c r="C448" s="1" t="n">
        <v>45796</v>
      </c>
      <c r="D448" t="inlineStr">
        <is>
          <t>SKÅNE LÄN</t>
        </is>
      </c>
      <c r="E448" t="inlineStr">
        <is>
          <t>ÖSTRA GÖINGE</t>
        </is>
      </c>
      <c r="G448" t="n">
        <v>3.9</v>
      </c>
      <c r="H448" t="n">
        <v>0</v>
      </c>
      <c r="I448" t="n">
        <v>0</v>
      </c>
      <c r="J448" t="n">
        <v>0</v>
      </c>
      <c r="K448" t="n">
        <v>0</v>
      </c>
      <c r="L448" t="n">
        <v>0</v>
      </c>
      <c r="M448" t="n">
        <v>0</v>
      </c>
      <c r="N448" t="n">
        <v>0</v>
      </c>
      <c r="O448" t="n">
        <v>0</v>
      </c>
      <c r="P448" t="n">
        <v>0</v>
      </c>
      <c r="Q448" t="n">
        <v>0</v>
      </c>
      <c r="R448" s="2" t="inlineStr"/>
    </row>
    <row r="449" ht="15" customHeight="1">
      <c r="A449" t="inlineStr">
        <is>
          <t>A 19327-2019</t>
        </is>
      </c>
      <c r="B449" s="1" t="n">
        <v>43565</v>
      </c>
      <c r="C449" s="1" t="n">
        <v>45796</v>
      </c>
      <c r="D449" t="inlineStr">
        <is>
          <t>SKÅNE LÄN</t>
        </is>
      </c>
      <c r="E449" t="inlineStr">
        <is>
          <t>KRISTIANSTAD</t>
        </is>
      </c>
      <c r="G449" t="n">
        <v>4</v>
      </c>
      <c r="H449" t="n">
        <v>0</v>
      </c>
      <c r="I449" t="n">
        <v>0</v>
      </c>
      <c r="J449" t="n">
        <v>0</v>
      </c>
      <c r="K449" t="n">
        <v>0</v>
      </c>
      <c r="L449" t="n">
        <v>0</v>
      </c>
      <c r="M449" t="n">
        <v>0</v>
      </c>
      <c r="N449" t="n">
        <v>0</v>
      </c>
      <c r="O449" t="n">
        <v>0</v>
      </c>
      <c r="P449" t="n">
        <v>0</v>
      </c>
      <c r="Q449" t="n">
        <v>0</v>
      </c>
      <c r="R449" s="2" t="inlineStr"/>
    </row>
    <row r="450" ht="15" customHeight="1">
      <c r="A450" t="inlineStr">
        <is>
          <t>A 19473-2019</t>
        </is>
      </c>
      <c r="B450" s="1" t="n">
        <v>43565</v>
      </c>
      <c r="C450" s="1" t="n">
        <v>45796</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19596-2019</t>
        </is>
      </c>
      <c r="B451" s="1" t="n">
        <v>43565</v>
      </c>
      <c r="C451" s="1" t="n">
        <v>45796</v>
      </c>
      <c r="D451" t="inlineStr">
        <is>
          <t>SKÅNE LÄN</t>
        </is>
      </c>
      <c r="E451" t="inlineStr">
        <is>
          <t>KRISTIANSTAD</t>
        </is>
      </c>
      <c r="G451" t="n">
        <v>4.9</v>
      </c>
      <c r="H451" t="n">
        <v>0</v>
      </c>
      <c r="I451" t="n">
        <v>0</v>
      </c>
      <c r="J451" t="n">
        <v>0</v>
      </c>
      <c r="K451" t="n">
        <v>0</v>
      </c>
      <c r="L451" t="n">
        <v>0</v>
      </c>
      <c r="M451" t="n">
        <v>0</v>
      </c>
      <c r="N451" t="n">
        <v>0</v>
      </c>
      <c r="O451" t="n">
        <v>0</v>
      </c>
      <c r="P451" t="n">
        <v>0</v>
      </c>
      <c r="Q451" t="n">
        <v>0</v>
      </c>
      <c r="R451" s="2" t="inlineStr"/>
    </row>
    <row r="452" ht="15" customHeight="1">
      <c r="A452" t="inlineStr">
        <is>
          <t>A 19334-2019</t>
        </is>
      </c>
      <c r="B452" s="1" t="n">
        <v>43565</v>
      </c>
      <c r="C452" s="1" t="n">
        <v>45796</v>
      </c>
      <c r="D452" t="inlineStr">
        <is>
          <t>SKÅNE LÄN</t>
        </is>
      </c>
      <c r="E452" t="inlineStr">
        <is>
          <t>KLIPPAN</t>
        </is>
      </c>
      <c r="G452" t="n">
        <v>0.9</v>
      </c>
      <c r="H452" t="n">
        <v>0</v>
      </c>
      <c r="I452" t="n">
        <v>0</v>
      </c>
      <c r="J452" t="n">
        <v>0</v>
      </c>
      <c r="K452" t="n">
        <v>0</v>
      </c>
      <c r="L452" t="n">
        <v>0</v>
      </c>
      <c r="M452" t="n">
        <v>0</v>
      </c>
      <c r="N452" t="n">
        <v>0</v>
      </c>
      <c r="O452" t="n">
        <v>0</v>
      </c>
      <c r="P452" t="n">
        <v>0</v>
      </c>
      <c r="Q452" t="n">
        <v>0</v>
      </c>
      <c r="R452" s="2" t="inlineStr"/>
    </row>
    <row r="453" ht="15" customHeight="1">
      <c r="A453" t="inlineStr">
        <is>
          <t>A 19508-2019</t>
        </is>
      </c>
      <c r="B453" s="1" t="n">
        <v>43565</v>
      </c>
      <c r="C453" s="1" t="n">
        <v>45796</v>
      </c>
      <c r="D453" t="inlineStr">
        <is>
          <t>SKÅNE LÄN</t>
        </is>
      </c>
      <c r="E453" t="inlineStr">
        <is>
          <t>KRISTIANSTAD</t>
        </is>
      </c>
      <c r="G453" t="n">
        <v>5.5</v>
      </c>
      <c r="H453" t="n">
        <v>0</v>
      </c>
      <c r="I453" t="n">
        <v>0</v>
      </c>
      <c r="J453" t="n">
        <v>0</v>
      </c>
      <c r="K453" t="n">
        <v>0</v>
      </c>
      <c r="L453" t="n">
        <v>0</v>
      </c>
      <c r="M453" t="n">
        <v>0</v>
      </c>
      <c r="N453" t="n">
        <v>0</v>
      </c>
      <c r="O453" t="n">
        <v>0</v>
      </c>
      <c r="P453" t="n">
        <v>0</v>
      </c>
      <c r="Q453" t="n">
        <v>0</v>
      </c>
      <c r="R453" s="2" t="inlineStr"/>
    </row>
    <row r="454" ht="15" customHeight="1">
      <c r="A454" t="inlineStr">
        <is>
          <t>A 19661-2019</t>
        </is>
      </c>
      <c r="B454" s="1" t="n">
        <v>43566</v>
      </c>
      <c r="C454" s="1" t="n">
        <v>45796</v>
      </c>
      <c r="D454" t="inlineStr">
        <is>
          <t>SKÅNE LÄN</t>
        </is>
      </c>
      <c r="E454" t="inlineStr">
        <is>
          <t>KRISTIANSTAD</t>
        </is>
      </c>
      <c r="G454" t="n">
        <v>2</v>
      </c>
      <c r="H454" t="n">
        <v>0</v>
      </c>
      <c r="I454" t="n">
        <v>0</v>
      </c>
      <c r="J454" t="n">
        <v>0</v>
      </c>
      <c r="K454" t="n">
        <v>0</v>
      </c>
      <c r="L454" t="n">
        <v>0</v>
      </c>
      <c r="M454" t="n">
        <v>0</v>
      </c>
      <c r="N454" t="n">
        <v>0</v>
      </c>
      <c r="O454" t="n">
        <v>0</v>
      </c>
      <c r="P454" t="n">
        <v>0</v>
      </c>
      <c r="Q454" t="n">
        <v>0</v>
      </c>
      <c r="R454" s="2" t="inlineStr"/>
    </row>
    <row r="455" ht="15" customHeight="1">
      <c r="A455" t="inlineStr">
        <is>
          <t>A 19664-2019</t>
        </is>
      </c>
      <c r="B455" s="1" t="n">
        <v>43566</v>
      </c>
      <c r="C455" s="1" t="n">
        <v>45796</v>
      </c>
      <c r="D455" t="inlineStr">
        <is>
          <t>SKÅNE LÄN</t>
        </is>
      </c>
      <c r="E455" t="inlineStr">
        <is>
          <t>KRISTIANSTAD</t>
        </is>
      </c>
      <c r="G455" t="n">
        <v>6.8</v>
      </c>
      <c r="H455" t="n">
        <v>0</v>
      </c>
      <c r="I455" t="n">
        <v>0</v>
      </c>
      <c r="J455" t="n">
        <v>0</v>
      </c>
      <c r="K455" t="n">
        <v>0</v>
      </c>
      <c r="L455" t="n">
        <v>0</v>
      </c>
      <c r="M455" t="n">
        <v>0</v>
      </c>
      <c r="N455" t="n">
        <v>0</v>
      </c>
      <c r="O455" t="n">
        <v>0</v>
      </c>
      <c r="P455" t="n">
        <v>0</v>
      </c>
      <c r="Q455" t="n">
        <v>0</v>
      </c>
      <c r="R455" s="2" t="inlineStr"/>
    </row>
    <row r="456" ht="15" customHeight="1">
      <c r="A456" t="inlineStr">
        <is>
          <t>A 19607-2019</t>
        </is>
      </c>
      <c r="B456" s="1" t="n">
        <v>43566</v>
      </c>
      <c r="C456" s="1" t="n">
        <v>45796</v>
      </c>
      <c r="D456" t="inlineStr">
        <is>
          <t>SKÅNE LÄN</t>
        </is>
      </c>
      <c r="E456" t="inlineStr">
        <is>
          <t>ÖRKELLJUNGA</t>
        </is>
      </c>
      <c r="G456" t="n">
        <v>6.2</v>
      </c>
      <c r="H456" t="n">
        <v>0</v>
      </c>
      <c r="I456" t="n">
        <v>0</v>
      </c>
      <c r="J456" t="n">
        <v>0</v>
      </c>
      <c r="K456" t="n">
        <v>0</v>
      </c>
      <c r="L456" t="n">
        <v>0</v>
      </c>
      <c r="M456" t="n">
        <v>0</v>
      </c>
      <c r="N456" t="n">
        <v>0</v>
      </c>
      <c r="O456" t="n">
        <v>0</v>
      </c>
      <c r="P456" t="n">
        <v>0</v>
      </c>
      <c r="Q456" t="n">
        <v>0</v>
      </c>
      <c r="R456" s="2" t="inlineStr"/>
    </row>
    <row r="457" ht="15" customHeight="1">
      <c r="A457" t="inlineStr">
        <is>
          <t>A 20239-2019</t>
        </is>
      </c>
      <c r="B457" s="1" t="n">
        <v>43567</v>
      </c>
      <c r="C457" s="1" t="n">
        <v>45796</v>
      </c>
      <c r="D457" t="inlineStr">
        <is>
          <t>SKÅNE LÄN</t>
        </is>
      </c>
      <c r="E457" t="inlineStr">
        <is>
          <t>OSBY</t>
        </is>
      </c>
      <c r="G457" t="n">
        <v>1.4</v>
      </c>
      <c r="H457" t="n">
        <v>0</v>
      </c>
      <c r="I457" t="n">
        <v>0</v>
      </c>
      <c r="J457" t="n">
        <v>0</v>
      </c>
      <c r="K457" t="n">
        <v>0</v>
      </c>
      <c r="L457" t="n">
        <v>0</v>
      </c>
      <c r="M457" t="n">
        <v>0</v>
      </c>
      <c r="N457" t="n">
        <v>0</v>
      </c>
      <c r="O457" t="n">
        <v>0</v>
      </c>
      <c r="P457" t="n">
        <v>0</v>
      </c>
      <c r="Q457" t="n">
        <v>0</v>
      </c>
      <c r="R457" s="2" t="inlineStr"/>
    </row>
    <row r="458" ht="15" customHeight="1">
      <c r="A458" t="inlineStr">
        <is>
          <t>A 19988-2019</t>
        </is>
      </c>
      <c r="B458" s="1" t="n">
        <v>43567</v>
      </c>
      <c r="C458" s="1" t="n">
        <v>45796</v>
      </c>
      <c r="D458" t="inlineStr">
        <is>
          <t>SKÅNE LÄN</t>
        </is>
      </c>
      <c r="E458" t="inlineStr">
        <is>
          <t>PERSTORP</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19820-2019</t>
        </is>
      </c>
      <c r="B459" s="1" t="n">
        <v>43567</v>
      </c>
      <c r="C459" s="1" t="n">
        <v>45796</v>
      </c>
      <c r="D459" t="inlineStr">
        <is>
          <t>SKÅNE LÄN</t>
        </is>
      </c>
      <c r="E459" t="inlineStr">
        <is>
          <t>OSBY</t>
        </is>
      </c>
      <c r="G459" t="n">
        <v>2.4</v>
      </c>
      <c r="H459" t="n">
        <v>0</v>
      </c>
      <c r="I459" t="n">
        <v>0</v>
      </c>
      <c r="J459" t="n">
        <v>0</v>
      </c>
      <c r="K459" t="n">
        <v>0</v>
      </c>
      <c r="L459" t="n">
        <v>0</v>
      </c>
      <c r="M459" t="n">
        <v>0</v>
      </c>
      <c r="N459" t="n">
        <v>0</v>
      </c>
      <c r="O459" t="n">
        <v>0</v>
      </c>
      <c r="P459" t="n">
        <v>0</v>
      </c>
      <c r="Q459" t="n">
        <v>0</v>
      </c>
      <c r="R459" s="2" t="inlineStr"/>
    </row>
    <row r="460" ht="15" customHeight="1">
      <c r="A460" t="inlineStr">
        <is>
          <t>A 19973-2019</t>
        </is>
      </c>
      <c r="B460" s="1" t="n">
        <v>43567</v>
      </c>
      <c r="C460" s="1" t="n">
        <v>45796</v>
      </c>
      <c r="D460" t="inlineStr">
        <is>
          <t>SKÅNE LÄN</t>
        </is>
      </c>
      <c r="E460" t="inlineStr">
        <is>
          <t>PERSTORP</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19972-2019</t>
        </is>
      </c>
      <c r="B461" s="1" t="n">
        <v>43567</v>
      </c>
      <c r="C461" s="1" t="n">
        <v>45796</v>
      </c>
      <c r="D461" t="inlineStr">
        <is>
          <t>SKÅNE LÄN</t>
        </is>
      </c>
      <c r="E461" t="inlineStr">
        <is>
          <t>KLIPPAN</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20048-2019</t>
        </is>
      </c>
      <c r="B462" s="1" t="n">
        <v>43570</v>
      </c>
      <c r="C462" s="1" t="n">
        <v>45796</v>
      </c>
      <c r="D462" t="inlineStr">
        <is>
          <t>SKÅNE LÄN</t>
        </is>
      </c>
      <c r="E462" t="inlineStr">
        <is>
          <t>KLIPPAN</t>
        </is>
      </c>
      <c r="G462" t="n">
        <v>8.6</v>
      </c>
      <c r="H462" t="n">
        <v>0</v>
      </c>
      <c r="I462" t="n">
        <v>0</v>
      </c>
      <c r="J462" t="n">
        <v>0</v>
      </c>
      <c r="K462" t="n">
        <v>0</v>
      </c>
      <c r="L462" t="n">
        <v>0</v>
      </c>
      <c r="M462" t="n">
        <v>0</v>
      </c>
      <c r="N462" t="n">
        <v>0</v>
      </c>
      <c r="O462" t="n">
        <v>0</v>
      </c>
      <c r="P462" t="n">
        <v>0</v>
      </c>
      <c r="Q462" t="n">
        <v>0</v>
      </c>
      <c r="R462" s="2" t="inlineStr"/>
    </row>
    <row r="463" ht="15" customHeight="1">
      <c r="A463" t="inlineStr">
        <is>
          <t>A 19964-2019</t>
        </is>
      </c>
      <c r="B463" s="1" t="n">
        <v>43570</v>
      </c>
      <c r="C463" s="1" t="n">
        <v>45796</v>
      </c>
      <c r="D463" t="inlineStr">
        <is>
          <t>SKÅNE LÄN</t>
        </is>
      </c>
      <c r="E463" t="inlineStr">
        <is>
          <t>SJÖBO</t>
        </is>
      </c>
      <c r="G463" t="n">
        <v>0.1</v>
      </c>
      <c r="H463" t="n">
        <v>0</v>
      </c>
      <c r="I463" t="n">
        <v>0</v>
      </c>
      <c r="J463" t="n">
        <v>0</v>
      </c>
      <c r="K463" t="n">
        <v>0</v>
      </c>
      <c r="L463" t="n">
        <v>0</v>
      </c>
      <c r="M463" t="n">
        <v>0</v>
      </c>
      <c r="N463" t="n">
        <v>0</v>
      </c>
      <c r="O463" t="n">
        <v>0</v>
      </c>
      <c r="P463" t="n">
        <v>0</v>
      </c>
      <c r="Q463" t="n">
        <v>0</v>
      </c>
      <c r="R463" s="2" t="inlineStr"/>
    </row>
    <row r="464" ht="15" customHeight="1">
      <c r="A464" t="inlineStr">
        <is>
          <t>A 20082-2019</t>
        </is>
      </c>
      <c r="B464" s="1" t="n">
        <v>43570</v>
      </c>
      <c r="C464" s="1" t="n">
        <v>45796</v>
      </c>
      <c r="D464" t="inlineStr">
        <is>
          <t>SKÅNE LÄN</t>
        </is>
      </c>
      <c r="E464" t="inlineStr">
        <is>
          <t>OSBY</t>
        </is>
      </c>
      <c r="G464" t="n">
        <v>2.9</v>
      </c>
      <c r="H464" t="n">
        <v>0</v>
      </c>
      <c r="I464" t="n">
        <v>0</v>
      </c>
      <c r="J464" t="n">
        <v>0</v>
      </c>
      <c r="K464" t="n">
        <v>0</v>
      </c>
      <c r="L464" t="n">
        <v>0</v>
      </c>
      <c r="M464" t="n">
        <v>0</v>
      </c>
      <c r="N464" t="n">
        <v>0</v>
      </c>
      <c r="O464" t="n">
        <v>0</v>
      </c>
      <c r="P464" t="n">
        <v>0</v>
      </c>
      <c r="Q464" t="n">
        <v>0</v>
      </c>
      <c r="R464" s="2" t="inlineStr"/>
    </row>
    <row r="465" ht="15" customHeight="1">
      <c r="A465" t="inlineStr">
        <is>
          <t>A 20332-2019</t>
        </is>
      </c>
      <c r="B465" s="1" t="n">
        <v>43571</v>
      </c>
      <c r="C465" s="1" t="n">
        <v>45796</v>
      </c>
      <c r="D465" t="inlineStr">
        <is>
          <t>SKÅNE LÄN</t>
        </is>
      </c>
      <c r="E465" t="inlineStr">
        <is>
          <t>KRISTIANSTAD</t>
        </is>
      </c>
      <c r="G465" t="n">
        <v>2.5</v>
      </c>
      <c r="H465" t="n">
        <v>0</v>
      </c>
      <c r="I465" t="n">
        <v>0</v>
      </c>
      <c r="J465" t="n">
        <v>0</v>
      </c>
      <c r="K465" t="n">
        <v>0</v>
      </c>
      <c r="L465" t="n">
        <v>0</v>
      </c>
      <c r="M465" t="n">
        <v>0</v>
      </c>
      <c r="N465" t="n">
        <v>0</v>
      </c>
      <c r="O465" t="n">
        <v>0</v>
      </c>
      <c r="P465" t="n">
        <v>0</v>
      </c>
      <c r="Q465" t="n">
        <v>0</v>
      </c>
      <c r="R465" s="2" t="inlineStr"/>
    </row>
    <row r="466" ht="15" customHeight="1">
      <c r="A466" t="inlineStr">
        <is>
          <t>A 20515-2019</t>
        </is>
      </c>
      <c r="B466" s="1" t="n">
        <v>43572</v>
      </c>
      <c r="C466" s="1" t="n">
        <v>45796</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20530-2019</t>
        </is>
      </c>
      <c r="B467" s="1" t="n">
        <v>43572</v>
      </c>
      <c r="C467" s="1" t="n">
        <v>45796</v>
      </c>
      <c r="D467" t="inlineStr">
        <is>
          <t>SKÅNE LÄN</t>
        </is>
      </c>
      <c r="E467" t="inlineStr">
        <is>
          <t>KRISTIANSTAD</t>
        </is>
      </c>
      <c r="G467" t="n">
        <v>1.3</v>
      </c>
      <c r="H467" t="n">
        <v>0</v>
      </c>
      <c r="I467" t="n">
        <v>0</v>
      </c>
      <c r="J467" t="n">
        <v>0</v>
      </c>
      <c r="K467" t="n">
        <v>0</v>
      </c>
      <c r="L467" t="n">
        <v>0</v>
      </c>
      <c r="M467" t="n">
        <v>0</v>
      </c>
      <c r="N467" t="n">
        <v>0</v>
      </c>
      <c r="O467" t="n">
        <v>0</v>
      </c>
      <c r="P467" t="n">
        <v>0</v>
      </c>
      <c r="Q467" t="n">
        <v>0</v>
      </c>
      <c r="R467" s="2" t="inlineStr"/>
    </row>
    <row r="468" ht="15" customHeight="1">
      <c r="A468" t="inlineStr">
        <is>
          <t>A 20555-2019</t>
        </is>
      </c>
      <c r="B468" s="1" t="n">
        <v>43572</v>
      </c>
      <c r="C468" s="1" t="n">
        <v>45796</v>
      </c>
      <c r="D468" t="inlineStr">
        <is>
          <t>SKÅNE LÄN</t>
        </is>
      </c>
      <c r="E468" t="inlineStr">
        <is>
          <t>OSBY</t>
        </is>
      </c>
      <c r="G468" t="n">
        <v>2.7</v>
      </c>
      <c r="H468" t="n">
        <v>0</v>
      </c>
      <c r="I468" t="n">
        <v>0</v>
      </c>
      <c r="J468" t="n">
        <v>0</v>
      </c>
      <c r="K468" t="n">
        <v>0</v>
      </c>
      <c r="L468" t="n">
        <v>0</v>
      </c>
      <c r="M468" t="n">
        <v>0</v>
      </c>
      <c r="N468" t="n">
        <v>0</v>
      </c>
      <c r="O468" t="n">
        <v>0</v>
      </c>
      <c r="P468" t="n">
        <v>0</v>
      </c>
      <c r="Q468" t="n">
        <v>0</v>
      </c>
      <c r="R468" s="2" t="inlineStr"/>
    </row>
    <row r="469" ht="15" customHeight="1">
      <c r="A469" t="inlineStr">
        <is>
          <t>A 20732-2019</t>
        </is>
      </c>
      <c r="B469" s="1" t="n">
        <v>43573</v>
      </c>
      <c r="C469" s="1" t="n">
        <v>45796</v>
      </c>
      <c r="D469" t="inlineStr">
        <is>
          <t>SKÅNE LÄN</t>
        </is>
      </c>
      <c r="E469" t="inlineStr">
        <is>
          <t>ÖSTRA GÖINGE</t>
        </is>
      </c>
      <c r="G469" t="n">
        <v>11.1</v>
      </c>
      <c r="H469" t="n">
        <v>0</v>
      </c>
      <c r="I469" t="n">
        <v>0</v>
      </c>
      <c r="J469" t="n">
        <v>0</v>
      </c>
      <c r="K469" t="n">
        <v>0</v>
      </c>
      <c r="L469" t="n">
        <v>0</v>
      </c>
      <c r="M469" t="n">
        <v>0</v>
      </c>
      <c r="N469" t="n">
        <v>0</v>
      </c>
      <c r="O469" t="n">
        <v>0</v>
      </c>
      <c r="P469" t="n">
        <v>0</v>
      </c>
      <c r="Q469" t="n">
        <v>0</v>
      </c>
      <c r="R469" s="2" t="inlineStr"/>
    </row>
    <row r="470" ht="15" customHeight="1">
      <c r="A470" t="inlineStr">
        <is>
          <t>A 20765-2019</t>
        </is>
      </c>
      <c r="B470" s="1" t="n">
        <v>43573</v>
      </c>
      <c r="C470" s="1" t="n">
        <v>45796</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20934-2019</t>
        </is>
      </c>
      <c r="B471" s="1" t="n">
        <v>43574</v>
      </c>
      <c r="C471" s="1" t="n">
        <v>45796</v>
      </c>
      <c r="D471" t="inlineStr">
        <is>
          <t>SKÅNE LÄN</t>
        </is>
      </c>
      <c r="E471" t="inlineStr">
        <is>
          <t>OSBY</t>
        </is>
      </c>
      <c r="G471" t="n">
        <v>8.1</v>
      </c>
      <c r="H471" t="n">
        <v>0</v>
      </c>
      <c r="I471" t="n">
        <v>0</v>
      </c>
      <c r="J471" t="n">
        <v>0</v>
      </c>
      <c r="K471" t="n">
        <v>0</v>
      </c>
      <c r="L471" t="n">
        <v>0</v>
      </c>
      <c r="M471" t="n">
        <v>0</v>
      </c>
      <c r="N471" t="n">
        <v>0</v>
      </c>
      <c r="O471" t="n">
        <v>0</v>
      </c>
      <c r="P471" t="n">
        <v>0</v>
      </c>
      <c r="Q471" t="n">
        <v>0</v>
      </c>
      <c r="R471" s="2" t="inlineStr"/>
    </row>
    <row r="472" ht="15" customHeight="1">
      <c r="A472" t="inlineStr">
        <is>
          <t>A 20980-2019</t>
        </is>
      </c>
      <c r="B472" s="1" t="n">
        <v>43574</v>
      </c>
      <c r="C472" s="1" t="n">
        <v>45796</v>
      </c>
      <c r="D472" t="inlineStr">
        <is>
          <t>SKÅNE LÄN</t>
        </is>
      </c>
      <c r="E472" t="inlineStr">
        <is>
          <t>OSBY</t>
        </is>
      </c>
      <c r="G472" t="n">
        <v>1.1</v>
      </c>
      <c r="H472" t="n">
        <v>0</v>
      </c>
      <c r="I472" t="n">
        <v>0</v>
      </c>
      <c r="J472" t="n">
        <v>0</v>
      </c>
      <c r="K472" t="n">
        <v>0</v>
      </c>
      <c r="L472" t="n">
        <v>0</v>
      </c>
      <c r="M472" t="n">
        <v>0</v>
      </c>
      <c r="N472" t="n">
        <v>0</v>
      </c>
      <c r="O472" t="n">
        <v>0</v>
      </c>
      <c r="P472" t="n">
        <v>0</v>
      </c>
      <c r="Q472" t="n">
        <v>0</v>
      </c>
      <c r="R472" s="2" t="inlineStr"/>
    </row>
    <row r="473" ht="15" customHeight="1">
      <c r="A473" t="inlineStr">
        <is>
          <t>A 20921-2019</t>
        </is>
      </c>
      <c r="B473" s="1" t="n">
        <v>43574</v>
      </c>
      <c r="C473" s="1" t="n">
        <v>45796</v>
      </c>
      <c r="D473" t="inlineStr">
        <is>
          <t>SKÅNE LÄN</t>
        </is>
      </c>
      <c r="E473" t="inlineStr">
        <is>
          <t>OSBY</t>
        </is>
      </c>
      <c r="G473" t="n">
        <v>1.7</v>
      </c>
      <c r="H473" t="n">
        <v>0</v>
      </c>
      <c r="I473" t="n">
        <v>0</v>
      </c>
      <c r="J473" t="n">
        <v>0</v>
      </c>
      <c r="K473" t="n">
        <v>0</v>
      </c>
      <c r="L473" t="n">
        <v>0</v>
      </c>
      <c r="M473" t="n">
        <v>0</v>
      </c>
      <c r="N473" t="n">
        <v>0</v>
      </c>
      <c r="O473" t="n">
        <v>0</v>
      </c>
      <c r="P473" t="n">
        <v>0</v>
      </c>
      <c r="Q473" t="n">
        <v>0</v>
      </c>
      <c r="R473" s="2" t="inlineStr"/>
    </row>
    <row r="474" ht="15" customHeight="1">
      <c r="A474" t="inlineStr">
        <is>
          <t>A 21589-2019</t>
        </is>
      </c>
      <c r="B474" s="1" t="n">
        <v>43580</v>
      </c>
      <c r="C474" s="1" t="n">
        <v>45796</v>
      </c>
      <c r="D474" t="inlineStr">
        <is>
          <t>SKÅNE LÄN</t>
        </is>
      </c>
      <c r="E474" t="inlineStr">
        <is>
          <t>SIMRISHAMN</t>
        </is>
      </c>
      <c r="G474" t="n">
        <v>0.9</v>
      </c>
      <c r="H474" t="n">
        <v>0</v>
      </c>
      <c r="I474" t="n">
        <v>0</v>
      </c>
      <c r="J474" t="n">
        <v>0</v>
      </c>
      <c r="K474" t="n">
        <v>0</v>
      </c>
      <c r="L474" t="n">
        <v>0</v>
      </c>
      <c r="M474" t="n">
        <v>0</v>
      </c>
      <c r="N474" t="n">
        <v>0</v>
      </c>
      <c r="O474" t="n">
        <v>0</v>
      </c>
      <c r="P474" t="n">
        <v>0</v>
      </c>
      <c r="Q474" t="n">
        <v>0</v>
      </c>
      <c r="R474" s="2" t="inlineStr"/>
    </row>
    <row r="475" ht="15" customHeight="1">
      <c r="A475" t="inlineStr">
        <is>
          <t>A 21558-2019</t>
        </is>
      </c>
      <c r="B475" s="1" t="n">
        <v>43580</v>
      </c>
      <c r="C475" s="1" t="n">
        <v>45796</v>
      </c>
      <c r="D475" t="inlineStr">
        <is>
          <t>SKÅNE LÄN</t>
        </is>
      </c>
      <c r="E475" t="inlineStr">
        <is>
          <t>ÖRKELLJUNGA</t>
        </is>
      </c>
      <c r="G475" t="n">
        <v>1.5</v>
      </c>
      <c r="H475" t="n">
        <v>0</v>
      </c>
      <c r="I475" t="n">
        <v>0</v>
      </c>
      <c r="J475" t="n">
        <v>0</v>
      </c>
      <c r="K475" t="n">
        <v>0</v>
      </c>
      <c r="L475" t="n">
        <v>0</v>
      </c>
      <c r="M475" t="n">
        <v>0</v>
      </c>
      <c r="N475" t="n">
        <v>0</v>
      </c>
      <c r="O475" t="n">
        <v>0</v>
      </c>
      <c r="P475" t="n">
        <v>0</v>
      </c>
      <c r="Q475" t="n">
        <v>0</v>
      </c>
      <c r="R475" s="2" t="inlineStr"/>
    </row>
    <row r="476" ht="15" customHeight="1">
      <c r="A476" t="inlineStr">
        <is>
          <t>A 21534-2019</t>
        </is>
      </c>
      <c r="B476" s="1" t="n">
        <v>43580</v>
      </c>
      <c r="C476" s="1" t="n">
        <v>45796</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21458-2019</t>
        </is>
      </c>
      <c r="B477" s="1" t="n">
        <v>43580</v>
      </c>
      <c r="C477" s="1" t="n">
        <v>45796</v>
      </c>
      <c r="D477" t="inlineStr">
        <is>
          <t>SKÅNE LÄN</t>
        </is>
      </c>
      <c r="E477" t="inlineStr">
        <is>
          <t>HÖRBY</t>
        </is>
      </c>
      <c r="G477" t="n">
        <v>1.3</v>
      </c>
      <c r="H477" t="n">
        <v>0</v>
      </c>
      <c r="I477" t="n">
        <v>0</v>
      </c>
      <c r="J477" t="n">
        <v>0</v>
      </c>
      <c r="K477" t="n">
        <v>0</v>
      </c>
      <c r="L477" t="n">
        <v>0</v>
      </c>
      <c r="M477" t="n">
        <v>0</v>
      </c>
      <c r="N477" t="n">
        <v>0</v>
      </c>
      <c r="O477" t="n">
        <v>0</v>
      </c>
      <c r="P477" t="n">
        <v>0</v>
      </c>
      <c r="Q477" t="n">
        <v>0</v>
      </c>
      <c r="R477" s="2" t="inlineStr"/>
    </row>
    <row r="478" ht="15" customHeight="1">
      <c r="A478" t="inlineStr">
        <is>
          <t>A 21422-2019</t>
        </is>
      </c>
      <c r="B478" s="1" t="n">
        <v>43580</v>
      </c>
      <c r="C478" s="1" t="n">
        <v>45796</v>
      </c>
      <c r="D478" t="inlineStr">
        <is>
          <t>SKÅNE LÄN</t>
        </is>
      </c>
      <c r="E478" t="inlineStr">
        <is>
          <t>PERSTORP</t>
        </is>
      </c>
      <c r="G478" t="n">
        <v>7.5</v>
      </c>
      <c r="H478" t="n">
        <v>0</v>
      </c>
      <c r="I478" t="n">
        <v>0</v>
      </c>
      <c r="J478" t="n">
        <v>0</v>
      </c>
      <c r="K478" t="n">
        <v>0</v>
      </c>
      <c r="L478" t="n">
        <v>0</v>
      </c>
      <c r="M478" t="n">
        <v>0</v>
      </c>
      <c r="N478" t="n">
        <v>0</v>
      </c>
      <c r="O478" t="n">
        <v>0</v>
      </c>
      <c r="P478" t="n">
        <v>0</v>
      </c>
      <c r="Q478" t="n">
        <v>0</v>
      </c>
      <c r="R478" s="2" t="inlineStr"/>
    </row>
    <row r="479" ht="15" customHeight="1">
      <c r="A479" t="inlineStr">
        <is>
          <t>A 21578-2019</t>
        </is>
      </c>
      <c r="B479" s="1" t="n">
        <v>43580</v>
      </c>
      <c r="C479" s="1" t="n">
        <v>45796</v>
      </c>
      <c r="D479" t="inlineStr">
        <is>
          <t>SKÅNE LÄN</t>
        </is>
      </c>
      <c r="E479" t="inlineStr">
        <is>
          <t>KRISTIANSTAD</t>
        </is>
      </c>
      <c r="G479" t="n">
        <v>4.7</v>
      </c>
      <c r="H479" t="n">
        <v>0</v>
      </c>
      <c r="I479" t="n">
        <v>0</v>
      </c>
      <c r="J479" t="n">
        <v>0</v>
      </c>
      <c r="K479" t="n">
        <v>0</v>
      </c>
      <c r="L479" t="n">
        <v>0</v>
      </c>
      <c r="M479" t="n">
        <v>0</v>
      </c>
      <c r="N479" t="n">
        <v>0</v>
      </c>
      <c r="O479" t="n">
        <v>0</v>
      </c>
      <c r="P479" t="n">
        <v>0</v>
      </c>
      <c r="Q479" t="n">
        <v>0</v>
      </c>
      <c r="R479" s="2" t="inlineStr"/>
    </row>
    <row r="480" ht="15" customHeight="1">
      <c r="A480" t="inlineStr">
        <is>
          <t>A 21535-2019</t>
        </is>
      </c>
      <c r="B480" s="1" t="n">
        <v>43580</v>
      </c>
      <c r="C480" s="1" t="n">
        <v>45796</v>
      </c>
      <c r="D480" t="inlineStr">
        <is>
          <t>SKÅNE LÄN</t>
        </is>
      </c>
      <c r="E480" t="inlineStr">
        <is>
          <t>HÄSSLEHOLM</t>
        </is>
      </c>
      <c r="G480" t="n">
        <v>1.1</v>
      </c>
      <c r="H480" t="n">
        <v>0</v>
      </c>
      <c r="I480" t="n">
        <v>0</v>
      </c>
      <c r="J480" t="n">
        <v>0</v>
      </c>
      <c r="K480" t="n">
        <v>0</v>
      </c>
      <c r="L480" t="n">
        <v>0</v>
      </c>
      <c r="M480" t="n">
        <v>0</v>
      </c>
      <c r="N480" t="n">
        <v>0</v>
      </c>
      <c r="O480" t="n">
        <v>0</v>
      </c>
      <c r="P480" t="n">
        <v>0</v>
      </c>
      <c r="Q480" t="n">
        <v>0</v>
      </c>
      <c r="R480" s="2" t="inlineStr"/>
    </row>
    <row r="481" ht="15" customHeight="1">
      <c r="A481" t="inlineStr">
        <is>
          <t>A 21637-2019</t>
        </is>
      </c>
      <c r="B481" s="1" t="n">
        <v>43581</v>
      </c>
      <c r="C481" s="1" t="n">
        <v>45796</v>
      </c>
      <c r="D481" t="inlineStr">
        <is>
          <t>SKÅNE LÄN</t>
        </is>
      </c>
      <c r="E481" t="inlineStr">
        <is>
          <t>OSBY</t>
        </is>
      </c>
      <c r="G481" t="n">
        <v>3.4</v>
      </c>
      <c r="H481" t="n">
        <v>0</v>
      </c>
      <c r="I481" t="n">
        <v>0</v>
      </c>
      <c r="J481" t="n">
        <v>0</v>
      </c>
      <c r="K481" t="n">
        <v>0</v>
      </c>
      <c r="L481" t="n">
        <v>0</v>
      </c>
      <c r="M481" t="n">
        <v>0</v>
      </c>
      <c r="N481" t="n">
        <v>0</v>
      </c>
      <c r="O481" t="n">
        <v>0</v>
      </c>
      <c r="P481" t="n">
        <v>0</v>
      </c>
      <c r="Q481" t="n">
        <v>0</v>
      </c>
      <c r="R481" s="2" t="inlineStr"/>
    </row>
    <row r="482" ht="15" customHeight="1">
      <c r="A482" t="inlineStr">
        <is>
          <t>A 21629-2019</t>
        </is>
      </c>
      <c r="B482" s="1" t="n">
        <v>43581</v>
      </c>
      <c r="C482" s="1" t="n">
        <v>45796</v>
      </c>
      <c r="D482" t="inlineStr">
        <is>
          <t>SKÅNE LÄN</t>
        </is>
      </c>
      <c r="E482" t="inlineStr">
        <is>
          <t>BROMÖLLA</t>
        </is>
      </c>
      <c r="G482" t="n">
        <v>5.9</v>
      </c>
      <c r="H482" t="n">
        <v>0</v>
      </c>
      <c r="I482" t="n">
        <v>0</v>
      </c>
      <c r="J482" t="n">
        <v>0</v>
      </c>
      <c r="K482" t="n">
        <v>0</v>
      </c>
      <c r="L482" t="n">
        <v>0</v>
      </c>
      <c r="M482" t="n">
        <v>0</v>
      </c>
      <c r="N482" t="n">
        <v>0</v>
      </c>
      <c r="O482" t="n">
        <v>0</v>
      </c>
      <c r="P482" t="n">
        <v>0</v>
      </c>
      <c r="Q482" t="n">
        <v>0</v>
      </c>
      <c r="R482" s="2" t="inlineStr"/>
    </row>
    <row r="483" ht="15" customHeight="1">
      <c r="A483" t="inlineStr">
        <is>
          <t>A 21901-2019</t>
        </is>
      </c>
      <c r="B483" s="1" t="n">
        <v>43584</v>
      </c>
      <c r="C483" s="1" t="n">
        <v>45796</v>
      </c>
      <c r="D483" t="inlineStr">
        <is>
          <t>SKÅNE LÄN</t>
        </is>
      </c>
      <c r="E483" t="inlineStr">
        <is>
          <t>PERSTORP</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21927-2019</t>
        </is>
      </c>
      <c r="B484" s="1" t="n">
        <v>43584</v>
      </c>
      <c r="C484" s="1" t="n">
        <v>45796</v>
      </c>
      <c r="D484" t="inlineStr">
        <is>
          <t>SKÅNE LÄN</t>
        </is>
      </c>
      <c r="E484" t="inlineStr">
        <is>
          <t>KLIPPAN</t>
        </is>
      </c>
      <c r="G484" t="n">
        <v>1.8</v>
      </c>
      <c r="H484" t="n">
        <v>0</v>
      </c>
      <c r="I484" t="n">
        <v>0</v>
      </c>
      <c r="J484" t="n">
        <v>0</v>
      </c>
      <c r="K484" t="n">
        <v>0</v>
      </c>
      <c r="L484" t="n">
        <v>0</v>
      </c>
      <c r="M484" t="n">
        <v>0</v>
      </c>
      <c r="N484" t="n">
        <v>0</v>
      </c>
      <c r="O484" t="n">
        <v>0</v>
      </c>
      <c r="P484" t="n">
        <v>0</v>
      </c>
      <c r="Q484" t="n">
        <v>0</v>
      </c>
      <c r="R484" s="2" t="inlineStr"/>
    </row>
    <row r="485" ht="15" customHeight="1">
      <c r="A485" t="inlineStr">
        <is>
          <t>A 21982-2019</t>
        </is>
      </c>
      <c r="B485" s="1" t="n">
        <v>43584</v>
      </c>
      <c r="C485" s="1" t="n">
        <v>45796</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21976-2019</t>
        </is>
      </c>
      <c r="B486" s="1" t="n">
        <v>43584</v>
      </c>
      <c r="C486" s="1" t="n">
        <v>45796</v>
      </c>
      <c r="D486" t="inlineStr">
        <is>
          <t>SKÅNE LÄN</t>
        </is>
      </c>
      <c r="E486" t="inlineStr">
        <is>
          <t>HÄSSLEHOLM</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22066-2019</t>
        </is>
      </c>
      <c r="B487" s="1" t="n">
        <v>43584</v>
      </c>
      <c r="C487" s="1" t="n">
        <v>45796</v>
      </c>
      <c r="D487" t="inlineStr">
        <is>
          <t>SKÅNE LÄN</t>
        </is>
      </c>
      <c r="E487" t="inlineStr">
        <is>
          <t>OSBY</t>
        </is>
      </c>
      <c r="G487" t="n">
        <v>3</v>
      </c>
      <c r="H487" t="n">
        <v>0</v>
      </c>
      <c r="I487" t="n">
        <v>0</v>
      </c>
      <c r="J487" t="n">
        <v>0</v>
      </c>
      <c r="K487" t="n">
        <v>0</v>
      </c>
      <c r="L487" t="n">
        <v>0</v>
      </c>
      <c r="M487" t="n">
        <v>0</v>
      </c>
      <c r="N487" t="n">
        <v>0</v>
      </c>
      <c r="O487" t="n">
        <v>0</v>
      </c>
      <c r="P487" t="n">
        <v>0</v>
      </c>
      <c r="Q487" t="n">
        <v>0</v>
      </c>
      <c r="R487" s="2" t="inlineStr"/>
    </row>
    <row r="488" ht="15" customHeight="1">
      <c r="A488" t="inlineStr">
        <is>
          <t>A 22176-2019</t>
        </is>
      </c>
      <c r="B488" s="1" t="n">
        <v>43585</v>
      </c>
      <c r="C488" s="1" t="n">
        <v>45796</v>
      </c>
      <c r="D488" t="inlineStr">
        <is>
          <t>SKÅNE LÄN</t>
        </is>
      </c>
      <c r="E488" t="inlineStr">
        <is>
          <t>OSBY</t>
        </is>
      </c>
      <c r="G488" t="n">
        <v>7.3</v>
      </c>
      <c r="H488" t="n">
        <v>0</v>
      </c>
      <c r="I488" t="n">
        <v>0</v>
      </c>
      <c r="J488" t="n">
        <v>0</v>
      </c>
      <c r="K488" t="n">
        <v>0</v>
      </c>
      <c r="L488" t="n">
        <v>0</v>
      </c>
      <c r="M488" t="n">
        <v>0</v>
      </c>
      <c r="N488" t="n">
        <v>0</v>
      </c>
      <c r="O488" t="n">
        <v>0</v>
      </c>
      <c r="P488" t="n">
        <v>0</v>
      </c>
      <c r="Q488" t="n">
        <v>0</v>
      </c>
      <c r="R488" s="2" t="inlineStr"/>
    </row>
    <row r="489" ht="15" customHeight="1">
      <c r="A489" t="inlineStr">
        <is>
          <t>A 22177-2019</t>
        </is>
      </c>
      <c r="B489" s="1" t="n">
        <v>43585</v>
      </c>
      <c r="C489" s="1" t="n">
        <v>45796</v>
      </c>
      <c r="D489" t="inlineStr">
        <is>
          <t>SKÅNE LÄN</t>
        </is>
      </c>
      <c r="E489" t="inlineStr">
        <is>
          <t>OSBY</t>
        </is>
      </c>
      <c r="G489" t="n">
        <v>0.6</v>
      </c>
      <c r="H489" t="n">
        <v>0</v>
      </c>
      <c r="I489" t="n">
        <v>0</v>
      </c>
      <c r="J489" t="n">
        <v>0</v>
      </c>
      <c r="K489" t="n">
        <v>0</v>
      </c>
      <c r="L489" t="n">
        <v>0</v>
      </c>
      <c r="M489" t="n">
        <v>0</v>
      </c>
      <c r="N489" t="n">
        <v>0</v>
      </c>
      <c r="O489" t="n">
        <v>0</v>
      </c>
      <c r="P489" t="n">
        <v>0</v>
      </c>
      <c r="Q489" t="n">
        <v>0</v>
      </c>
      <c r="R489" s="2" t="inlineStr"/>
    </row>
    <row r="490" ht="15" customHeight="1">
      <c r="A490" t="inlineStr">
        <is>
          <t>A 22118-2019</t>
        </is>
      </c>
      <c r="B490" s="1" t="n">
        <v>43585</v>
      </c>
      <c r="C490" s="1" t="n">
        <v>45796</v>
      </c>
      <c r="D490" t="inlineStr">
        <is>
          <t>SKÅNE LÄN</t>
        </is>
      </c>
      <c r="E490" t="inlineStr">
        <is>
          <t>KLIPPAN</t>
        </is>
      </c>
      <c r="G490" t="n">
        <v>0.4</v>
      </c>
      <c r="H490" t="n">
        <v>0</v>
      </c>
      <c r="I490" t="n">
        <v>0</v>
      </c>
      <c r="J490" t="n">
        <v>0</v>
      </c>
      <c r="K490" t="n">
        <v>0</v>
      </c>
      <c r="L490" t="n">
        <v>0</v>
      </c>
      <c r="M490" t="n">
        <v>0</v>
      </c>
      <c r="N490" t="n">
        <v>0</v>
      </c>
      <c r="O490" t="n">
        <v>0</v>
      </c>
      <c r="P490" t="n">
        <v>0</v>
      </c>
      <c r="Q490" t="n">
        <v>0</v>
      </c>
      <c r="R490" s="2" t="inlineStr"/>
    </row>
    <row r="491" ht="15" customHeight="1">
      <c r="A491" t="inlineStr">
        <is>
          <t>A 22121-2019</t>
        </is>
      </c>
      <c r="B491" s="1" t="n">
        <v>43585</v>
      </c>
      <c r="C491" s="1" t="n">
        <v>45796</v>
      </c>
      <c r="D491" t="inlineStr">
        <is>
          <t>SKÅNE LÄN</t>
        </is>
      </c>
      <c r="E491" t="inlineStr">
        <is>
          <t>KLIPPAN</t>
        </is>
      </c>
      <c r="G491" t="n">
        <v>4.7</v>
      </c>
      <c r="H491" t="n">
        <v>0</v>
      </c>
      <c r="I491" t="n">
        <v>0</v>
      </c>
      <c r="J491" t="n">
        <v>0</v>
      </c>
      <c r="K491" t="n">
        <v>0</v>
      </c>
      <c r="L491" t="n">
        <v>0</v>
      </c>
      <c r="M491" t="n">
        <v>0</v>
      </c>
      <c r="N491" t="n">
        <v>0</v>
      </c>
      <c r="O491" t="n">
        <v>0</v>
      </c>
      <c r="P491" t="n">
        <v>0</v>
      </c>
      <c r="Q491" t="n">
        <v>0</v>
      </c>
      <c r="R491" s="2" t="inlineStr"/>
    </row>
    <row r="492" ht="15" customHeight="1">
      <c r="A492" t="inlineStr">
        <is>
          <t>A 22164-2019</t>
        </is>
      </c>
      <c r="B492" s="1" t="n">
        <v>43585</v>
      </c>
      <c r="C492" s="1" t="n">
        <v>45796</v>
      </c>
      <c r="D492" t="inlineStr">
        <is>
          <t>SKÅNE LÄN</t>
        </is>
      </c>
      <c r="E492" t="inlineStr">
        <is>
          <t>OSBY</t>
        </is>
      </c>
      <c r="G492" t="n">
        <v>1.3</v>
      </c>
      <c r="H492" t="n">
        <v>0</v>
      </c>
      <c r="I492" t="n">
        <v>0</v>
      </c>
      <c r="J492" t="n">
        <v>0</v>
      </c>
      <c r="K492" t="n">
        <v>0</v>
      </c>
      <c r="L492" t="n">
        <v>0</v>
      </c>
      <c r="M492" t="n">
        <v>0</v>
      </c>
      <c r="N492" t="n">
        <v>0</v>
      </c>
      <c r="O492" t="n">
        <v>0</v>
      </c>
      <c r="P492" t="n">
        <v>0</v>
      </c>
      <c r="Q492" t="n">
        <v>0</v>
      </c>
      <c r="R492" s="2" t="inlineStr"/>
    </row>
    <row r="493" ht="15" customHeight="1">
      <c r="A493" t="inlineStr">
        <is>
          <t>A 22353-2019</t>
        </is>
      </c>
      <c r="B493" s="1" t="n">
        <v>43585</v>
      </c>
      <c r="C493" s="1" t="n">
        <v>45796</v>
      </c>
      <c r="D493" t="inlineStr">
        <is>
          <t>SKÅNE LÄN</t>
        </is>
      </c>
      <c r="E493" t="inlineStr">
        <is>
          <t>SJÖBO</t>
        </is>
      </c>
      <c r="G493" t="n">
        <v>7.5</v>
      </c>
      <c r="H493" t="n">
        <v>0</v>
      </c>
      <c r="I493" t="n">
        <v>0</v>
      </c>
      <c r="J493" t="n">
        <v>0</v>
      </c>
      <c r="K493" t="n">
        <v>0</v>
      </c>
      <c r="L493" t="n">
        <v>0</v>
      </c>
      <c r="M493" t="n">
        <v>0</v>
      </c>
      <c r="N493" t="n">
        <v>0</v>
      </c>
      <c r="O493" t="n">
        <v>0</v>
      </c>
      <c r="P493" t="n">
        <v>0</v>
      </c>
      <c r="Q493" t="n">
        <v>0</v>
      </c>
      <c r="R493" s="2" t="inlineStr"/>
    </row>
    <row r="494" ht="15" customHeight="1">
      <c r="A494" t="inlineStr">
        <is>
          <t>A 22328-2019</t>
        </is>
      </c>
      <c r="B494" s="1" t="n">
        <v>43586</v>
      </c>
      <c r="C494" s="1" t="n">
        <v>45796</v>
      </c>
      <c r="D494" t="inlineStr">
        <is>
          <t>SKÅNE LÄN</t>
        </is>
      </c>
      <c r="E494" t="inlineStr">
        <is>
          <t>OSBY</t>
        </is>
      </c>
      <c r="F494" t="inlineStr">
        <is>
          <t>Naturvårdsverket</t>
        </is>
      </c>
      <c r="G494" t="n">
        <v>2.3</v>
      </c>
      <c r="H494" t="n">
        <v>0</v>
      </c>
      <c r="I494" t="n">
        <v>0</v>
      </c>
      <c r="J494" t="n">
        <v>0</v>
      </c>
      <c r="K494" t="n">
        <v>0</v>
      </c>
      <c r="L494" t="n">
        <v>0</v>
      </c>
      <c r="M494" t="n">
        <v>0</v>
      </c>
      <c r="N494" t="n">
        <v>0</v>
      </c>
      <c r="O494" t="n">
        <v>0</v>
      </c>
      <c r="P494" t="n">
        <v>0</v>
      </c>
      <c r="Q494" t="n">
        <v>0</v>
      </c>
      <c r="R494" s="2" t="inlineStr"/>
    </row>
    <row r="495" ht="15" customHeight="1">
      <c r="A495" t="inlineStr">
        <is>
          <t>A 22516-2019</t>
        </is>
      </c>
      <c r="B495" s="1" t="n">
        <v>43587</v>
      </c>
      <c r="C495" s="1" t="n">
        <v>45796</v>
      </c>
      <c r="D495" t="inlineStr">
        <is>
          <t>SKÅNE LÄN</t>
        </is>
      </c>
      <c r="E495" t="inlineStr">
        <is>
          <t>ÄNGELHOLM</t>
        </is>
      </c>
      <c r="G495" t="n">
        <v>3</v>
      </c>
      <c r="H495" t="n">
        <v>0</v>
      </c>
      <c r="I495" t="n">
        <v>0</v>
      </c>
      <c r="J495" t="n">
        <v>0</v>
      </c>
      <c r="K495" t="n">
        <v>0</v>
      </c>
      <c r="L495" t="n">
        <v>0</v>
      </c>
      <c r="M495" t="n">
        <v>0</v>
      </c>
      <c r="N495" t="n">
        <v>0</v>
      </c>
      <c r="O495" t="n">
        <v>0</v>
      </c>
      <c r="P495" t="n">
        <v>0</v>
      </c>
      <c r="Q495" t="n">
        <v>0</v>
      </c>
      <c r="R495" s="2" t="inlineStr"/>
    </row>
    <row r="496" ht="15" customHeight="1">
      <c r="A496" t="inlineStr">
        <is>
          <t>A 22919-2019</t>
        </is>
      </c>
      <c r="B496" s="1" t="n">
        <v>43587</v>
      </c>
      <c r="C496" s="1" t="n">
        <v>45796</v>
      </c>
      <c r="D496" t="inlineStr">
        <is>
          <t>SKÅNE LÄN</t>
        </is>
      </c>
      <c r="E496" t="inlineStr">
        <is>
          <t>HÖÖR</t>
        </is>
      </c>
      <c r="G496" t="n">
        <v>0.6</v>
      </c>
      <c r="H496" t="n">
        <v>0</v>
      </c>
      <c r="I496" t="n">
        <v>0</v>
      </c>
      <c r="J496" t="n">
        <v>0</v>
      </c>
      <c r="K496" t="n">
        <v>0</v>
      </c>
      <c r="L496" t="n">
        <v>0</v>
      </c>
      <c r="M496" t="n">
        <v>0</v>
      </c>
      <c r="N496" t="n">
        <v>0</v>
      </c>
      <c r="O496" t="n">
        <v>0</v>
      </c>
      <c r="P496" t="n">
        <v>0</v>
      </c>
      <c r="Q496" t="n">
        <v>0</v>
      </c>
      <c r="R496" s="2" t="inlineStr"/>
    </row>
    <row r="497" ht="15" customHeight="1">
      <c r="A497" t="inlineStr">
        <is>
          <t>A 22624-2019</t>
        </is>
      </c>
      <c r="B497" s="1" t="n">
        <v>43588</v>
      </c>
      <c r="C497" s="1" t="n">
        <v>45796</v>
      </c>
      <c r="D497" t="inlineStr">
        <is>
          <t>SKÅNE LÄN</t>
        </is>
      </c>
      <c r="E497" t="inlineStr">
        <is>
          <t>HÖRBY</t>
        </is>
      </c>
      <c r="G497" t="n">
        <v>1.9</v>
      </c>
      <c r="H497" t="n">
        <v>0</v>
      </c>
      <c r="I497" t="n">
        <v>0</v>
      </c>
      <c r="J497" t="n">
        <v>0</v>
      </c>
      <c r="K497" t="n">
        <v>0</v>
      </c>
      <c r="L497" t="n">
        <v>0</v>
      </c>
      <c r="M497" t="n">
        <v>0</v>
      </c>
      <c r="N497" t="n">
        <v>0</v>
      </c>
      <c r="O497" t="n">
        <v>0</v>
      </c>
      <c r="P497" t="n">
        <v>0</v>
      </c>
      <c r="Q497" t="n">
        <v>0</v>
      </c>
      <c r="R497" s="2" t="inlineStr"/>
    </row>
    <row r="498" ht="15" customHeight="1">
      <c r="A498" t="inlineStr">
        <is>
          <t>A 22638-2019</t>
        </is>
      </c>
      <c r="B498" s="1" t="n">
        <v>43588</v>
      </c>
      <c r="C498" s="1" t="n">
        <v>45796</v>
      </c>
      <c r="D498" t="inlineStr">
        <is>
          <t>SKÅNE LÄN</t>
        </is>
      </c>
      <c r="E498" t="inlineStr">
        <is>
          <t>OSBY</t>
        </is>
      </c>
      <c r="G498" t="n">
        <v>0.2</v>
      </c>
      <c r="H498" t="n">
        <v>0</v>
      </c>
      <c r="I498" t="n">
        <v>0</v>
      </c>
      <c r="J498" t="n">
        <v>0</v>
      </c>
      <c r="K498" t="n">
        <v>0</v>
      </c>
      <c r="L498" t="n">
        <v>0</v>
      </c>
      <c r="M498" t="n">
        <v>0</v>
      </c>
      <c r="N498" t="n">
        <v>0</v>
      </c>
      <c r="O498" t="n">
        <v>0</v>
      </c>
      <c r="P498" t="n">
        <v>0</v>
      </c>
      <c r="Q498" t="n">
        <v>0</v>
      </c>
      <c r="R498" s="2" t="inlineStr"/>
    </row>
    <row r="499" ht="15" customHeight="1">
      <c r="A499" t="inlineStr">
        <is>
          <t>A 23170-2019</t>
        </is>
      </c>
      <c r="B499" s="1" t="n">
        <v>43591</v>
      </c>
      <c r="C499" s="1" t="n">
        <v>45796</v>
      </c>
      <c r="D499" t="inlineStr">
        <is>
          <t>SKÅNE LÄN</t>
        </is>
      </c>
      <c r="E499" t="inlineStr">
        <is>
          <t>ÖSTRA GÖINGE</t>
        </is>
      </c>
      <c r="G499" t="n">
        <v>11.1</v>
      </c>
      <c r="H499" t="n">
        <v>0</v>
      </c>
      <c r="I499" t="n">
        <v>0</v>
      </c>
      <c r="J499" t="n">
        <v>0</v>
      </c>
      <c r="K499" t="n">
        <v>0</v>
      </c>
      <c r="L499" t="n">
        <v>0</v>
      </c>
      <c r="M499" t="n">
        <v>0</v>
      </c>
      <c r="N499" t="n">
        <v>0</v>
      </c>
      <c r="O499" t="n">
        <v>0</v>
      </c>
      <c r="P499" t="n">
        <v>0</v>
      </c>
      <c r="Q499" t="n">
        <v>0</v>
      </c>
      <c r="R499" s="2" t="inlineStr"/>
    </row>
    <row r="500" ht="15" customHeight="1">
      <c r="A500" t="inlineStr">
        <is>
          <t>A 23006-2019</t>
        </is>
      </c>
      <c r="B500" s="1" t="n">
        <v>43591</v>
      </c>
      <c r="C500" s="1" t="n">
        <v>45796</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23505-2019</t>
        </is>
      </c>
      <c r="B501" s="1" t="n">
        <v>43593</v>
      </c>
      <c r="C501" s="1" t="n">
        <v>45796</v>
      </c>
      <c r="D501" t="inlineStr">
        <is>
          <t>SKÅNE LÄN</t>
        </is>
      </c>
      <c r="E501" t="inlineStr">
        <is>
          <t>HÄSSLEHOLM</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23781-2019</t>
        </is>
      </c>
      <c r="B502" s="1" t="n">
        <v>43595</v>
      </c>
      <c r="C502" s="1" t="n">
        <v>45796</v>
      </c>
      <c r="D502" t="inlineStr">
        <is>
          <t>SKÅNE LÄN</t>
        </is>
      </c>
      <c r="E502" t="inlineStr">
        <is>
          <t>ÄNGELHOLM</t>
        </is>
      </c>
      <c r="G502" t="n">
        <v>2.1</v>
      </c>
      <c r="H502" t="n">
        <v>0</v>
      </c>
      <c r="I502" t="n">
        <v>0</v>
      </c>
      <c r="J502" t="n">
        <v>0</v>
      </c>
      <c r="K502" t="n">
        <v>0</v>
      </c>
      <c r="L502" t="n">
        <v>0</v>
      </c>
      <c r="M502" t="n">
        <v>0</v>
      </c>
      <c r="N502" t="n">
        <v>0</v>
      </c>
      <c r="O502" t="n">
        <v>0</v>
      </c>
      <c r="P502" t="n">
        <v>0</v>
      </c>
      <c r="Q502" t="n">
        <v>0</v>
      </c>
      <c r="R502" s="2" t="inlineStr"/>
    </row>
    <row r="503" ht="15" customHeight="1">
      <c r="A503" t="inlineStr">
        <is>
          <t>A 23837-2019</t>
        </is>
      </c>
      <c r="B503" s="1" t="n">
        <v>43595</v>
      </c>
      <c r="C503" s="1" t="n">
        <v>45796</v>
      </c>
      <c r="D503" t="inlineStr">
        <is>
          <t>SKÅNE LÄN</t>
        </is>
      </c>
      <c r="E503" t="inlineStr">
        <is>
          <t>ESLÖV</t>
        </is>
      </c>
      <c r="G503" t="n">
        <v>3.4</v>
      </c>
      <c r="H503" t="n">
        <v>0</v>
      </c>
      <c r="I503" t="n">
        <v>0</v>
      </c>
      <c r="J503" t="n">
        <v>0</v>
      </c>
      <c r="K503" t="n">
        <v>0</v>
      </c>
      <c r="L503" t="n">
        <v>0</v>
      </c>
      <c r="M503" t="n">
        <v>0</v>
      </c>
      <c r="N503" t="n">
        <v>0</v>
      </c>
      <c r="O503" t="n">
        <v>0</v>
      </c>
      <c r="P503" t="n">
        <v>0</v>
      </c>
      <c r="Q503" t="n">
        <v>0</v>
      </c>
      <c r="R503" s="2" t="inlineStr"/>
    </row>
    <row r="504" ht="15" customHeight="1">
      <c r="A504" t="inlineStr">
        <is>
          <t>A 24200-2019</t>
        </is>
      </c>
      <c r="B504" s="1" t="n">
        <v>43595</v>
      </c>
      <c r="C504" s="1" t="n">
        <v>45796</v>
      </c>
      <c r="D504" t="inlineStr">
        <is>
          <t>SKÅNE LÄN</t>
        </is>
      </c>
      <c r="E504" t="inlineStr">
        <is>
          <t>PERSTORP</t>
        </is>
      </c>
      <c r="G504" t="n">
        <v>0.7</v>
      </c>
      <c r="H504" t="n">
        <v>0</v>
      </c>
      <c r="I504" t="n">
        <v>0</v>
      </c>
      <c r="J504" t="n">
        <v>0</v>
      </c>
      <c r="K504" t="n">
        <v>0</v>
      </c>
      <c r="L504" t="n">
        <v>0</v>
      </c>
      <c r="M504" t="n">
        <v>0</v>
      </c>
      <c r="N504" t="n">
        <v>0</v>
      </c>
      <c r="O504" t="n">
        <v>0</v>
      </c>
      <c r="P504" t="n">
        <v>0</v>
      </c>
      <c r="Q504" t="n">
        <v>0</v>
      </c>
      <c r="R504" s="2" t="inlineStr"/>
    </row>
    <row r="505" ht="15" customHeight="1">
      <c r="A505" t="inlineStr">
        <is>
          <t>A 24095-2019</t>
        </is>
      </c>
      <c r="B505" s="1" t="n">
        <v>43598</v>
      </c>
      <c r="C505" s="1" t="n">
        <v>45796</v>
      </c>
      <c r="D505" t="inlineStr">
        <is>
          <t>SKÅNE LÄN</t>
        </is>
      </c>
      <c r="E505" t="inlineStr">
        <is>
          <t>ÄNGELHOLM</t>
        </is>
      </c>
      <c r="G505" t="n">
        <v>3.7</v>
      </c>
      <c r="H505" t="n">
        <v>0</v>
      </c>
      <c r="I505" t="n">
        <v>0</v>
      </c>
      <c r="J505" t="n">
        <v>0</v>
      </c>
      <c r="K505" t="n">
        <v>0</v>
      </c>
      <c r="L505" t="n">
        <v>0</v>
      </c>
      <c r="M505" t="n">
        <v>0</v>
      </c>
      <c r="N505" t="n">
        <v>0</v>
      </c>
      <c r="O505" t="n">
        <v>0</v>
      </c>
      <c r="P505" t="n">
        <v>0</v>
      </c>
      <c r="Q505" t="n">
        <v>0</v>
      </c>
      <c r="R505" s="2" t="inlineStr"/>
    </row>
    <row r="506" ht="15" customHeight="1">
      <c r="A506" t="inlineStr">
        <is>
          <t>A 24086-2019</t>
        </is>
      </c>
      <c r="B506" s="1" t="n">
        <v>43598</v>
      </c>
      <c r="C506" s="1" t="n">
        <v>45796</v>
      </c>
      <c r="D506" t="inlineStr">
        <is>
          <t>SKÅNE LÄN</t>
        </is>
      </c>
      <c r="E506" t="inlineStr">
        <is>
          <t>KRISTIANSTAD</t>
        </is>
      </c>
      <c r="G506" t="n">
        <v>1.2</v>
      </c>
      <c r="H506" t="n">
        <v>0</v>
      </c>
      <c r="I506" t="n">
        <v>0</v>
      </c>
      <c r="J506" t="n">
        <v>0</v>
      </c>
      <c r="K506" t="n">
        <v>0</v>
      </c>
      <c r="L506" t="n">
        <v>0</v>
      </c>
      <c r="M506" t="n">
        <v>0</v>
      </c>
      <c r="N506" t="n">
        <v>0</v>
      </c>
      <c r="O506" t="n">
        <v>0</v>
      </c>
      <c r="P506" t="n">
        <v>0</v>
      </c>
      <c r="Q506" t="n">
        <v>0</v>
      </c>
      <c r="R506" s="2" t="inlineStr"/>
    </row>
    <row r="507" ht="15" customHeight="1">
      <c r="A507" t="inlineStr">
        <is>
          <t>A 24291-2019</t>
        </is>
      </c>
      <c r="B507" s="1" t="n">
        <v>43598</v>
      </c>
      <c r="C507" s="1" t="n">
        <v>45796</v>
      </c>
      <c r="D507" t="inlineStr">
        <is>
          <t>SKÅNE LÄN</t>
        </is>
      </c>
      <c r="E507" t="inlineStr">
        <is>
          <t>PERSTORP</t>
        </is>
      </c>
      <c r="G507" t="n">
        <v>3.5</v>
      </c>
      <c r="H507" t="n">
        <v>0</v>
      </c>
      <c r="I507" t="n">
        <v>0</v>
      </c>
      <c r="J507" t="n">
        <v>0</v>
      </c>
      <c r="K507" t="n">
        <v>0</v>
      </c>
      <c r="L507" t="n">
        <v>0</v>
      </c>
      <c r="M507" t="n">
        <v>0</v>
      </c>
      <c r="N507" t="n">
        <v>0</v>
      </c>
      <c r="O507" t="n">
        <v>0</v>
      </c>
      <c r="P507" t="n">
        <v>0</v>
      </c>
      <c r="Q507" t="n">
        <v>0</v>
      </c>
      <c r="R507" s="2" t="inlineStr"/>
    </row>
    <row r="508" ht="15" customHeight="1">
      <c r="A508" t="inlineStr">
        <is>
          <t>A 24083-2019</t>
        </is>
      </c>
      <c r="B508" s="1" t="n">
        <v>43598</v>
      </c>
      <c r="C508" s="1" t="n">
        <v>45796</v>
      </c>
      <c r="D508" t="inlineStr">
        <is>
          <t>SKÅNE LÄN</t>
        </is>
      </c>
      <c r="E508" t="inlineStr">
        <is>
          <t>KRISTIANSTAD</t>
        </is>
      </c>
      <c r="G508" t="n">
        <v>0.6</v>
      </c>
      <c r="H508" t="n">
        <v>0</v>
      </c>
      <c r="I508" t="n">
        <v>0</v>
      </c>
      <c r="J508" t="n">
        <v>0</v>
      </c>
      <c r="K508" t="n">
        <v>0</v>
      </c>
      <c r="L508" t="n">
        <v>0</v>
      </c>
      <c r="M508" t="n">
        <v>0</v>
      </c>
      <c r="N508" t="n">
        <v>0</v>
      </c>
      <c r="O508" t="n">
        <v>0</v>
      </c>
      <c r="P508" t="n">
        <v>0</v>
      </c>
      <c r="Q508" t="n">
        <v>0</v>
      </c>
      <c r="R508" s="2" t="inlineStr"/>
    </row>
    <row r="509" ht="15" customHeight="1">
      <c r="A509" t="inlineStr">
        <is>
          <t>A 24187-2019</t>
        </is>
      </c>
      <c r="B509" s="1" t="n">
        <v>43599</v>
      </c>
      <c r="C509" s="1" t="n">
        <v>45796</v>
      </c>
      <c r="D509" t="inlineStr">
        <is>
          <t>SKÅNE LÄN</t>
        </is>
      </c>
      <c r="E509" t="inlineStr">
        <is>
          <t>HÄSSLEHOLM</t>
        </is>
      </c>
      <c r="G509" t="n">
        <v>2.3</v>
      </c>
      <c r="H509" t="n">
        <v>0</v>
      </c>
      <c r="I509" t="n">
        <v>0</v>
      </c>
      <c r="J509" t="n">
        <v>0</v>
      </c>
      <c r="K509" t="n">
        <v>0</v>
      </c>
      <c r="L509" t="n">
        <v>0</v>
      </c>
      <c r="M509" t="n">
        <v>0</v>
      </c>
      <c r="N509" t="n">
        <v>0</v>
      </c>
      <c r="O509" t="n">
        <v>0</v>
      </c>
      <c r="P509" t="n">
        <v>0</v>
      </c>
      <c r="Q509" t="n">
        <v>0</v>
      </c>
      <c r="R509" s="2" t="inlineStr"/>
    </row>
    <row r="510" ht="15" customHeight="1">
      <c r="A510" t="inlineStr">
        <is>
          <t>A 24941-2019</t>
        </is>
      </c>
      <c r="B510" s="1" t="n">
        <v>43599</v>
      </c>
      <c r="C510" s="1" t="n">
        <v>45796</v>
      </c>
      <c r="D510" t="inlineStr">
        <is>
          <t>SKÅNE LÄN</t>
        </is>
      </c>
      <c r="E510" t="inlineStr">
        <is>
          <t>ÖSTRA GÖINGE</t>
        </is>
      </c>
      <c r="G510" t="n">
        <v>3.5</v>
      </c>
      <c r="H510" t="n">
        <v>0</v>
      </c>
      <c r="I510" t="n">
        <v>0</v>
      </c>
      <c r="J510" t="n">
        <v>0</v>
      </c>
      <c r="K510" t="n">
        <v>0</v>
      </c>
      <c r="L510" t="n">
        <v>0</v>
      </c>
      <c r="M510" t="n">
        <v>0</v>
      </c>
      <c r="N510" t="n">
        <v>0</v>
      </c>
      <c r="O510" t="n">
        <v>0</v>
      </c>
      <c r="P510" t="n">
        <v>0</v>
      </c>
      <c r="Q510" t="n">
        <v>0</v>
      </c>
      <c r="R510" s="2" t="inlineStr"/>
    </row>
    <row r="511" ht="15" customHeight="1">
      <c r="A511" t="inlineStr">
        <is>
          <t>A 24686-2019</t>
        </is>
      </c>
      <c r="B511" s="1" t="n">
        <v>43601</v>
      </c>
      <c r="C511" s="1" t="n">
        <v>45796</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24818-2019</t>
        </is>
      </c>
      <c r="B512" s="1" t="n">
        <v>43602</v>
      </c>
      <c r="C512" s="1" t="n">
        <v>45796</v>
      </c>
      <c r="D512" t="inlineStr">
        <is>
          <t>SKÅNE LÄN</t>
        </is>
      </c>
      <c r="E512" t="inlineStr">
        <is>
          <t>SJÖBO</t>
        </is>
      </c>
      <c r="G512" t="n">
        <v>1.5</v>
      </c>
      <c r="H512" t="n">
        <v>0</v>
      </c>
      <c r="I512" t="n">
        <v>0</v>
      </c>
      <c r="J512" t="n">
        <v>0</v>
      </c>
      <c r="K512" t="n">
        <v>0</v>
      </c>
      <c r="L512" t="n">
        <v>0</v>
      </c>
      <c r="M512" t="n">
        <v>0</v>
      </c>
      <c r="N512" t="n">
        <v>0</v>
      </c>
      <c r="O512" t="n">
        <v>0</v>
      </c>
      <c r="P512" t="n">
        <v>0</v>
      </c>
      <c r="Q512" t="n">
        <v>0</v>
      </c>
      <c r="R512" s="2" t="inlineStr"/>
    </row>
    <row r="513" ht="15" customHeight="1">
      <c r="A513" t="inlineStr">
        <is>
          <t>A 24824-2019</t>
        </is>
      </c>
      <c r="B513" s="1" t="n">
        <v>43602</v>
      </c>
      <c r="C513" s="1" t="n">
        <v>45796</v>
      </c>
      <c r="D513" t="inlineStr">
        <is>
          <t>SKÅNE LÄN</t>
        </is>
      </c>
      <c r="E513" t="inlineStr">
        <is>
          <t>OSBY</t>
        </is>
      </c>
      <c r="G513" t="n">
        <v>0.8</v>
      </c>
      <c r="H513" t="n">
        <v>0</v>
      </c>
      <c r="I513" t="n">
        <v>0</v>
      </c>
      <c r="J513" t="n">
        <v>0</v>
      </c>
      <c r="K513" t="n">
        <v>0</v>
      </c>
      <c r="L513" t="n">
        <v>0</v>
      </c>
      <c r="M513" t="n">
        <v>0</v>
      </c>
      <c r="N513" t="n">
        <v>0</v>
      </c>
      <c r="O513" t="n">
        <v>0</v>
      </c>
      <c r="P513" t="n">
        <v>0</v>
      </c>
      <c r="Q513" t="n">
        <v>0</v>
      </c>
      <c r="R513" s="2" t="inlineStr"/>
    </row>
    <row r="514" ht="15" customHeight="1">
      <c r="A514" t="inlineStr">
        <is>
          <t>A 24809-2019</t>
        </is>
      </c>
      <c r="B514" s="1" t="n">
        <v>43602</v>
      </c>
      <c r="C514" s="1" t="n">
        <v>45796</v>
      </c>
      <c r="D514" t="inlineStr">
        <is>
          <t>SKÅNE LÄN</t>
        </is>
      </c>
      <c r="E514" t="inlineStr">
        <is>
          <t>SJÖBO</t>
        </is>
      </c>
      <c r="G514" t="n">
        <v>3.7</v>
      </c>
      <c r="H514" t="n">
        <v>0</v>
      </c>
      <c r="I514" t="n">
        <v>0</v>
      </c>
      <c r="J514" t="n">
        <v>0</v>
      </c>
      <c r="K514" t="n">
        <v>0</v>
      </c>
      <c r="L514" t="n">
        <v>0</v>
      </c>
      <c r="M514" t="n">
        <v>0</v>
      </c>
      <c r="N514" t="n">
        <v>0</v>
      </c>
      <c r="O514" t="n">
        <v>0</v>
      </c>
      <c r="P514" t="n">
        <v>0</v>
      </c>
      <c r="Q514" t="n">
        <v>0</v>
      </c>
      <c r="R514" s="2" t="inlineStr"/>
    </row>
    <row r="515" ht="15" customHeight="1">
      <c r="A515" t="inlineStr">
        <is>
          <t>A 25604-2019</t>
        </is>
      </c>
      <c r="B515" s="1" t="n">
        <v>43602</v>
      </c>
      <c r="C515" s="1" t="n">
        <v>45796</v>
      </c>
      <c r="D515" t="inlineStr">
        <is>
          <t>SKÅNE LÄN</t>
        </is>
      </c>
      <c r="E515" t="inlineStr">
        <is>
          <t>HÖÖR</t>
        </is>
      </c>
      <c r="G515" t="n">
        <v>1</v>
      </c>
      <c r="H515" t="n">
        <v>0</v>
      </c>
      <c r="I515" t="n">
        <v>0</v>
      </c>
      <c r="J515" t="n">
        <v>0</v>
      </c>
      <c r="K515" t="n">
        <v>0</v>
      </c>
      <c r="L515" t="n">
        <v>0</v>
      </c>
      <c r="M515" t="n">
        <v>0</v>
      </c>
      <c r="N515" t="n">
        <v>0</v>
      </c>
      <c r="O515" t="n">
        <v>0</v>
      </c>
      <c r="P515" t="n">
        <v>0</v>
      </c>
      <c r="Q515" t="n">
        <v>0</v>
      </c>
      <c r="R515" s="2" t="inlineStr"/>
    </row>
    <row r="516" ht="15" customHeight="1">
      <c r="A516" t="inlineStr">
        <is>
          <t>A 25286-2019</t>
        </is>
      </c>
      <c r="B516" s="1" t="n">
        <v>43605</v>
      </c>
      <c r="C516" s="1" t="n">
        <v>45796</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25285-2019</t>
        </is>
      </c>
      <c r="B517" s="1" t="n">
        <v>43605</v>
      </c>
      <c r="C517" s="1" t="n">
        <v>45796</v>
      </c>
      <c r="D517" t="inlineStr">
        <is>
          <t>SKÅNE LÄN</t>
        </is>
      </c>
      <c r="E517" t="inlineStr">
        <is>
          <t>HÄSSLEHOLM</t>
        </is>
      </c>
      <c r="G517" t="n">
        <v>25.8</v>
      </c>
      <c r="H517" t="n">
        <v>0</v>
      </c>
      <c r="I517" t="n">
        <v>0</v>
      </c>
      <c r="J517" t="n">
        <v>0</v>
      </c>
      <c r="K517" t="n">
        <v>0</v>
      </c>
      <c r="L517" t="n">
        <v>0</v>
      </c>
      <c r="M517" t="n">
        <v>0</v>
      </c>
      <c r="N517" t="n">
        <v>0</v>
      </c>
      <c r="O517" t="n">
        <v>0</v>
      </c>
      <c r="P517" t="n">
        <v>0</v>
      </c>
      <c r="Q517" t="n">
        <v>0</v>
      </c>
      <c r="R517" s="2" t="inlineStr"/>
    </row>
    <row r="518" ht="15" customHeight="1">
      <c r="A518" t="inlineStr">
        <is>
          <t>A 25866-2019</t>
        </is>
      </c>
      <c r="B518" s="1" t="n">
        <v>43605</v>
      </c>
      <c r="C518" s="1" t="n">
        <v>45796</v>
      </c>
      <c r="D518" t="inlineStr">
        <is>
          <t>SKÅNE LÄN</t>
        </is>
      </c>
      <c r="E518" t="inlineStr">
        <is>
          <t>LUND</t>
        </is>
      </c>
      <c r="G518" t="n">
        <v>0.7</v>
      </c>
      <c r="H518" t="n">
        <v>0</v>
      </c>
      <c r="I518" t="n">
        <v>0</v>
      </c>
      <c r="J518" t="n">
        <v>0</v>
      </c>
      <c r="K518" t="n">
        <v>0</v>
      </c>
      <c r="L518" t="n">
        <v>0</v>
      </c>
      <c r="M518" t="n">
        <v>0</v>
      </c>
      <c r="N518" t="n">
        <v>0</v>
      </c>
      <c r="O518" t="n">
        <v>0</v>
      </c>
      <c r="P518" t="n">
        <v>0</v>
      </c>
      <c r="Q518" t="n">
        <v>0</v>
      </c>
      <c r="R518" s="2" t="inlineStr"/>
    </row>
    <row r="519" ht="15" customHeight="1">
      <c r="A519" t="inlineStr">
        <is>
          <t>A 25501-2019</t>
        </is>
      </c>
      <c r="B519" s="1" t="n">
        <v>43606</v>
      </c>
      <c r="C519" s="1" t="n">
        <v>45796</v>
      </c>
      <c r="D519" t="inlineStr">
        <is>
          <t>SKÅNE LÄN</t>
        </is>
      </c>
      <c r="E519" t="inlineStr">
        <is>
          <t>ESLÖV</t>
        </is>
      </c>
      <c r="G519" t="n">
        <v>2.2</v>
      </c>
      <c r="H519" t="n">
        <v>0</v>
      </c>
      <c r="I519" t="n">
        <v>0</v>
      </c>
      <c r="J519" t="n">
        <v>0</v>
      </c>
      <c r="K519" t="n">
        <v>0</v>
      </c>
      <c r="L519" t="n">
        <v>0</v>
      </c>
      <c r="M519" t="n">
        <v>0</v>
      </c>
      <c r="N519" t="n">
        <v>0</v>
      </c>
      <c r="O519" t="n">
        <v>0</v>
      </c>
      <c r="P519" t="n">
        <v>0</v>
      </c>
      <c r="Q519" t="n">
        <v>0</v>
      </c>
      <c r="R519" s="2" t="inlineStr"/>
    </row>
    <row r="520" ht="15" customHeight="1">
      <c r="A520" t="inlineStr">
        <is>
          <t>A 26485-2019</t>
        </is>
      </c>
      <c r="B520" s="1" t="n">
        <v>43606</v>
      </c>
      <c r="C520" s="1" t="n">
        <v>45796</v>
      </c>
      <c r="D520" t="inlineStr">
        <is>
          <t>SKÅNE LÄN</t>
        </is>
      </c>
      <c r="E520" t="inlineStr">
        <is>
          <t>ÖSTRA GÖINGE</t>
        </is>
      </c>
      <c r="G520" t="n">
        <v>1</v>
      </c>
      <c r="H520" t="n">
        <v>0</v>
      </c>
      <c r="I520" t="n">
        <v>0</v>
      </c>
      <c r="J520" t="n">
        <v>0</v>
      </c>
      <c r="K520" t="n">
        <v>0</v>
      </c>
      <c r="L520" t="n">
        <v>0</v>
      </c>
      <c r="M520" t="n">
        <v>0</v>
      </c>
      <c r="N520" t="n">
        <v>0</v>
      </c>
      <c r="O520" t="n">
        <v>0</v>
      </c>
      <c r="P520" t="n">
        <v>0</v>
      </c>
      <c r="Q520" t="n">
        <v>0</v>
      </c>
      <c r="R520" s="2" t="inlineStr"/>
    </row>
    <row r="521" ht="15" customHeight="1">
      <c r="A521" t="inlineStr">
        <is>
          <t>A 26489-2019</t>
        </is>
      </c>
      <c r="B521" s="1" t="n">
        <v>43606</v>
      </c>
      <c r="C521" s="1" t="n">
        <v>45796</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26698-2019</t>
        </is>
      </c>
      <c r="B522" s="1" t="n">
        <v>43607</v>
      </c>
      <c r="C522" s="1" t="n">
        <v>45796</v>
      </c>
      <c r="D522" t="inlineStr">
        <is>
          <t>SKÅNE LÄN</t>
        </is>
      </c>
      <c r="E522" t="inlineStr">
        <is>
          <t>KRISTIANSTAD</t>
        </is>
      </c>
      <c r="G522" t="n">
        <v>1.6</v>
      </c>
      <c r="H522" t="n">
        <v>0</v>
      </c>
      <c r="I522" t="n">
        <v>0</v>
      </c>
      <c r="J522" t="n">
        <v>0</v>
      </c>
      <c r="K522" t="n">
        <v>0</v>
      </c>
      <c r="L522" t="n">
        <v>0</v>
      </c>
      <c r="M522" t="n">
        <v>0</v>
      </c>
      <c r="N522" t="n">
        <v>0</v>
      </c>
      <c r="O522" t="n">
        <v>0</v>
      </c>
      <c r="P522" t="n">
        <v>0</v>
      </c>
      <c r="Q522" t="n">
        <v>0</v>
      </c>
      <c r="R522" s="2" t="inlineStr"/>
    </row>
    <row r="523" ht="15" customHeight="1">
      <c r="A523" t="inlineStr">
        <is>
          <t>A 25627-2019</t>
        </is>
      </c>
      <c r="B523" s="1" t="n">
        <v>43607</v>
      </c>
      <c r="C523" s="1" t="n">
        <v>45796</v>
      </c>
      <c r="D523" t="inlineStr">
        <is>
          <t>SKÅNE LÄN</t>
        </is>
      </c>
      <c r="E523" t="inlineStr">
        <is>
          <t>PERSTORP</t>
        </is>
      </c>
      <c r="G523" t="n">
        <v>2.7</v>
      </c>
      <c r="H523" t="n">
        <v>0</v>
      </c>
      <c r="I523" t="n">
        <v>0</v>
      </c>
      <c r="J523" t="n">
        <v>0</v>
      </c>
      <c r="K523" t="n">
        <v>0</v>
      </c>
      <c r="L523" t="n">
        <v>0</v>
      </c>
      <c r="M523" t="n">
        <v>0</v>
      </c>
      <c r="N523" t="n">
        <v>0</v>
      </c>
      <c r="O523" t="n">
        <v>0</v>
      </c>
      <c r="P523" t="n">
        <v>0</v>
      </c>
      <c r="Q523" t="n">
        <v>0</v>
      </c>
      <c r="R523" s="2" t="inlineStr"/>
    </row>
    <row r="524" ht="15" customHeight="1">
      <c r="A524" t="inlineStr">
        <is>
          <t>A 25690-2019</t>
        </is>
      </c>
      <c r="B524" s="1" t="n">
        <v>43607</v>
      </c>
      <c r="C524" s="1" t="n">
        <v>45796</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26100-2019</t>
        </is>
      </c>
      <c r="B525" s="1" t="n">
        <v>43609</v>
      </c>
      <c r="C525" s="1" t="n">
        <v>45796</v>
      </c>
      <c r="D525" t="inlineStr">
        <is>
          <t>SKÅNE LÄN</t>
        </is>
      </c>
      <c r="E525" t="inlineStr">
        <is>
          <t>OSBY</t>
        </is>
      </c>
      <c r="G525" t="n">
        <v>0.7</v>
      </c>
      <c r="H525" t="n">
        <v>0</v>
      </c>
      <c r="I525" t="n">
        <v>0</v>
      </c>
      <c r="J525" t="n">
        <v>0</v>
      </c>
      <c r="K525" t="n">
        <v>0</v>
      </c>
      <c r="L525" t="n">
        <v>0</v>
      </c>
      <c r="M525" t="n">
        <v>0</v>
      </c>
      <c r="N525" t="n">
        <v>0</v>
      </c>
      <c r="O525" t="n">
        <v>0</v>
      </c>
      <c r="P525" t="n">
        <v>0</v>
      </c>
      <c r="Q525" t="n">
        <v>0</v>
      </c>
      <c r="R525" s="2" t="inlineStr"/>
    </row>
    <row r="526" ht="15" customHeight="1">
      <c r="A526" t="inlineStr">
        <is>
          <t>A 26916-2019</t>
        </is>
      </c>
      <c r="B526" s="1" t="n">
        <v>43609</v>
      </c>
      <c r="C526" s="1" t="n">
        <v>45796</v>
      </c>
      <c r="D526" t="inlineStr">
        <is>
          <t>SKÅNE LÄN</t>
        </is>
      </c>
      <c r="E526" t="inlineStr">
        <is>
          <t>TOMELILLA</t>
        </is>
      </c>
      <c r="G526" t="n">
        <v>2.6</v>
      </c>
      <c r="H526" t="n">
        <v>0</v>
      </c>
      <c r="I526" t="n">
        <v>0</v>
      </c>
      <c r="J526" t="n">
        <v>0</v>
      </c>
      <c r="K526" t="n">
        <v>0</v>
      </c>
      <c r="L526" t="n">
        <v>0</v>
      </c>
      <c r="M526" t="n">
        <v>0</v>
      </c>
      <c r="N526" t="n">
        <v>0</v>
      </c>
      <c r="O526" t="n">
        <v>0</v>
      </c>
      <c r="P526" t="n">
        <v>0</v>
      </c>
      <c r="Q526" t="n">
        <v>0</v>
      </c>
      <c r="R526" s="2" t="inlineStr"/>
    </row>
    <row r="527" ht="15" customHeight="1">
      <c r="A527" t="inlineStr">
        <is>
          <t>A 26036-2019</t>
        </is>
      </c>
      <c r="B527" s="1" t="n">
        <v>43609</v>
      </c>
      <c r="C527" s="1" t="n">
        <v>45796</v>
      </c>
      <c r="D527" t="inlineStr">
        <is>
          <t>SKÅNE LÄN</t>
        </is>
      </c>
      <c r="E527" t="inlineStr">
        <is>
          <t>HÄSSLEHOLM</t>
        </is>
      </c>
      <c r="G527" t="n">
        <v>3.6</v>
      </c>
      <c r="H527" t="n">
        <v>0</v>
      </c>
      <c r="I527" t="n">
        <v>0</v>
      </c>
      <c r="J527" t="n">
        <v>0</v>
      </c>
      <c r="K527" t="n">
        <v>0</v>
      </c>
      <c r="L527" t="n">
        <v>0</v>
      </c>
      <c r="M527" t="n">
        <v>0</v>
      </c>
      <c r="N527" t="n">
        <v>0</v>
      </c>
      <c r="O527" t="n">
        <v>0</v>
      </c>
      <c r="P527" t="n">
        <v>0</v>
      </c>
      <c r="Q527" t="n">
        <v>0</v>
      </c>
      <c r="R527" s="2" t="inlineStr"/>
    </row>
    <row r="528" ht="15" customHeight="1">
      <c r="A528" t="inlineStr">
        <is>
          <t>A 26037-2019</t>
        </is>
      </c>
      <c r="B528" s="1" t="n">
        <v>43609</v>
      </c>
      <c r="C528" s="1" t="n">
        <v>45796</v>
      </c>
      <c r="D528" t="inlineStr">
        <is>
          <t>SKÅNE LÄN</t>
        </is>
      </c>
      <c r="E528" t="inlineStr">
        <is>
          <t>HÄSSLEHOLM</t>
        </is>
      </c>
      <c r="G528" t="n">
        <v>4.4</v>
      </c>
      <c r="H528" t="n">
        <v>0</v>
      </c>
      <c r="I528" t="n">
        <v>0</v>
      </c>
      <c r="J528" t="n">
        <v>0</v>
      </c>
      <c r="K528" t="n">
        <v>0</v>
      </c>
      <c r="L528" t="n">
        <v>0</v>
      </c>
      <c r="M528" t="n">
        <v>0</v>
      </c>
      <c r="N528" t="n">
        <v>0</v>
      </c>
      <c r="O528" t="n">
        <v>0</v>
      </c>
      <c r="P528" t="n">
        <v>0</v>
      </c>
      <c r="Q528" t="n">
        <v>0</v>
      </c>
      <c r="R528" s="2" t="inlineStr"/>
    </row>
    <row r="529" ht="15" customHeight="1">
      <c r="A529" t="inlineStr">
        <is>
          <t>A 26268-2019</t>
        </is>
      </c>
      <c r="B529" s="1" t="n">
        <v>43611</v>
      </c>
      <c r="C529" s="1" t="n">
        <v>45796</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26325-2019</t>
        </is>
      </c>
      <c r="B530" s="1" t="n">
        <v>43612</v>
      </c>
      <c r="C530" s="1" t="n">
        <v>45796</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28138-2019</t>
        </is>
      </c>
      <c r="B531" s="1" t="n">
        <v>43612</v>
      </c>
      <c r="C531" s="1" t="n">
        <v>45796</v>
      </c>
      <c r="D531" t="inlineStr">
        <is>
          <t>SKÅNE LÄN</t>
        </is>
      </c>
      <c r="E531" t="inlineStr">
        <is>
          <t>BJUV</t>
        </is>
      </c>
      <c r="G531" t="n">
        <v>4.3</v>
      </c>
      <c r="H531" t="n">
        <v>0</v>
      </c>
      <c r="I531" t="n">
        <v>0</v>
      </c>
      <c r="J531" t="n">
        <v>0</v>
      </c>
      <c r="K531" t="n">
        <v>0</v>
      </c>
      <c r="L531" t="n">
        <v>0</v>
      </c>
      <c r="M531" t="n">
        <v>0</v>
      </c>
      <c r="N531" t="n">
        <v>0</v>
      </c>
      <c r="O531" t="n">
        <v>0</v>
      </c>
      <c r="P531" t="n">
        <v>0</v>
      </c>
      <c r="Q531" t="n">
        <v>0</v>
      </c>
      <c r="R531" s="2" t="inlineStr"/>
    </row>
    <row r="532" ht="15" customHeight="1">
      <c r="A532" t="inlineStr">
        <is>
          <t>A 28064-2019</t>
        </is>
      </c>
      <c r="B532" s="1" t="n">
        <v>43612</v>
      </c>
      <c r="C532" s="1" t="n">
        <v>45796</v>
      </c>
      <c r="D532" t="inlineStr">
        <is>
          <t>SKÅNE LÄN</t>
        </is>
      </c>
      <c r="E532" t="inlineStr">
        <is>
          <t>SJÖBO</t>
        </is>
      </c>
      <c r="G532" t="n">
        <v>2.1</v>
      </c>
      <c r="H532" t="n">
        <v>0</v>
      </c>
      <c r="I532" t="n">
        <v>0</v>
      </c>
      <c r="J532" t="n">
        <v>0</v>
      </c>
      <c r="K532" t="n">
        <v>0</v>
      </c>
      <c r="L532" t="n">
        <v>0</v>
      </c>
      <c r="M532" t="n">
        <v>0</v>
      </c>
      <c r="N532" t="n">
        <v>0</v>
      </c>
      <c r="O532" t="n">
        <v>0</v>
      </c>
      <c r="P532" t="n">
        <v>0</v>
      </c>
      <c r="Q532" t="n">
        <v>0</v>
      </c>
      <c r="R532" s="2" t="inlineStr"/>
    </row>
    <row r="533" ht="15" customHeight="1">
      <c r="A533" t="inlineStr">
        <is>
          <t>A 28131-2019</t>
        </is>
      </c>
      <c r="B533" s="1" t="n">
        <v>43612</v>
      </c>
      <c r="C533" s="1" t="n">
        <v>45796</v>
      </c>
      <c r="D533" t="inlineStr">
        <is>
          <t>SKÅNE LÄN</t>
        </is>
      </c>
      <c r="E533" t="inlineStr">
        <is>
          <t>BJUV</t>
        </is>
      </c>
      <c r="G533" t="n">
        <v>2.1</v>
      </c>
      <c r="H533" t="n">
        <v>0</v>
      </c>
      <c r="I533" t="n">
        <v>0</v>
      </c>
      <c r="J533" t="n">
        <v>0</v>
      </c>
      <c r="K533" t="n">
        <v>0</v>
      </c>
      <c r="L533" t="n">
        <v>0</v>
      </c>
      <c r="M533" t="n">
        <v>0</v>
      </c>
      <c r="N533" t="n">
        <v>0</v>
      </c>
      <c r="O533" t="n">
        <v>0</v>
      </c>
      <c r="P533" t="n">
        <v>0</v>
      </c>
      <c r="Q533" t="n">
        <v>0</v>
      </c>
      <c r="R533" s="2" t="inlineStr"/>
    </row>
    <row r="534" ht="15" customHeight="1">
      <c r="A534" t="inlineStr">
        <is>
          <t>A 26828-2019</t>
        </is>
      </c>
      <c r="B534" s="1" t="n">
        <v>43613</v>
      </c>
      <c r="C534" s="1" t="n">
        <v>45796</v>
      </c>
      <c r="D534" t="inlineStr">
        <is>
          <t>SKÅNE LÄN</t>
        </is>
      </c>
      <c r="E534" t="inlineStr">
        <is>
          <t>ÖSTRA GÖINGE</t>
        </is>
      </c>
      <c r="G534" t="n">
        <v>3.2</v>
      </c>
      <c r="H534" t="n">
        <v>0</v>
      </c>
      <c r="I534" t="n">
        <v>0</v>
      </c>
      <c r="J534" t="n">
        <v>0</v>
      </c>
      <c r="K534" t="n">
        <v>0</v>
      </c>
      <c r="L534" t="n">
        <v>0</v>
      </c>
      <c r="M534" t="n">
        <v>0</v>
      </c>
      <c r="N534" t="n">
        <v>0</v>
      </c>
      <c r="O534" t="n">
        <v>0</v>
      </c>
      <c r="P534" t="n">
        <v>0</v>
      </c>
      <c r="Q534" t="n">
        <v>0</v>
      </c>
      <c r="R534" s="2" t="inlineStr"/>
    </row>
    <row r="535" ht="15" customHeight="1">
      <c r="A535" t="inlineStr">
        <is>
          <t>A 26701-2019</t>
        </is>
      </c>
      <c r="B535" s="1" t="n">
        <v>43613</v>
      </c>
      <c r="C535" s="1" t="n">
        <v>45796</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26788-2019</t>
        </is>
      </c>
      <c r="B536" s="1" t="n">
        <v>43613</v>
      </c>
      <c r="C536" s="1" t="n">
        <v>45796</v>
      </c>
      <c r="D536" t="inlineStr">
        <is>
          <t>SKÅNE LÄN</t>
        </is>
      </c>
      <c r="E536" t="inlineStr">
        <is>
          <t>BROMÖLLA</t>
        </is>
      </c>
      <c r="G536" t="n">
        <v>7.2</v>
      </c>
      <c r="H536" t="n">
        <v>0</v>
      </c>
      <c r="I536" t="n">
        <v>0</v>
      </c>
      <c r="J536" t="n">
        <v>0</v>
      </c>
      <c r="K536" t="n">
        <v>0</v>
      </c>
      <c r="L536" t="n">
        <v>0</v>
      </c>
      <c r="M536" t="n">
        <v>0</v>
      </c>
      <c r="N536" t="n">
        <v>0</v>
      </c>
      <c r="O536" t="n">
        <v>0</v>
      </c>
      <c r="P536" t="n">
        <v>0</v>
      </c>
      <c r="Q536" t="n">
        <v>0</v>
      </c>
      <c r="R536" s="2" t="inlineStr"/>
    </row>
    <row r="537" ht="15" customHeight="1">
      <c r="A537" t="inlineStr">
        <is>
          <t>A 26938-2019</t>
        </is>
      </c>
      <c r="B537" s="1" t="n">
        <v>43613</v>
      </c>
      <c r="C537" s="1" t="n">
        <v>45796</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26940-2019</t>
        </is>
      </c>
      <c r="B538" s="1" t="n">
        <v>43613</v>
      </c>
      <c r="C538" s="1" t="n">
        <v>45796</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26939-2019</t>
        </is>
      </c>
      <c r="B539" s="1" t="n">
        <v>43613</v>
      </c>
      <c r="C539" s="1" t="n">
        <v>45796</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26661-2019</t>
        </is>
      </c>
      <c r="B540" s="1" t="n">
        <v>43613</v>
      </c>
      <c r="C540" s="1" t="n">
        <v>45796</v>
      </c>
      <c r="D540" t="inlineStr">
        <is>
          <t>SKÅNE LÄN</t>
        </is>
      </c>
      <c r="E540" t="inlineStr">
        <is>
          <t>TOMELILLA</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28620-2019</t>
        </is>
      </c>
      <c r="B541" s="1" t="n">
        <v>43613</v>
      </c>
      <c r="C541" s="1" t="n">
        <v>45796</v>
      </c>
      <c r="D541" t="inlineStr">
        <is>
          <t>SKÅNE LÄN</t>
        </is>
      </c>
      <c r="E541" t="inlineStr">
        <is>
          <t>HÄSSLEHOLM</t>
        </is>
      </c>
      <c r="G541" t="n">
        <v>2.8</v>
      </c>
      <c r="H541" t="n">
        <v>0</v>
      </c>
      <c r="I541" t="n">
        <v>0</v>
      </c>
      <c r="J541" t="n">
        <v>0</v>
      </c>
      <c r="K541" t="n">
        <v>0</v>
      </c>
      <c r="L541" t="n">
        <v>0</v>
      </c>
      <c r="M541" t="n">
        <v>0</v>
      </c>
      <c r="N541" t="n">
        <v>0</v>
      </c>
      <c r="O541" t="n">
        <v>0</v>
      </c>
      <c r="P541" t="n">
        <v>0</v>
      </c>
      <c r="Q541" t="n">
        <v>0</v>
      </c>
      <c r="R541" s="2" t="inlineStr"/>
    </row>
    <row r="542" ht="15" customHeight="1">
      <c r="A542" t="inlineStr">
        <is>
          <t>A 26832-2019</t>
        </is>
      </c>
      <c r="B542" s="1" t="n">
        <v>43613</v>
      </c>
      <c r="C542" s="1" t="n">
        <v>45796</v>
      </c>
      <c r="D542" t="inlineStr">
        <is>
          <t>SKÅNE LÄN</t>
        </is>
      </c>
      <c r="E542" t="inlineStr">
        <is>
          <t>ÖSTRA GÖINGE</t>
        </is>
      </c>
      <c r="G542" t="n">
        <v>4</v>
      </c>
      <c r="H542" t="n">
        <v>0</v>
      </c>
      <c r="I542" t="n">
        <v>0</v>
      </c>
      <c r="J542" t="n">
        <v>0</v>
      </c>
      <c r="K542" t="n">
        <v>0</v>
      </c>
      <c r="L542" t="n">
        <v>0</v>
      </c>
      <c r="M542" t="n">
        <v>0</v>
      </c>
      <c r="N542" t="n">
        <v>0</v>
      </c>
      <c r="O542" t="n">
        <v>0</v>
      </c>
      <c r="P542" t="n">
        <v>0</v>
      </c>
      <c r="Q542" t="n">
        <v>0</v>
      </c>
      <c r="R542" s="2" t="inlineStr"/>
    </row>
    <row r="543" ht="15" customHeight="1">
      <c r="A543" t="inlineStr">
        <is>
          <t>A 26650-2019</t>
        </is>
      </c>
      <c r="B543" s="1" t="n">
        <v>43613</v>
      </c>
      <c r="C543" s="1" t="n">
        <v>45796</v>
      </c>
      <c r="D543" t="inlineStr">
        <is>
          <t>SKÅNE LÄN</t>
        </is>
      </c>
      <c r="E543" t="inlineStr">
        <is>
          <t>SIMRISHAMN</t>
        </is>
      </c>
      <c r="F543" t="inlineStr">
        <is>
          <t>Övriga Aktiebolag</t>
        </is>
      </c>
      <c r="G543" t="n">
        <v>3.5</v>
      </c>
      <c r="H543" t="n">
        <v>0</v>
      </c>
      <c r="I543" t="n">
        <v>0</v>
      </c>
      <c r="J543" t="n">
        <v>0</v>
      </c>
      <c r="K543" t="n">
        <v>0</v>
      </c>
      <c r="L543" t="n">
        <v>0</v>
      </c>
      <c r="M543" t="n">
        <v>0</v>
      </c>
      <c r="N543" t="n">
        <v>0</v>
      </c>
      <c r="O543" t="n">
        <v>0</v>
      </c>
      <c r="P543" t="n">
        <v>0</v>
      </c>
      <c r="Q543" t="n">
        <v>0</v>
      </c>
      <c r="R543" s="2" t="inlineStr"/>
    </row>
    <row r="544" ht="15" customHeight="1">
      <c r="A544" t="inlineStr">
        <is>
          <t>A 27059-2019</t>
        </is>
      </c>
      <c r="B544" s="1" t="n">
        <v>43614</v>
      </c>
      <c r="C544" s="1" t="n">
        <v>45796</v>
      </c>
      <c r="D544" t="inlineStr">
        <is>
          <t>SKÅNE LÄN</t>
        </is>
      </c>
      <c r="E544" t="inlineStr">
        <is>
          <t>ÄNGELHOLM</t>
        </is>
      </c>
      <c r="G544" t="n">
        <v>2.9</v>
      </c>
      <c r="H544" t="n">
        <v>0</v>
      </c>
      <c r="I544" t="n">
        <v>0</v>
      </c>
      <c r="J544" t="n">
        <v>0</v>
      </c>
      <c r="K544" t="n">
        <v>0</v>
      </c>
      <c r="L544" t="n">
        <v>0</v>
      </c>
      <c r="M544" t="n">
        <v>0</v>
      </c>
      <c r="N544" t="n">
        <v>0</v>
      </c>
      <c r="O544" t="n">
        <v>0</v>
      </c>
      <c r="P544" t="n">
        <v>0</v>
      </c>
      <c r="Q544" t="n">
        <v>0</v>
      </c>
      <c r="R544" s="2" t="inlineStr"/>
    </row>
    <row r="545" ht="15" customHeight="1">
      <c r="A545" t="inlineStr">
        <is>
          <t>A 28655-2019</t>
        </is>
      </c>
      <c r="B545" s="1" t="n">
        <v>43614</v>
      </c>
      <c r="C545" s="1" t="n">
        <v>45796</v>
      </c>
      <c r="D545" t="inlineStr">
        <is>
          <t>SKÅNE LÄN</t>
        </is>
      </c>
      <c r="E545" t="inlineStr">
        <is>
          <t>TOMELILLA</t>
        </is>
      </c>
      <c r="G545" t="n">
        <v>0.8</v>
      </c>
      <c r="H545" t="n">
        <v>0</v>
      </c>
      <c r="I545" t="n">
        <v>0</v>
      </c>
      <c r="J545" t="n">
        <v>0</v>
      </c>
      <c r="K545" t="n">
        <v>0</v>
      </c>
      <c r="L545" t="n">
        <v>0</v>
      </c>
      <c r="M545" t="n">
        <v>0</v>
      </c>
      <c r="N545" t="n">
        <v>0</v>
      </c>
      <c r="O545" t="n">
        <v>0</v>
      </c>
      <c r="P545" t="n">
        <v>0</v>
      </c>
      <c r="Q545" t="n">
        <v>0</v>
      </c>
      <c r="R545" s="2" t="inlineStr"/>
    </row>
    <row r="546" ht="15" customHeight="1">
      <c r="A546" t="inlineStr">
        <is>
          <t>A 27370-2019</t>
        </is>
      </c>
      <c r="B546" s="1" t="n">
        <v>43616</v>
      </c>
      <c r="C546" s="1" t="n">
        <v>45796</v>
      </c>
      <c r="D546" t="inlineStr">
        <is>
          <t>SKÅNE LÄN</t>
        </is>
      </c>
      <c r="E546" t="inlineStr">
        <is>
          <t>OSBY</t>
        </is>
      </c>
      <c r="G546" t="n">
        <v>1.1</v>
      </c>
      <c r="H546" t="n">
        <v>0</v>
      </c>
      <c r="I546" t="n">
        <v>0</v>
      </c>
      <c r="J546" t="n">
        <v>0</v>
      </c>
      <c r="K546" t="n">
        <v>0</v>
      </c>
      <c r="L546" t="n">
        <v>0</v>
      </c>
      <c r="M546" t="n">
        <v>0</v>
      </c>
      <c r="N546" t="n">
        <v>0</v>
      </c>
      <c r="O546" t="n">
        <v>0</v>
      </c>
      <c r="P546" t="n">
        <v>0</v>
      </c>
      <c r="Q546" t="n">
        <v>0</v>
      </c>
      <c r="R546" s="2" t="inlineStr"/>
    </row>
    <row r="547" ht="15" customHeight="1">
      <c r="A547" t="inlineStr">
        <is>
          <t>A 27672-2019</t>
        </is>
      </c>
      <c r="B547" s="1" t="n">
        <v>43619</v>
      </c>
      <c r="C547" s="1" t="n">
        <v>45796</v>
      </c>
      <c r="D547" t="inlineStr">
        <is>
          <t>SKÅNE LÄN</t>
        </is>
      </c>
      <c r="E547" t="inlineStr">
        <is>
          <t>ESLÖV</t>
        </is>
      </c>
      <c r="G547" t="n">
        <v>1</v>
      </c>
      <c r="H547" t="n">
        <v>0</v>
      </c>
      <c r="I547" t="n">
        <v>0</v>
      </c>
      <c r="J547" t="n">
        <v>0</v>
      </c>
      <c r="K547" t="n">
        <v>0</v>
      </c>
      <c r="L547" t="n">
        <v>0</v>
      </c>
      <c r="M547" t="n">
        <v>0</v>
      </c>
      <c r="N547" t="n">
        <v>0</v>
      </c>
      <c r="O547" t="n">
        <v>0</v>
      </c>
      <c r="P547" t="n">
        <v>0</v>
      </c>
      <c r="Q547" t="n">
        <v>0</v>
      </c>
      <c r="R547" s="2" t="inlineStr"/>
    </row>
    <row r="548" ht="15" customHeight="1">
      <c r="A548" t="inlineStr">
        <is>
          <t>A 27705-2019</t>
        </is>
      </c>
      <c r="B548" s="1" t="n">
        <v>43619</v>
      </c>
      <c r="C548" s="1" t="n">
        <v>45796</v>
      </c>
      <c r="D548" t="inlineStr">
        <is>
          <t>SKÅNE LÄN</t>
        </is>
      </c>
      <c r="E548" t="inlineStr">
        <is>
          <t>ÖRKELLJUNGA</t>
        </is>
      </c>
      <c r="G548" t="n">
        <v>3.9</v>
      </c>
      <c r="H548" t="n">
        <v>0</v>
      </c>
      <c r="I548" t="n">
        <v>0</v>
      </c>
      <c r="J548" t="n">
        <v>0</v>
      </c>
      <c r="K548" t="n">
        <v>0</v>
      </c>
      <c r="L548" t="n">
        <v>0</v>
      </c>
      <c r="M548" t="n">
        <v>0</v>
      </c>
      <c r="N548" t="n">
        <v>0</v>
      </c>
      <c r="O548" t="n">
        <v>0</v>
      </c>
      <c r="P548" t="n">
        <v>0</v>
      </c>
      <c r="Q548" t="n">
        <v>0</v>
      </c>
      <c r="R548" s="2" t="inlineStr"/>
    </row>
    <row r="549" ht="15" customHeight="1">
      <c r="A549" t="inlineStr">
        <is>
          <t>A 27649-2019</t>
        </is>
      </c>
      <c r="B549" s="1" t="n">
        <v>43619</v>
      </c>
      <c r="C549" s="1" t="n">
        <v>45796</v>
      </c>
      <c r="D549" t="inlineStr">
        <is>
          <t>SKÅNE LÄN</t>
        </is>
      </c>
      <c r="E549" t="inlineStr">
        <is>
          <t>OSBY</t>
        </is>
      </c>
      <c r="G549" t="n">
        <v>1.4</v>
      </c>
      <c r="H549" t="n">
        <v>0</v>
      </c>
      <c r="I549" t="n">
        <v>0</v>
      </c>
      <c r="J549" t="n">
        <v>0</v>
      </c>
      <c r="K549" t="n">
        <v>0</v>
      </c>
      <c r="L549" t="n">
        <v>0</v>
      </c>
      <c r="M549" t="n">
        <v>0</v>
      </c>
      <c r="N549" t="n">
        <v>0</v>
      </c>
      <c r="O549" t="n">
        <v>0</v>
      </c>
      <c r="P549" t="n">
        <v>0</v>
      </c>
      <c r="Q549" t="n">
        <v>0</v>
      </c>
      <c r="R549" s="2" t="inlineStr"/>
    </row>
    <row r="550" ht="15" customHeight="1">
      <c r="A550" t="inlineStr">
        <is>
          <t>A 27624-2019</t>
        </is>
      </c>
      <c r="B550" s="1" t="n">
        <v>43619</v>
      </c>
      <c r="C550" s="1" t="n">
        <v>45796</v>
      </c>
      <c r="D550" t="inlineStr">
        <is>
          <t>SKÅNE LÄN</t>
        </is>
      </c>
      <c r="E550" t="inlineStr">
        <is>
          <t>HÄSSLEHOLM</t>
        </is>
      </c>
      <c r="F550" t="inlineStr">
        <is>
          <t>Kyrkan</t>
        </is>
      </c>
      <c r="G550" t="n">
        <v>5.3</v>
      </c>
      <c r="H550" t="n">
        <v>0</v>
      </c>
      <c r="I550" t="n">
        <v>0</v>
      </c>
      <c r="J550" t="n">
        <v>0</v>
      </c>
      <c r="K550" t="n">
        <v>0</v>
      </c>
      <c r="L550" t="n">
        <v>0</v>
      </c>
      <c r="M550" t="n">
        <v>0</v>
      </c>
      <c r="N550" t="n">
        <v>0</v>
      </c>
      <c r="O550" t="n">
        <v>0</v>
      </c>
      <c r="P550" t="n">
        <v>0</v>
      </c>
      <c r="Q550" t="n">
        <v>0</v>
      </c>
      <c r="R550" s="2" t="inlineStr"/>
    </row>
    <row r="551" ht="15" customHeight="1">
      <c r="A551" t="inlineStr">
        <is>
          <t>A 27824-2019</t>
        </is>
      </c>
      <c r="B551" s="1" t="n">
        <v>43620</v>
      </c>
      <c r="C551" s="1" t="n">
        <v>45796</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27818-2019</t>
        </is>
      </c>
      <c r="B552" s="1" t="n">
        <v>43620</v>
      </c>
      <c r="C552" s="1" t="n">
        <v>45796</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28105-2019</t>
        </is>
      </c>
      <c r="B553" s="1" t="n">
        <v>43621</v>
      </c>
      <c r="C553" s="1" t="n">
        <v>45796</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28159-2019</t>
        </is>
      </c>
      <c r="B554" s="1" t="n">
        <v>43621</v>
      </c>
      <c r="C554" s="1" t="n">
        <v>45796</v>
      </c>
      <c r="D554" t="inlineStr">
        <is>
          <t>SKÅNE LÄN</t>
        </is>
      </c>
      <c r="E554" t="inlineStr">
        <is>
          <t>ÖSTRA GÖINGE</t>
        </is>
      </c>
      <c r="G554" t="n">
        <v>1.3</v>
      </c>
      <c r="H554" t="n">
        <v>0</v>
      </c>
      <c r="I554" t="n">
        <v>0</v>
      </c>
      <c r="J554" t="n">
        <v>0</v>
      </c>
      <c r="K554" t="n">
        <v>0</v>
      </c>
      <c r="L554" t="n">
        <v>0</v>
      </c>
      <c r="M554" t="n">
        <v>0</v>
      </c>
      <c r="N554" t="n">
        <v>0</v>
      </c>
      <c r="O554" t="n">
        <v>0</v>
      </c>
      <c r="P554" t="n">
        <v>0</v>
      </c>
      <c r="Q554" t="n">
        <v>0</v>
      </c>
      <c r="R554" s="2" t="inlineStr"/>
    </row>
    <row r="555" ht="15" customHeight="1">
      <c r="A555" t="inlineStr">
        <is>
          <t>A 28161-2019</t>
        </is>
      </c>
      <c r="B555" s="1" t="n">
        <v>43621</v>
      </c>
      <c r="C555" s="1" t="n">
        <v>45796</v>
      </c>
      <c r="D555" t="inlineStr">
        <is>
          <t>SKÅNE LÄN</t>
        </is>
      </c>
      <c r="E555" t="inlineStr">
        <is>
          <t>OSBY</t>
        </is>
      </c>
      <c r="G555" t="n">
        <v>0</v>
      </c>
      <c r="H555" t="n">
        <v>0</v>
      </c>
      <c r="I555" t="n">
        <v>0</v>
      </c>
      <c r="J555" t="n">
        <v>0</v>
      </c>
      <c r="K555" t="n">
        <v>0</v>
      </c>
      <c r="L555" t="n">
        <v>0</v>
      </c>
      <c r="M555" t="n">
        <v>0</v>
      </c>
      <c r="N555" t="n">
        <v>0</v>
      </c>
      <c r="O555" t="n">
        <v>0</v>
      </c>
      <c r="P555" t="n">
        <v>0</v>
      </c>
      <c r="Q555" t="n">
        <v>0</v>
      </c>
      <c r="R555" s="2" t="inlineStr"/>
    </row>
    <row r="556" ht="15" customHeight="1">
      <c r="A556" t="inlineStr">
        <is>
          <t>A 28111-2019</t>
        </is>
      </c>
      <c r="B556" s="1" t="n">
        <v>43621</v>
      </c>
      <c r="C556" s="1" t="n">
        <v>45796</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28371-2019</t>
        </is>
      </c>
      <c r="B557" s="1" t="n">
        <v>43622</v>
      </c>
      <c r="C557" s="1" t="n">
        <v>45796</v>
      </c>
      <c r="D557" t="inlineStr">
        <is>
          <t>SKÅNE LÄN</t>
        </is>
      </c>
      <c r="E557" t="inlineStr">
        <is>
          <t>SVALÖV</t>
        </is>
      </c>
      <c r="G557" t="n">
        <v>0.7</v>
      </c>
      <c r="H557" t="n">
        <v>0</v>
      </c>
      <c r="I557" t="n">
        <v>0</v>
      </c>
      <c r="J557" t="n">
        <v>0</v>
      </c>
      <c r="K557" t="n">
        <v>0</v>
      </c>
      <c r="L557" t="n">
        <v>0</v>
      </c>
      <c r="M557" t="n">
        <v>0</v>
      </c>
      <c r="N557" t="n">
        <v>0</v>
      </c>
      <c r="O557" t="n">
        <v>0</v>
      </c>
      <c r="P557" t="n">
        <v>0</v>
      </c>
      <c r="Q557" t="n">
        <v>0</v>
      </c>
      <c r="R557" s="2" t="inlineStr"/>
    </row>
    <row r="558" ht="15" customHeight="1">
      <c r="A558" t="inlineStr">
        <is>
          <t>A 29230-2019</t>
        </is>
      </c>
      <c r="B558" s="1" t="n">
        <v>43623</v>
      </c>
      <c r="C558" s="1" t="n">
        <v>45796</v>
      </c>
      <c r="D558" t="inlineStr">
        <is>
          <t>SKÅNE LÄN</t>
        </is>
      </c>
      <c r="E558" t="inlineStr">
        <is>
          <t>HÖÖR</t>
        </is>
      </c>
      <c r="G558" t="n">
        <v>2</v>
      </c>
      <c r="H558" t="n">
        <v>0</v>
      </c>
      <c r="I558" t="n">
        <v>0</v>
      </c>
      <c r="J558" t="n">
        <v>0</v>
      </c>
      <c r="K558" t="n">
        <v>0</v>
      </c>
      <c r="L558" t="n">
        <v>0</v>
      </c>
      <c r="M558" t="n">
        <v>0</v>
      </c>
      <c r="N558" t="n">
        <v>0</v>
      </c>
      <c r="O558" t="n">
        <v>0</v>
      </c>
      <c r="P558" t="n">
        <v>0</v>
      </c>
      <c r="Q558" t="n">
        <v>0</v>
      </c>
      <c r="R558" s="2" t="inlineStr"/>
    </row>
    <row r="559" ht="15" customHeight="1">
      <c r="A559" t="inlineStr">
        <is>
          <t>A 28410-2019</t>
        </is>
      </c>
      <c r="B559" s="1" t="n">
        <v>43626</v>
      </c>
      <c r="C559" s="1" t="n">
        <v>45796</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28413-2019</t>
        </is>
      </c>
      <c r="B560" s="1" t="n">
        <v>43626</v>
      </c>
      <c r="C560" s="1" t="n">
        <v>45796</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28996-2019</t>
        </is>
      </c>
      <c r="B561" s="1" t="n">
        <v>43628</v>
      </c>
      <c r="C561" s="1" t="n">
        <v>45796</v>
      </c>
      <c r="D561" t="inlineStr">
        <is>
          <t>SKÅNE LÄN</t>
        </is>
      </c>
      <c r="E561" t="inlineStr">
        <is>
          <t>SVALÖV</t>
        </is>
      </c>
      <c r="G561" t="n">
        <v>5.3</v>
      </c>
      <c r="H561" t="n">
        <v>0</v>
      </c>
      <c r="I561" t="n">
        <v>0</v>
      </c>
      <c r="J561" t="n">
        <v>0</v>
      </c>
      <c r="K561" t="n">
        <v>0</v>
      </c>
      <c r="L561" t="n">
        <v>0</v>
      </c>
      <c r="M561" t="n">
        <v>0</v>
      </c>
      <c r="N561" t="n">
        <v>0</v>
      </c>
      <c r="O561" t="n">
        <v>0</v>
      </c>
      <c r="P561" t="n">
        <v>0</v>
      </c>
      <c r="Q561" t="n">
        <v>0</v>
      </c>
      <c r="R561" s="2" t="inlineStr"/>
    </row>
    <row r="562" ht="15" customHeight="1">
      <c r="A562" t="inlineStr">
        <is>
          <t>A 29138-2019</t>
        </is>
      </c>
      <c r="B562" s="1" t="n">
        <v>43628</v>
      </c>
      <c r="C562" s="1" t="n">
        <v>45796</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29042-2019</t>
        </is>
      </c>
      <c r="B563" s="1" t="n">
        <v>43628</v>
      </c>
      <c r="C563" s="1" t="n">
        <v>45796</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29139-2019</t>
        </is>
      </c>
      <c r="B564" s="1" t="n">
        <v>43628</v>
      </c>
      <c r="C564" s="1" t="n">
        <v>45796</v>
      </c>
      <c r="D564" t="inlineStr">
        <is>
          <t>SKÅNE LÄN</t>
        </is>
      </c>
      <c r="E564" t="inlineStr">
        <is>
          <t>KLIPPAN</t>
        </is>
      </c>
      <c r="G564" t="n">
        <v>0.7</v>
      </c>
      <c r="H564" t="n">
        <v>0</v>
      </c>
      <c r="I564" t="n">
        <v>0</v>
      </c>
      <c r="J564" t="n">
        <v>0</v>
      </c>
      <c r="K564" t="n">
        <v>0</v>
      </c>
      <c r="L564" t="n">
        <v>0</v>
      </c>
      <c r="M564" t="n">
        <v>0</v>
      </c>
      <c r="N564" t="n">
        <v>0</v>
      </c>
      <c r="O564" t="n">
        <v>0</v>
      </c>
      <c r="P564" t="n">
        <v>0</v>
      </c>
      <c r="Q564" t="n">
        <v>0</v>
      </c>
      <c r="R564" s="2" t="inlineStr"/>
    </row>
    <row r="565" ht="15" customHeight="1">
      <c r="A565" t="inlineStr">
        <is>
          <t>A 29007-2019</t>
        </is>
      </c>
      <c r="B565" s="1" t="n">
        <v>43628</v>
      </c>
      <c r="C565" s="1" t="n">
        <v>45796</v>
      </c>
      <c r="D565" t="inlineStr">
        <is>
          <t>SKÅNE LÄN</t>
        </is>
      </c>
      <c r="E565" t="inlineStr">
        <is>
          <t>BÅSTAD</t>
        </is>
      </c>
      <c r="G565" t="n">
        <v>2.4</v>
      </c>
      <c r="H565" t="n">
        <v>0</v>
      </c>
      <c r="I565" t="n">
        <v>0</v>
      </c>
      <c r="J565" t="n">
        <v>0</v>
      </c>
      <c r="K565" t="n">
        <v>0</v>
      </c>
      <c r="L565" t="n">
        <v>0</v>
      </c>
      <c r="M565" t="n">
        <v>0</v>
      </c>
      <c r="N565" t="n">
        <v>0</v>
      </c>
      <c r="O565" t="n">
        <v>0</v>
      </c>
      <c r="P565" t="n">
        <v>0</v>
      </c>
      <c r="Q565" t="n">
        <v>0</v>
      </c>
      <c r="R565" s="2" t="inlineStr"/>
    </row>
    <row r="566" ht="15" customHeight="1">
      <c r="A566" t="inlineStr">
        <is>
          <t>A 29943-2019</t>
        </is>
      </c>
      <c r="B566" s="1" t="n">
        <v>43629</v>
      </c>
      <c r="C566" s="1" t="n">
        <v>45796</v>
      </c>
      <c r="D566" t="inlineStr">
        <is>
          <t>SKÅNE LÄN</t>
        </is>
      </c>
      <c r="E566" t="inlineStr">
        <is>
          <t>ÖRKELLJUNGA</t>
        </is>
      </c>
      <c r="G566" t="n">
        <v>2.4</v>
      </c>
      <c r="H566" t="n">
        <v>0</v>
      </c>
      <c r="I566" t="n">
        <v>0</v>
      </c>
      <c r="J566" t="n">
        <v>0</v>
      </c>
      <c r="K566" t="n">
        <v>0</v>
      </c>
      <c r="L566" t="n">
        <v>0</v>
      </c>
      <c r="M566" t="n">
        <v>0</v>
      </c>
      <c r="N566" t="n">
        <v>0</v>
      </c>
      <c r="O566" t="n">
        <v>0</v>
      </c>
      <c r="P566" t="n">
        <v>0</v>
      </c>
      <c r="Q566" t="n">
        <v>0</v>
      </c>
      <c r="R566" s="2" t="inlineStr"/>
    </row>
    <row r="567" ht="15" customHeight="1">
      <c r="A567" t="inlineStr">
        <is>
          <t>A 29305-2019</t>
        </is>
      </c>
      <c r="B567" s="1" t="n">
        <v>43629</v>
      </c>
      <c r="C567" s="1" t="n">
        <v>45796</v>
      </c>
      <c r="D567" t="inlineStr">
        <is>
          <t>SKÅNE LÄN</t>
        </is>
      </c>
      <c r="E567" t="inlineStr">
        <is>
          <t>ESLÖV</t>
        </is>
      </c>
      <c r="G567" t="n">
        <v>1.7</v>
      </c>
      <c r="H567" t="n">
        <v>0</v>
      </c>
      <c r="I567" t="n">
        <v>0</v>
      </c>
      <c r="J567" t="n">
        <v>0</v>
      </c>
      <c r="K567" t="n">
        <v>0</v>
      </c>
      <c r="L567" t="n">
        <v>0</v>
      </c>
      <c r="M567" t="n">
        <v>0</v>
      </c>
      <c r="N567" t="n">
        <v>0</v>
      </c>
      <c r="O567" t="n">
        <v>0</v>
      </c>
      <c r="P567" t="n">
        <v>0</v>
      </c>
      <c r="Q567" t="n">
        <v>0</v>
      </c>
      <c r="R567" s="2" t="inlineStr"/>
    </row>
    <row r="568" ht="15" customHeight="1">
      <c r="A568" t="inlineStr">
        <is>
          <t>A 29534-2019</t>
        </is>
      </c>
      <c r="B568" s="1" t="n">
        <v>43630</v>
      </c>
      <c r="C568" s="1" t="n">
        <v>45796</v>
      </c>
      <c r="D568" t="inlineStr">
        <is>
          <t>SKÅNE LÄN</t>
        </is>
      </c>
      <c r="E568" t="inlineStr">
        <is>
          <t>LUND</t>
        </is>
      </c>
      <c r="G568" t="n">
        <v>1.8</v>
      </c>
      <c r="H568" t="n">
        <v>0</v>
      </c>
      <c r="I568" t="n">
        <v>0</v>
      </c>
      <c r="J568" t="n">
        <v>0</v>
      </c>
      <c r="K568" t="n">
        <v>0</v>
      </c>
      <c r="L568" t="n">
        <v>0</v>
      </c>
      <c r="M568" t="n">
        <v>0</v>
      </c>
      <c r="N568" t="n">
        <v>0</v>
      </c>
      <c r="O568" t="n">
        <v>0</v>
      </c>
      <c r="P568" t="n">
        <v>0</v>
      </c>
      <c r="Q568" t="n">
        <v>0</v>
      </c>
      <c r="R568" s="2" t="inlineStr"/>
    </row>
    <row r="569" ht="15" customHeight="1">
      <c r="A569" t="inlineStr">
        <is>
          <t>A 29577-2019</t>
        </is>
      </c>
      <c r="B569" s="1" t="n">
        <v>43630</v>
      </c>
      <c r="C569" s="1" t="n">
        <v>45796</v>
      </c>
      <c r="D569" t="inlineStr">
        <is>
          <t>SKÅNE LÄN</t>
        </is>
      </c>
      <c r="E569" t="inlineStr">
        <is>
          <t>TOMELILLA</t>
        </is>
      </c>
      <c r="G569" t="n">
        <v>1.4</v>
      </c>
      <c r="H569" t="n">
        <v>0</v>
      </c>
      <c r="I569" t="n">
        <v>0</v>
      </c>
      <c r="J569" t="n">
        <v>0</v>
      </c>
      <c r="K569" t="n">
        <v>0</v>
      </c>
      <c r="L569" t="n">
        <v>0</v>
      </c>
      <c r="M569" t="n">
        <v>0</v>
      </c>
      <c r="N569" t="n">
        <v>0</v>
      </c>
      <c r="O569" t="n">
        <v>0</v>
      </c>
      <c r="P569" t="n">
        <v>0</v>
      </c>
      <c r="Q569" t="n">
        <v>0</v>
      </c>
      <c r="R569" s="2" t="inlineStr"/>
    </row>
    <row r="570" ht="15" customHeight="1">
      <c r="A570" t="inlineStr">
        <is>
          <t>A 29766-2019</t>
        </is>
      </c>
      <c r="B570" s="1" t="n">
        <v>43632</v>
      </c>
      <c r="C570" s="1" t="n">
        <v>45796</v>
      </c>
      <c r="D570" t="inlineStr">
        <is>
          <t>SKÅNE LÄN</t>
        </is>
      </c>
      <c r="E570" t="inlineStr">
        <is>
          <t>HÄSSLEHOLM</t>
        </is>
      </c>
      <c r="G570" t="n">
        <v>4.9</v>
      </c>
      <c r="H570" t="n">
        <v>0</v>
      </c>
      <c r="I570" t="n">
        <v>0</v>
      </c>
      <c r="J570" t="n">
        <v>0</v>
      </c>
      <c r="K570" t="n">
        <v>0</v>
      </c>
      <c r="L570" t="n">
        <v>0</v>
      </c>
      <c r="M570" t="n">
        <v>0</v>
      </c>
      <c r="N570" t="n">
        <v>0</v>
      </c>
      <c r="O570" t="n">
        <v>0</v>
      </c>
      <c r="P570" t="n">
        <v>0</v>
      </c>
      <c r="Q570" t="n">
        <v>0</v>
      </c>
      <c r="R570" s="2" t="inlineStr"/>
    </row>
    <row r="571" ht="15" customHeight="1">
      <c r="A571" t="inlineStr">
        <is>
          <t>A 29849-2019</t>
        </is>
      </c>
      <c r="B571" s="1" t="n">
        <v>43633</v>
      </c>
      <c r="C571" s="1" t="n">
        <v>45796</v>
      </c>
      <c r="D571" t="inlineStr">
        <is>
          <t>SKÅNE LÄN</t>
        </is>
      </c>
      <c r="E571" t="inlineStr">
        <is>
          <t>ÖRKELLJUNGA</t>
        </is>
      </c>
      <c r="G571" t="n">
        <v>0.8</v>
      </c>
      <c r="H571" t="n">
        <v>0</v>
      </c>
      <c r="I571" t="n">
        <v>0</v>
      </c>
      <c r="J571" t="n">
        <v>0</v>
      </c>
      <c r="K571" t="n">
        <v>0</v>
      </c>
      <c r="L571" t="n">
        <v>0</v>
      </c>
      <c r="M571" t="n">
        <v>0</v>
      </c>
      <c r="N571" t="n">
        <v>0</v>
      </c>
      <c r="O571" t="n">
        <v>0</v>
      </c>
      <c r="P571" t="n">
        <v>0</v>
      </c>
      <c r="Q571" t="n">
        <v>0</v>
      </c>
      <c r="R571" s="2" t="inlineStr"/>
    </row>
    <row r="572" ht="15" customHeight="1">
      <c r="A572" t="inlineStr">
        <is>
          <t>A 30059-2019</t>
        </is>
      </c>
      <c r="B572" s="1" t="n">
        <v>43633</v>
      </c>
      <c r="C572" s="1" t="n">
        <v>45796</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30292-2019</t>
        </is>
      </c>
      <c r="B573" s="1" t="n">
        <v>43633</v>
      </c>
      <c r="C573" s="1" t="n">
        <v>45796</v>
      </c>
      <c r="D573" t="inlineStr">
        <is>
          <t>SKÅNE LÄN</t>
        </is>
      </c>
      <c r="E573" t="inlineStr">
        <is>
          <t>ESLÖV</t>
        </is>
      </c>
      <c r="G573" t="n">
        <v>3.1</v>
      </c>
      <c r="H573" t="n">
        <v>0</v>
      </c>
      <c r="I573" t="n">
        <v>0</v>
      </c>
      <c r="J573" t="n">
        <v>0</v>
      </c>
      <c r="K573" t="n">
        <v>0</v>
      </c>
      <c r="L573" t="n">
        <v>0</v>
      </c>
      <c r="M573" t="n">
        <v>0</v>
      </c>
      <c r="N573" t="n">
        <v>0</v>
      </c>
      <c r="O573" t="n">
        <v>0</v>
      </c>
      <c r="P573" t="n">
        <v>0</v>
      </c>
      <c r="Q573" t="n">
        <v>0</v>
      </c>
      <c r="R573" s="2" t="inlineStr"/>
    </row>
    <row r="574" ht="15" customHeight="1">
      <c r="A574" t="inlineStr">
        <is>
          <t>A 29799-2019</t>
        </is>
      </c>
      <c r="B574" s="1" t="n">
        <v>43633</v>
      </c>
      <c r="C574" s="1" t="n">
        <v>45796</v>
      </c>
      <c r="D574" t="inlineStr">
        <is>
          <t>SKÅNE LÄN</t>
        </is>
      </c>
      <c r="E574" t="inlineStr">
        <is>
          <t>TOMELILLA</t>
        </is>
      </c>
      <c r="G574" t="n">
        <v>0.9</v>
      </c>
      <c r="H574" t="n">
        <v>0</v>
      </c>
      <c r="I574" t="n">
        <v>0</v>
      </c>
      <c r="J574" t="n">
        <v>0</v>
      </c>
      <c r="K574" t="n">
        <v>0</v>
      </c>
      <c r="L574" t="n">
        <v>0</v>
      </c>
      <c r="M574" t="n">
        <v>0</v>
      </c>
      <c r="N574" t="n">
        <v>0</v>
      </c>
      <c r="O574" t="n">
        <v>0</v>
      </c>
      <c r="P574" t="n">
        <v>0</v>
      </c>
      <c r="Q574" t="n">
        <v>0</v>
      </c>
      <c r="R574" s="2" t="inlineStr"/>
    </row>
    <row r="575" ht="15" customHeight="1">
      <c r="A575" t="inlineStr">
        <is>
          <t>A 30268-2019</t>
        </is>
      </c>
      <c r="B575" s="1" t="n">
        <v>43634</v>
      </c>
      <c r="C575" s="1" t="n">
        <v>45796</v>
      </c>
      <c r="D575" t="inlineStr">
        <is>
          <t>SKÅNE LÄN</t>
        </is>
      </c>
      <c r="E575" t="inlineStr">
        <is>
          <t>HÖRBY</t>
        </is>
      </c>
      <c r="G575" t="n">
        <v>0.9</v>
      </c>
      <c r="H575" t="n">
        <v>0</v>
      </c>
      <c r="I575" t="n">
        <v>0</v>
      </c>
      <c r="J575" t="n">
        <v>0</v>
      </c>
      <c r="K575" t="n">
        <v>0</v>
      </c>
      <c r="L575" t="n">
        <v>0</v>
      </c>
      <c r="M575" t="n">
        <v>0</v>
      </c>
      <c r="N575" t="n">
        <v>0</v>
      </c>
      <c r="O575" t="n">
        <v>0</v>
      </c>
      <c r="P575" t="n">
        <v>0</v>
      </c>
      <c r="Q575" t="n">
        <v>0</v>
      </c>
      <c r="R575" s="2" t="inlineStr"/>
    </row>
    <row r="576" ht="15" customHeight="1">
      <c r="A576" t="inlineStr">
        <is>
          <t>A 31177-2019</t>
        </is>
      </c>
      <c r="B576" s="1" t="n">
        <v>43640</v>
      </c>
      <c r="C576" s="1" t="n">
        <v>45796</v>
      </c>
      <c r="D576" t="inlineStr">
        <is>
          <t>SKÅNE LÄN</t>
        </is>
      </c>
      <c r="E576" t="inlineStr">
        <is>
          <t>HÖÖR</t>
        </is>
      </c>
      <c r="G576" t="n">
        <v>8.6</v>
      </c>
      <c r="H576" t="n">
        <v>0</v>
      </c>
      <c r="I576" t="n">
        <v>0</v>
      </c>
      <c r="J576" t="n">
        <v>0</v>
      </c>
      <c r="K576" t="n">
        <v>0</v>
      </c>
      <c r="L576" t="n">
        <v>0</v>
      </c>
      <c r="M576" t="n">
        <v>0</v>
      </c>
      <c r="N576" t="n">
        <v>0</v>
      </c>
      <c r="O576" t="n">
        <v>0</v>
      </c>
      <c r="P576" t="n">
        <v>0</v>
      </c>
      <c r="Q576" t="n">
        <v>0</v>
      </c>
      <c r="R576" s="2" t="inlineStr"/>
    </row>
    <row r="577" ht="15" customHeight="1">
      <c r="A577" t="inlineStr">
        <is>
          <t>A 31433-2019</t>
        </is>
      </c>
      <c r="B577" s="1" t="n">
        <v>43641</v>
      </c>
      <c r="C577" s="1" t="n">
        <v>45796</v>
      </c>
      <c r="D577" t="inlineStr">
        <is>
          <t>SKÅNE LÄN</t>
        </is>
      </c>
      <c r="E577" t="inlineStr">
        <is>
          <t>ÖRKELLJUNGA</t>
        </is>
      </c>
      <c r="G577" t="n">
        <v>1.1</v>
      </c>
      <c r="H577" t="n">
        <v>0</v>
      </c>
      <c r="I577" t="n">
        <v>0</v>
      </c>
      <c r="J577" t="n">
        <v>0</v>
      </c>
      <c r="K577" t="n">
        <v>0</v>
      </c>
      <c r="L577" t="n">
        <v>0</v>
      </c>
      <c r="M577" t="n">
        <v>0</v>
      </c>
      <c r="N577" t="n">
        <v>0</v>
      </c>
      <c r="O577" t="n">
        <v>0</v>
      </c>
      <c r="P577" t="n">
        <v>0</v>
      </c>
      <c r="Q577" t="n">
        <v>0</v>
      </c>
      <c r="R577" s="2" t="inlineStr"/>
    </row>
    <row r="578" ht="15" customHeight="1">
      <c r="A578" t="inlineStr">
        <is>
          <t>A 31784-2019</t>
        </is>
      </c>
      <c r="B578" s="1" t="n">
        <v>43641</v>
      </c>
      <c r="C578" s="1" t="n">
        <v>45796</v>
      </c>
      <c r="D578" t="inlineStr">
        <is>
          <t>SKÅNE LÄN</t>
        </is>
      </c>
      <c r="E578" t="inlineStr">
        <is>
          <t>ÖRKELLJUNGA</t>
        </is>
      </c>
      <c r="G578" t="n">
        <v>2</v>
      </c>
      <c r="H578" t="n">
        <v>0</v>
      </c>
      <c r="I578" t="n">
        <v>0</v>
      </c>
      <c r="J578" t="n">
        <v>0</v>
      </c>
      <c r="K578" t="n">
        <v>0</v>
      </c>
      <c r="L578" t="n">
        <v>0</v>
      </c>
      <c r="M578" t="n">
        <v>0</v>
      </c>
      <c r="N578" t="n">
        <v>0</v>
      </c>
      <c r="O578" t="n">
        <v>0</v>
      </c>
      <c r="P578" t="n">
        <v>0</v>
      </c>
      <c r="Q578" t="n">
        <v>0</v>
      </c>
      <c r="R578" s="2" t="inlineStr"/>
    </row>
    <row r="579" ht="15" customHeight="1">
      <c r="A579" t="inlineStr">
        <is>
          <t>A 31619-2019</t>
        </is>
      </c>
      <c r="B579" s="1" t="n">
        <v>43642</v>
      </c>
      <c r="C579" s="1" t="n">
        <v>45796</v>
      </c>
      <c r="D579" t="inlineStr">
        <is>
          <t>SKÅNE LÄN</t>
        </is>
      </c>
      <c r="E579" t="inlineStr">
        <is>
          <t>OSBY</t>
        </is>
      </c>
      <c r="G579" t="n">
        <v>1</v>
      </c>
      <c r="H579" t="n">
        <v>0</v>
      </c>
      <c r="I579" t="n">
        <v>0</v>
      </c>
      <c r="J579" t="n">
        <v>0</v>
      </c>
      <c r="K579" t="n">
        <v>0</v>
      </c>
      <c r="L579" t="n">
        <v>0</v>
      </c>
      <c r="M579" t="n">
        <v>0</v>
      </c>
      <c r="N579" t="n">
        <v>0</v>
      </c>
      <c r="O579" t="n">
        <v>0</v>
      </c>
      <c r="P579" t="n">
        <v>0</v>
      </c>
      <c r="Q579" t="n">
        <v>0</v>
      </c>
      <c r="R579" s="2" t="inlineStr"/>
    </row>
    <row r="580" ht="15" customHeight="1">
      <c r="A580" t="inlineStr">
        <is>
          <t>A 31803-2019</t>
        </is>
      </c>
      <c r="B580" s="1" t="n">
        <v>43642</v>
      </c>
      <c r="C580" s="1" t="n">
        <v>45796</v>
      </c>
      <c r="D580" t="inlineStr">
        <is>
          <t>SKÅNE LÄN</t>
        </is>
      </c>
      <c r="E580" t="inlineStr">
        <is>
          <t>OSBY</t>
        </is>
      </c>
      <c r="G580" t="n">
        <v>2</v>
      </c>
      <c r="H580" t="n">
        <v>0</v>
      </c>
      <c r="I580" t="n">
        <v>0</v>
      </c>
      <c r="J580" t="n">
        <v>0</v>
      </c>
      <c r="K580" t="n">
        <v>0</v>
      </c>
      <c r="L580" t="n">
        <v>0</v>
      </c>
      <c r="M580" t="n">
        <v>0</v>
      </c>
      <c r="N580" t="n">
        <v>0</v>
      </c>
      <c r="O580" t="n">
        <v>0</v>
      </c>
      <c r="P580" t="n">
        <v>0</v>
      </c>
      <c r="Q580" t="n">
        <v>0</v>
      </c>
      <c r="R580" s="2" t="inlineStr"/>
    </row>
    <row r="581" ht="15" customHeight="1">
      <c r="A581" t="inlineStr">
        <is>
          <t>A 31760-2019</t>
        </is>
      </c>
      <c r="B581" s="1" t="n">
        <v>43642</v>
      </c>
      <c r="C581" s="1" t="n">
        <v>45796</v>
      </c>
      <c r="D581" t="inlineStr">
        <is>
          <t>SKÅNE LÄN</t>
        </is>
      </c>
      <c r="E581" t="inlineStr">
        <is>
          <t>HÄSSLEHOLM</t>
        </is>
      </c>
      <c r="G581" t="n">
        <v>3.3</v>
      </c>
      <c r="H581" t="n">
        <v>0</v>
      </c>
      <c r="I581" t="n">
        <v>0</v>
      </c>
      <c r="J581" t="n">
        <v>0</v>
      </c>
      <c r="K581" t="n">
        <v>0</v>
      </c>
      <c r="L581" t="n">
        <v>0</v>
      </c>
      <c r="M581" t="n">
        <v>0</v>
      </c>
      <c r="N581" t="n">
        <v>0</v>
      </c>
      <c r="O581" t="n">
        <v>0</v>
      </c>
      <c r="P581" t="n">
        <v>0</v>
      </c>
      <c r="Q581" t="n">
        <v>0</v>
      </c>
      <c r="R581" s="2" t="inlineStr"/>
    </row>
    <row r="582" ht="15" customHeight="1">
      <c r="A582" t="inlineStr">
        <is>
          <t>A 31790-2019</t>
        </is>
      </c>
      <c r="B582" s="1" t="n">
        <v>43642</v>
      </c>
      <c r="C582" s="1" t="n">
        <v>45796</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31795-2019</t>
        </is>
      </c>
      <c r="B583" s="1" t="n">
        <v>43642</v>
      </c>
      <c r="C583" s="1" t="n">
        <v>45796</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31951-2019</t>
        </is>
      </c>
      <c r="B584" s="1" t="n">
        <v>43642</v>
      </c>
      <c r="C584" s="1" t="n">
        <v>45796</v>
      </c>
      <c r="D584" t="inlineStr">
        <is>
          <t>SKÅNE LÄN</t>
        </is>
      </c>
      <c r="E584" t="inlineStr">
        <is>
          <t>SVEDALA</t>
        </is>
      </c>
      <c r="G584" t="n">
        <v>1.4</v>
      </c>
      <c r="H584" t="n">
        <v>0</v>
      </c>
      <c r="I584" t="n">
        <v>0</v>
      </c>
      <c r="J584" t="n">
        <v>0</v>
      </c>
      <c r="K584" t="n">
        <v>0</v>
      </c>
      <c r="L584" t="n">
        <v>0</v>
      </c>
      <c r="M584" t="n">
        <v>0</v>
      </c>
      <c r="N584" t="n">
        <v>0</v>
      </c>
      <c r="O584" t="n">
        <v>0</v>
      </c>
      <c r="P584" t="n">
        <v>0</v>
      </c>
      <c r="Q584" t="n">
        <v>0</v>
      </c>
      <c r="R584" s="2" t="inlineStr"/>
    </row>
    <row r="585" ht="15" customHeight="1">
      <c r="A585" t="inlineStr">
        <is>
          <t>A 31936-2019</t>
        </is>
      </c>
      <c r="B585" s="1" t="n">
        <v>43642</v>
      </c>
      <c r="C585" s="1" t="n">
        <v>45796</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31669-2019</t>
        </is>
      </c>
      <c r="B586" s="1" t="n">
        <v>43642</v>
      </c>
      <c r="C586" s="1" t="n">
        <v>45796</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31948-2019</t>
        </is>
      </c>
      <c r="B587" s="1" t="n">
        <v>43642</v>
      </c>
      <c r="C587" s="1" t="n">
        <v>45796</v>
      </c>
      <c r="D587" t="inlineStr">
        <is>
          <t>SKÅNE LÄN</t>
        </is>
      </c>
      <c r="E587" t="inlineStr">
        <is>
          <t>SVEDALA</t>
        </is>
      </c>
      <c r="G587" t="n">
        <v>1.3</v>
      </c>
      <c r="H587" t="n">
        <v>0</v>
      </c>
      <c r="I587" t="n">
        <v>0</v>
      </c>
      <c r="J587" t="n">
        <v>0</v>
      </c>
      <c r="K587" t="n">
        <v>0</v>
      </c>
      <c r="L587" t="n">
        <v>0</v>
      </c>
      <c r="M587" t="n">
        <v>0</v>
      </c>
      <c r="N587" t="n">
        <v>0</v>
      </c>
      <c r="O587" t="n">
        <v>0</v>
      </c>
      <c r="P587" t="n">
        <v>0</v>
      </c>
      <c r="Q587" t="n">
        <v>0</v>
      </c>
      <c r="R587" s="2" t="inlineStr"/>
    </row>
    <row r="588" ht="15" customHeight="1">
      <c r="A588" t="inlineStr">
        <is>
          <t>A 33285-2019</t>
        </is>
      </c>
      <c r="B588" s="1" t="n">
        <v>43644</v>
      </c>
      <c r="C588" s="1" t="n">
        <v>45796</v>
      </c>
      <c r="D588" t="inlineStr">
        <is>
          <t>SKÅNE LÄN</t>
        </is>
      </c>
      <c r="E588" t="inlineStr">
        <is>
          <t>KLIPPAN</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33290-2019</t>
        </is>
      </c>
      <c r="B589" s="1" t="n">
        <v>43644</v>
      </c>
      <c r="C589" s="1" t="n">
        <v>45796</v>
      </c>
      <c r="D589" t="inlineStr">
        <is>
          <t>SKÅNE LÄN</t>
        </is>
      </c>
      <c r="E589" t="inlineStr">
        <is>
          <t>PERSTORP</t>
        </is>
      </c>
      <c r="F589" t="inlineStr">
        <is>
          <t>Övriga Aktiebolag</t>
        </is>
      </c>
      <c r="G589" t="n">
        <v>1.9</v>
      </c>
      <c r="H589" t="n">
        <v>0</v>
      </c>
      <c r="I589" t="n">
        <v>0</v>
      </c>
      <c r="J589" t="n">
        <v>0</v>
      </c>
      <c r="K589" t="n">
        <v>0</v>
      </c>
      <c r="L589" t="n">
        <v>0</v>
      </c>
      <c r="M589" t="n">
        <v>0</v>
      </c>
      <c r="N589" t="n">
        <v>0</v>
      </c>
      <c r="O589" t="n">
        <v>0</v>
      </c>
      <c r="P589" t="n">
        <v>0</v>
      </c>
      <c r="Q589" t="n">
        <v>0</v>
      </c>
      <c r="R589" s="2" t="inlineStr"/>
    </row>
    <row r="590" ht="15" customHeight="1">
      <c r="A590" t="inlineStr">
        <is>
          <t>A 33252-2019</t>
        </is>
      </c>
      <c r="B590" s="1" t="n">
        <v>43644</v>
      </c>
      <c r="C590" s="1" t="n">
        <v>45796</v>
      </c>
      <c r="D590" t="inlineStr">
        <is>
          <t>SKÅNE LÄN</t>
        </is>
      </c>
      <c r="E590" t="inlineStr">
        <is>
          <t>PERSTORP</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33240-2019</t>
        </is>
      </c>
      <c r="B591" s="1" t="n">
        <v>43644</v>
      </c>
      <c r="C591" s="1" t="n">
        <v>45796</v>
      </c>
      <c r="D591" t="inlineStr">
        <is>
          <t>SKÅNE LÄN</t>
        </is>
      </c>
      <c r="E591" t="inlineStr">
        <is>
          <t>SVEDALA</t>
        </is>
      </c>
      <c r="G591" t="n">
        <v>1.2</v>
      </c>
      <c r="H591" t="n">
        <v>0</v>
      </c>
      <c r="I591" t="n">
        <v>0</v>
      </c>
      <c r="J591" t="n">
        <v>0</v>
      </c>
      <c r="K591" t="n">
        <v>0</v>
      </c>
      <c r="L591" t="n">
        <v>0</v>
      </c>
      <c r="M591" t="n">
        <v>0</v>
      </c>
      <c r="N591" t="n">
        <v>0</v>
      </c>
      <c r="O591" t="n">
        <v>0</v>
      </c>
      <c r="P591" t="n">
        <v>0</v>
      </c>
      <c r="Q591" t="n">
        <v>0</v>
      </c>
      <c r="R591" s="2" t="inlineStr"/>
    </row>
    <row r="592" ht="15" customHeight="1">
      <c r="A592" t="inlineStr">
        <is>
          <t>A 32352-2019</t>
        </is>
      </c>
      <c r="B592" s="1" t="n">
        <v>43644</v>
      </c>
      <c r="C592" s="1" t="n">
        <v>45796</v>
      </c>
      <c r="D592" t="inlineStr">
        <is>
          <t>SKÅNE LÄN</t>
        </is>
      </c>
      <c r="E592" t="inlineStr">
        <is>
          <t>OSBY</t>
        </is>
      </c>
      <c r="G592" t="n">
        <v>0.5</v>
      </c>
      <c r="H592" t="n">
        <v>0</v>
      </c>
      <c r="I592" t="n">
        <v>0</v>
      </c>
      <c r="J592" t="n">
        <v>0</v>
      </c>
      <c r="K592" t="n">
        <v>0</v>
      </c>
      <c r="L592" t="n">
        <v>0</v>
      </c>
      <c r="M592" t="n">
        <v>0</v>
      </c>
      <c r="N592" t="n">
        <v>0</v>
      </c>
      <c r="O592" t="n">
        <v>0</v>
      </c>
      <c r="P592" t="n">
        <v>0</v>
      </c>
      <c r="Q592" t="n">
        <v>0</v>
      </c>
      <c r="R592" s="2" t="inlineStr"/>
    </row>
    <row r="593" ht="15" customHeight="1">
      <c r="A593" t="inlineStr">
        <is>
          <t>A 32620-2019</t>
        </is>
      </c>
      <c r="B593" s="1" t="n">
        <v>43647</v>
      </c>
      <c r="C593" s="1" t="n">
        <v>45796</v>
      </c>
      <c r="D593" t="inlineStr">
        <is>
          <t>SKÅNE LÄN</t>
        </is>
      </c>
      <c r="E593" t="inlineStr">
        <is>
          <t>ÖRKELLJUNGA</t>
        </is>
      </c>
      <c r="G593" t="n">
        <v>2.3</v>
      </c>
      <c r="H593" t="n">
        <v>0</v>
      </c>
      <c r="I593" t="n">
        <v>0</v>
      </c>
      <c r="J593" t="n">
        <v>0</v>
      </c>
      <c r="K593" t="n">
        <v>0</v>
      </c>
      <c r="L593" t="n">
        <v>0</v>
      </c>
      <c r="M593" t="n">
        <v>0</v>
      </c>
      <c r="N593" t="n">
        <v>0</v>
      </c>
      <c r="O593" t="n">
        <v>0</v>
      </c>
      <c r="P593" t="n">
        <v>0</v>
      </c>
      <c r="Q593" t="n">
        <v>0</v>
      </c>
      <c r="R593" s="2" t="inlineStr"/>
    </row>
    <row r="594" ht="15" customHeight="1">
      <c r="A594" t="inlineStr">
        <is>
          <t>A 32624-2019</t>
        </is>
      </c>
      <c r="B594" s="1" t="n">
        <v>43647</v>
      </c>
      <c r="C594" s="1" t="n">
        <v>45796</v>
      </c>
      <c r="D594" t="inlineStr">
        <is>
          <t>SKÅNE LÄN</t>
        </is>
      </c>
      <c r="E594" t="inlineStr">
        <is>
          <t>ÖRKELLJUNGA</t>
        </is>
      </c>
      <c r="G594" t="n">
        <v>0.6</v>
      </c>
      <c r="H594" t="n">
        <v>0</v>
      </c>
      <c r="I594" t="n">
        <v>0</v>
      </c>
      <c r="J594" t="n">
        <v>0</v>
      </c>
      <c r="K594" t="n">
        <v>0</v>
      </c>
      <c r="L594" t="n">
        <v>0</v>
      </c>
      <c r="M594" t="n">
        <v>0</v>
      </c>
      <c r="N594" t="n">
        <v>0</v>
      </c>
      <c r="O594" t="n">
        <v>0</v>
      </c>
      <c r="P594" t="n">
        <v>0</v>
      </c>
      <c r="Q594" t="n">
        <v>0</v>
      </c>
      <c r="R594" s="2" t="inlineStr"/>
    </row>
    <row r="595" ht="15" customHeight="1">
      <c r="A595" t="inlineStr">
        <is>
          <t>A 32714-2019</t>
        </is>
      </c>
      <c r="B595" s="1" t="n">
        <v>43647</v>
      </c>
      <c r="C595" s="1" t="n">
        <v>45796</v>
      </c>
      <c r="D595" t="inlineStr">
        <is>
          <t>SKÅNE LÄN</t>
        </is>
      </c>
      <c r="E595" t="inlineStr">
        <is>
          <t>HÄSSLEHOLM</t>
        </is>
      </c>
      <c r="G595" t="n">
        <v>8.4</v>
      </c>
      <c r="H595" t="n">
        <v>0</v>
      </c>
      <c r="I595" t="n">
        <v>0</v>
      </c>
      <c r="J595" t="n">
        <v>0</v>
      </c>
      <c r="K595" t="n">
        <v>0</v>
      </c>
      <c r="L595" t="n">
        <v>0</v>
      </c>
      <c r="M595" t="n">
        <v>0</v>
      </c>
      <c r="N595" t="n">
        <v>0</v>
      </c>
      <c r="O595" t="n">
        <v>0</v>
      </c>
      <c r="P595" t="n">
        <v>0</v>
      </c>
      <c r="Q595" t="n">
        <v>0</v>
      </c>
      <c r="R595" s="2" t="inlineStr"/>
    </row>
    <row r="596" ht="15" customHeight="1">
      <c r="A596" t="inlineStr">
        <is>
          <t>A 32841-2019</t>
        </is>
      </c>
      <c r="B596" s="1" t="n">
        <v>43648</v>
      </c>
      <c r="C596" s="1" t="n">
        <v>45796</v>
      </c>
      <c r="D596" t="inlineStr">
        <is>
          <t>SKÅNE LÄN</t>
        </is>
      </c>
      <c r="E596" t="inlineStr">
        <is>
          <t>KRISTIANSTAD</t>
        </is>
      </c>
      <c r="G596" t="n">
        <v>0.9</v>
      </c>
      <c r="H596" t="n">
        <v>0</v>
      </c>
      <c r="I596" t="n">
        <v>0</v>
      </c>
      <c r="J596" t="n">
        <v>0</v>
      </c>
      <c r="K596" t="n">
        <v>0</v>
      </c>
      <c r="L596" t="n">
        <v>0</v>
      </c>
      <c r="M596" t="n">
        <v>0</v>
      </c>
      <c r="N596" t="n">
        <v>0</v>
      </c>
      <c r="O596" t="n">
        <v>0</v>
      </c>
      <c r="P596" t="n">
        <v>0</v>
      </c>
      <c r="Q596" t="n">
        <v>0</v>
      </c>
      <c r="R596" s="2" t="inlineStr"/>
    </row>
    <row r="597" ht="15" customHeight="1">
      <c r="A597" t="inlineStr">
        <is>
          <t>A 32790-2019</t>
        </is>
      </c>
      <c r="B597" s="1" t="n">
        <v>43648</v>
      </c>
      <c r="C597" s="1" t="n">
        <v>45796</v>
      </c>
      <c r="D597" t="inlineStr">
        <is>
          <t>SKÅNE LÄN</t>
        </is>
      </c>
      <c r="E597" t="inlineStr">
        <is>
          <t>KRISTIANSTAD</t>
        </is>
      </c>
      <c r="G597" t="n">
        <v>11.4</v>
      </c>
      <c r="H597" t="n">
        <v>0</v>
      </c>
      <c r="I597" t="n">
        <v>0</v>
      </c>
      <c r="J597" t="n">
        <v>0</v>
      </c>
      <c r="K597" t="n">
        <v>0</v>
      </c>
      <c r="L597" t="n">
        <v>0</v>
      </c>
      <c r="M597" t="n">
        <v>0</v>
      </c>
      <c r="N597" t="n">
        <v>0</v>
      </c>
      <c r="O597" t="n">
        <v>0</v>
      </c>
      <c r="P597" t="n">
        <v>0</v>
      </c>
      <c r="Q597" t="n">
        <v>0</v>
      </c>
      <c r="R597" s="2" t="inlineStr"/>
    </row>
    <row r="598" ht="15" customHeight="1">
      <c r="A598" t="inlineStr">
        <is>
          <t>A 32827-2019</t>
        </is>
      </c>
      <c r="B598" s="1" t="n">
        <v>43648</v>
      </c>
      <c r="C598" s="1" t="n">
        <v>45796</v>
      </c>
      <c r="D598" t="inlineStr">
        <is>
          <t>SKÅNE LÄN</t>
        </is>
      </c>
      <c r="E598" t="inlineStr">
        <is>
          <t>BROMÖLLA</t>
        </is>
      </c>
      <c r="G598" t="n">
        <v>3</v>
      </c>
      <c r="H598" t="n">
        <v>0</v>
      </c>
      <c r="I598" t="n">
        <v>0</v>
      </c>
      <c r="J598" t="n">
        <v>0</v>
      </c>
      <c r="K598" t="n">
        <v>0</v>
      </c>
      <c r="L598" t="n">
        <v>0</v>
      </c>
      <c r="M598" t="n">
        <v>0</v>
      </c>
      <c r="N598" t="n">
        <v>0</v>
      </c>
      <c r="O598" t="n">
        <v>0</v>
      </c>
      <c r="P598" t="n">
        <v>0</v>
      </c>
      <c r="Q598" t="n">
        <v>0</v>
      </c>
      <c r="R598" s="2" t="inlineStr"/>
    </row>
    <row r="599" ht="15" customHeight="1">
      <c r="A599" t="inlineStr">
        <is>
          <t>A 32839-2019</t>
        </is>
      </c>
      <c r="B599" s="1" t="n">
        <v>43648</v>
      </c>
      <c r="C599" s="1" t="n">
        <v>45796</v>
      </c>
      <c r="D599" t="inlineStr">
        <is>
          <t>SKÅNE LÄN</t>
        </is>
      </c>
      <c r="E599" t="inlineStr">
        <is>
          <t>KRISTIANSTAD</t>
        </is>
      </c>
      <c r="G599" t="n">
        <v>3.9</v>
      </c>
      <c r="H599" t="n">
        <v>0</v>
      </c>
      <c r="I599" t="n">
        <v>0</v>
      </c>
      <c r="J599" t="n">
        <v>0</v>
      </c>
      <c r="K599" t="n">
        <v>0</v>
      </c>
      <c r="L599" t="n">
        <v>0</v>
      </c>
      <c r="M599" t="n">
        <v>0</v>
      </c>
      <c r="N599" t="n">
        <v>0</v>
      </c>
      <c r="O599" t="n">
        <v>0</v>
      </c>
      <c r="P599" t="n">
        <v>0</v>
      </c>
      <c r="Q599" t="n">
        <v>0</v>
      </c>
      <c r="R599" s="2" t="inlineStr"/>
    </row>
    <row r="600" ht="15" customHeight="1">
      <c r="A600" t="inlineStr">
        <is>
          <t>A 34714-2019</t>
        </is>
      </c>
      <c r="B600" s="1" t="n">
        <v>43648</v>
      </c>
      <c r="C600" s="1" t="n">
        <v>45796</v>
      </c>
      <c r="D600" t="inlineStr">
        <is>
          <t>SKÅNE LÄN</t>
        </is>
      </c>
      <c r="E600" t="inlineStr">
        <is>
          <t>HÄSSLEHOLM</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34711-2019</t>
        </is>
      </c>
      <c r="B601" s="1" t="n">
        <v>43648</v>
      </c>
      <c r="C601" s="1" t="n">
        <v>45796</v>
      </c>
      <c r="D601" t="inlineStr">
        <is>
          <t>SKÅNE LÄN</t>
        </is>
      </c>
      <c r="E601" t="inlineStr">
        <is>
          <t>HÄSSLEHOLM</t>
        </is>
      </c>
      <c r="F601" t="inlineStr">
        <is>
          <t>Övriga Aktiebolag</t>
        </is>
      </c>
      <c r="G601" t="n">
        <v>1.6</v>
      </c>
      <c r="H601" t="n">
        <v>0</v>
      </c>
      <c r="I601" t="n">
        <v>0</v>
      </c>
      <c r="J601" t="n">
        <v>0</v>
      </c>
      <c r="K601" t="n">
        <v>0</v>
      </c>
      <c r="L601" t="n">
        <v>0</v>
      </c>
      <c r="M601" t="n">
        <v>0</v>
      </c>
      <c r="N601" t="n">
        <v>0</v>
      </c>
      <c r="O601" t="n">
        <v>0</v>
      </c>
      <c r="P601" t="n">
        <v>0</v>
      </c>
      <c r="Q601" t="n">
        <v>0</v>
      </c>
      <c r="R601" s="2" t="inlineStr"/>
    </row>
    <row r="602" ht="15" customHeight="1">
      <c r="A602" t="inlineStr">
        <is>
          <t>A 32999-2019</t>
        </is>
      </c>
      <c r="B602" s="1" t="n">
        <v>43649</v>
      </c>
      <c r="C602" s="1" t="n">
        <v>45796</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33125-2019</t>
        </is>
      </c>
      <c r="B603" s="1" t="n">
        <v>43649</v>
      </c>
      <c r="C603" s="1" t="n">
        <v>45796</v>
      </c>
      <c r="D603" t="inlineStr">
        <is>
          <t>SKÅNE LÄN</t>
        </is>
      </c>
      <c r="E603" t="inlineStr">
        <is>
          <t>OSBY</t>
        </is>
      </c>
      <c r="G603" t="n">
        <v>3.2</v>
      </c>
      <c r="H603" t="n">
        <v>0</v>
      </c>
      <c r="I603" t="n">
        <v>0</v>
      </c>
      <c r="J603" t="n">
        <v>0</v>
      </c>
      <c r="K603" t="n">
        <v>0</v>
      </c>
      <c r="L603" t="n">
        <v>0</v>
      </c>
      <c r="M603" t="n">
        <v>0</v>
      </c>
      <c r="N603" t="n">
        <v>0</v>
      </c>
      <c r="O603" t="n">
        <v>0</v>
      </c>
      <c r="P603" t="n">
        <v>0</v>
      </c>
      <c r="Q603" t="n">
        <v>0</v>
      </c>
      <c r="R603" s="2" t="inlineStr"/>
    </row>
    <row r="604" ht="15" customHeight="1">
      <c r="A604" t="inlineStr">
        <is>
          <t>A 33170-2019</t>
        </is>
      </c>
      <c r="B604" s="1" t="n">
        <v>43649</v>
      </c>
      <c r="C604" s="1" t="n">
        <v>45796</v>
      </c>
      <c r="D604" t="inlineStr">
        <is>
          <t>SKÅNE LÄN</t>
        </is>
      </c>
      <c r="E604" t="inlineStr">
        <is>
          <t>OSBY</t>
        </is>
      </c>
      <c r="G604" t="n">
        <v>1</v>
      </c>
      <c r="H604" t="n">
        <v>0</v>
      </c>
      <c r="I604" t="n">
        <v>0</v>
      </c>
      <c r="J604" t="n">
        <v>0</v>
      </c>
      <c r="K604" t="n">
        <v>0</v>
      </c>
      <c r="L604" t="n">
        <v>0</v>
      </c>
      <c r="M604" t="n">
        <v>0</v>
      </c>
      <c r="N604" t="n">
        <v>0</v>
      </c>
      <c r="O604" t="n">
        <v>0</v>
      </c>
      <c r="P604" t="n">
        <v>0</v>
      </c>
      <c r="Q604" t="n">
        <v>0</v>
      </c>
      <c r="R604" s="2" t="inlineStr"/>
    </row>
    <row r="605" ht="15" customHeight="1">
      <c r="A605" t="inlineStr">
        <is>
          <t>A 32998-2019</t>
        </is>
      </c>
      <c r="B605" s="1" t="n">
        <v>43649</v>
      </c>
      <c r="C605" s="1" t="n">
        <v>45796</v>
      </c>
      <c r="D605" t="inlineStr">
        <is>
          <t>SKÅNE LÄN</t>
        </is>
      </c>
      <c r="E605" t="inlineStr">
        <is>
          <t>HÄSSLEHOLM</t>
        </is>
      </c>
      <c r="G605" t="n">
        <v>3.7</v>
      </c>
      <c r="H605" t="n">
        <v>0</v>
      </c>
      <c r="I605" t="n">
        <v>0</v>
      </c>
      <c r="J605" t="n">
        <v>0</v>
      </c>
      <c r="K605" t="n">
        <v>0</v>
      </c>
      <c r="L605" t="n">
        <v>0</v>
      </c>
      <c r="M605" t="n">
        <v>0</v>
      </c>
      <c r="N605" t="n">
        <v>0</v>
      </c>
      <c r="O605" t="n">
        <v>0</v>
      </c>
      <c r="P605" t="n">
        <v>0</v>
      </c>
      <c r="Q605" t="n">
        <v>0</v>
      </c>
      <c r="R605" s="2" t="inlineStr"/>
    </row>
    <row r="606" ht="15" customHeight="1">
      <c r="A606" t="inlineStr">
        <is>
          <t>A 33258-2019</t>
        </is>
      </c>
      <c r="B606" s="1" t="n">
        <v>43650</v>
      </c>
      <c r="C606" s="1" t="n">
        <v>45796</v>
      </c>
      <c r="D606" t="inlineStr">
        <is>
          <t>SKÅNE LÄN</t>
        </is>
      </c>
      <c r="E606" t="inlineStr">
        <is>
          <t>HÄSSLEHOLM</t>
        </is>
      </c>
      <c r="G606" t="n">
        <v>2</v>
      </c>
      <c r="H606" t="n">
        <v>0</v>
      </c>
      <c r="I606" t="n">
        <v>0</v>
      </c>
      <c r="J606" t="n">
        <v>0</v>
      </c>
      <c r="K606" t="n">
        <v>0</v>
      </c>
      <c r="L606" t="n">
        <v>0</v>
      </c>
      <c r="M606" t="n">
        <v>0</v>
      </c>
      <c r="N606" t="n">
        <v>0</v>
      </c>
      <c r="O606" t="n">
        <v>0</v>
      </c>
      <c r="P606" t="n">
        <v>0</v>
      </c>
      <c r="Q606" t="n">
        <v>0</v>
      </c>
      <c r="R606" s="2" t="inlineStr"/>
    </row>
    <row r="607" ht="15" customHeight="1">
      <c r="A607" t="inlineStr">
        <is>
          <t>A 33344-2019</t>
        </is>
      </c>
      <c r="B607" s="1" t="n">
        <v>43650</v>
      </c>
      <c r="C607" s="1" t="n">
        <v>45796</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33693-2019</t>
        </is>
      </c>
      <c r="B608" s="1" t="n">
        <v>43651</v>
      </c>
      <c r="C608" s="1" t="n">
        <v>45796</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33522-2019</t>
        </is>
      </c>
      <c r="B609" s="1" t="n">
        <v>43651</v>
      </c>
      <c r="C609" s="1" t="n">
        <v>45796</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33691-2019</t>
        </is>
      </c>
      <c r="B610" s="1" t="n">
        <v>43651</v>
      </c>
      <c r="C610" s="1" t="n">
        <v>45796</v>
      </c>
      <c r="D610" t="inlineStr">
        <is>
          <t>SKÅNE LÄN</t>
        </is>
      </c>
      <c r="E610" t="inlineStr">
        <is>
          <t>HÄSSLEHOLM</t>
        </is>
      </c>
      <c r="G610" t="n">
        <v>8</v>
      </c>
      <c r="H610" t="n">
        <v>0</v>
      </c>
      <c r="I610" t="n">
        <v>0</v>
      </c>
      <c r="J610" t="n">
        <v>0</v>
      </c>
      <c r="K610" t="n">
        <v>0</v>
      </c>
      <c r="L610" t="n">
        <v>0</v>
      </c>
      <c r="M610" t="n">
        <v>0</v>
      </c>
      <c r="N610" t="n">
        <v>0</v>
      </c>
      <c r="O610" t="n">
        <v>0</v>
      </c>
      <c r="P610" t="n">
        <v>0</v>
      </c>
      <c r="Q610" t="n">
        <v>0</v>
      </c>
      <c r="R610" s="2" t="inlineStr"/>
    </row>
    <row r="611" ht="15" customHeight="1">
      <c r="A611" t="inlineStr">
        <is>
          <t>A 33526-2019</t>
        </is>
      </c>
      <c r="B611" s="1" t="n">
        <v>43651</v>
      </c>
      <c r="C611" s="1" t="n">
        <v>45796</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35367-2019</t>
        </is>
      </c>
      <c r="B612" s="1" t="n">
        <v>43651</v>
      </c>
      <c r="C612" s="1" t="n">
        <v>45796</v>
      </c>
      <c r="D612" t="inlineStr">
        <is>
          <t>SKÅNE LÄN</t>
        </is>
      </c>
      <c r="E612" t="inlineStr">
        <is>
          <t>YSTAD</t>
        </is>
      </c>
      <c r="G612" t="n">
        <v>2.6</v>
      </c>
      <c r="H612" t="n">
        <v>0</v>
      </c>
      <c r="I612" t="n">
        <v>0</v>
      </c>
      <c r="J612" t="n">
        <v>0</v>
      </c>
      <c r="K612" t="n">
        <v>0</v>
      </c>
      <c r="L612" t="n">
        <v>0</v>
      </c>
      <c r="M612" t="n">
        <v>0</v>
      </c>
      <c r="N612" t="n">
        <v>0</v>
      </c>
      <c r="O612" t="n">
        <v>0</v>
      </c>
      <c r="P612" t="n">
        <v>0</v>
      </c>
      <c r="Q612" t="n">
        <v>0</v>
      </c>
      <c r="R612" s="2" t="inlineStr"/>
    </row>
    <row r="613" ht="15" customHeight="1">
      <c r="A613" t="inlineStr">
        <is>
          <t>A 35437-2019</t>
        </is>
      </c>
      <c r="B613" s="1" t="n">
        <v>43651</v>
      </c>
      <c r="C613" s="1" t="n">
        <v>45796</v>
      </c>
      <c r="D613" t="inlineStr">
        <is>
          <t>SKÅNE LÄN</t>
        </is>
      </c>
      <c r="E613" t="inlineStr">
        <is>
          <t>ESLÖV</t>
        </is>
      </c>
      <c r="G613" t="n">
        <v>11.1</v>
      </c>
      <c r="H613" t="n">
        <v>0</v>
      </c>
      <c r="I613" t="n">
        <v>0</v>
      </c>
      <c r="J613" t="n">
        <v>0</v>
      </c>
      <c r="K613" t="n">
        <v>0</v>
      </c>
      <c r="L613" t="n">
        <v>0</v>
      </c>
      <c r="M613" t="n">
        <v>0</v>
      </c>
      <c r="N613" t="n">
        <v>0</v>
      </c>
      <c r="O613" t="n">
        <v>0</v>
      </c>
      <c r="P613" t="n">
        <v>0</v>
      </c>
      <c r="Q613" t="n">
        <v>0</v>
      </c>
      <c r="R613" s="2" t="inlineStr"/>
    </row>
    <row r="614" ht="15" customHeight="1">
      <c r="A614" t="inlineStr">
        <is>
          <t>A 35427-2019</t>
        </is>
      </c>
      <c r="B614" s="1" t="n">
        <v>43651</v>
      </c>
      <c r="C614" s="1" t="n">
        <v>45796</v>
      </c>
      <c r="D614" t="inlineStr">
        <is>
          <t>SKÅNE LÄN</t>
        </is>
      </c>
      <c r="E614" t="inlineStr">
        <is>
          <t>ESLÖV</t>
        </is>
      </c>
      <c r="G614" t="n">
        <v>6.4</v>
      </c>
      <c r="H614" t="n">
        <v>0</v>
      </c>
      <c r="I614" t="n">
        <v>0</v>
      </c>
      <c r="J614" t="n">
        <v>0</v>
      </c>
      <c r="K614" t="n">
        <v>0</v>
      </c>
      <c r="L614" t="n">
        <v>0</v>
      </c>
      <c r="M614" t="n">
        <v>0</v>
      </c>
      <c r="N614" t="n">
        <v>0</v>
      </c>
      <c r="O614" t="n">
        <v>0</v>
      </c>
      <c r="P614" t="n">
        <v>0</v>
      </c>
      <c r="Q614" t="n">
        <v>0</v>
      </c>
      <c r="R614" s="2" t="inlineStr"/>
    </row>
    <row r="615" ht="15" customHeight="1">
      <c r="A615" t="inlineStr">
        <is>
          <t>A 35430-2019</t>
        </is>
      </c>
      <c r="B615" s="1" t="n">
        <v>43651</v>
      </c>
      <c r="C615" s="1" t="n">
        <v>45796</v>
      </c>
      <c r="D615" t="inlineStr">
        <is>
          <t>SKÅNE LÄN</t>
        </is>
      </c>
      <c r="E615" t="inlineStr">
        <is>
          <t>ESLÖV</t>
        </is>
      </c>
      <c r="G615" t="n">
        <v>3</v>
      </c>
      <c r="H615" t="n">
        <v>0</v>
      </c>
      <c r="I615" t="n">
        <v>0</v>
      </c>
      <c r="J615" t="n">
        <v>0</v>
      </c>
      <c r="K615" t="n">
        <v>0</v>
      </c>
      <c r="L615" t="n">
        <v>0</v>
      </c>
      <c r="M615" t="n">
        <v>0</v>
      </c>
      <c r="N615" t="n">
        <v>0</v>
      </c>
      <c r="O615" t="n">
        <v>0</v>
      </c>
      <c r="P615" t="n">
        <v>0</v>
      </c>
      <c r="Q615" t="n">
        <v>0</v>
      </c>
      <c r="R615" s="2" t="inlineStr"/>
    </row>
    <row r="616" ht="15" customHeight="1">
      <c r="A616" t="inlineStr">
        <is>
          <t>A 33891-2019</t>
        </is>
      </c>
      <c r="B616" s="1" t="n">
        <v>43653</v>
      </c>
      <c r="C616" s="1" t="n">
        <v>45796</v>
      </c>
      <c r="D616" t="inlineStr">
        <is>
          <t>SKÅNE LÄN</t>
        </is>
      </c>
      <c r="E616" t="inlineStr">
        <is>
          <t>KLIPPAN</t>
        </is>
      </c>
      <c r="G616" t="n">
        <v>1.3</v>
      </c>
      <c r="H616" t="n">
        <v>0</v>
      </c>
      <c r="I616" t="n">
        <v>0</v>
      </c>
      <c r="J616" t="n">
        <v>0</v>
      </c>
      <c r="K616" t="n">
        <v>0</v>
      </c>
      <c r="L616" t="n">
        <v>0</v>
      </c>
      <c r="M616" t="n">
        <v>0</v>
      </c>
      <c r="N616" t="n">
        <v>0</v>
      </c>
      <c r="O616" t="n">
        <v>0</v>
      </c>
      <c r="P616" t="n">
        <v>0</v>
      </c>
      <c r="Q616" t="n">
        <v>0</v>
      </c>
      <c r="R616" s="2" t="inlineStr"/>
    </row>
    <row r="617" ht="15" customHeight="1">
      <c r="A617" t="inlineStr">
        <is>
          <t>A 33892-2019</t>
        </is>
      </c>
      <c r="B617" s="1" t="n">
        <v>43653</v>
      </c>
      <c r="C617" s="1" t="n">
        <v>45796</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34073-2019</t>
        </is>
      </c>
      <c r="B618" s="1" t="n">
        <v>43654</v>
      </c>
      <c r="C618" s="1" t="n">
        <v>45796</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34140-2019</t>
        </is>
      </c>
      <c r="B619" s="1" t="n">
        <v>43654</v>
      </c>
      <c r="C619" s="1" t="n">
        <v>45796</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34069-2019</t>
        </is>
      </c>
      <c r="B620" s="1" t="n">
        <v>43654</v>
      </c>
      <c r="C620" s="1" t="n">
        <v>45796</v>
      </c>
      <c r="D620" t="inlineStr">
        <is>
          <t>SKÅNE LÄN</t>
        </is>
      </c>
      <c r="E620" t="inlineStr">
        <is>
          <t>HÄSSLEHOLM</t>
        </is>
      </c>
      <c r="G620" t="n">
        <v>3.3</v>
      </c>
      <c r="H620" t="n">
        <v>0</v>
      </c>
      <c r="I620" t="n">
        <v>0</v>
      </c>
      <c r="J620" t="n">
        <v>0</v>
      </c>
      <c r="K620" t="n">
        <v>0</v>
      </c>
      <c r="L620" t="n">
        <v>0</v>
      </c>
      <c r="M620" t="n">
        <v>0</v>
      </c>
      <c r="N620" t="n">
        <v>0</v>
      </c>
      <c r="O620" t="n">
        <v>0</v>
      </c>
      <c r="P620" t="n">
        <v>0</v>
      </c>
      <c r="Q620" t="n">
        <v>0</v>
      </c>
      <c r="R620" s="2" t="inlineStr"/>
    </row>
    <row r="621" ht="15" customHeight="1">
      <c r="A621" t="inlineStr">
        <is>
          <t>A 34072-2019</t>
        </is>
      </c>
      <c r="B621" s="1" t="n">
        <v>43654</v>
      </c>
      <c r="C621" s="1" t="n">
        <v>45796</v>
      </c>
      <c r="D621" t="inlineStr">
        <is>
          <t>SKÅNE LÄN</t>
        </is>
      </c>
      <c r="E621" t="inlineStr">
        <is>
          <t>HÄSSLEHOLM</t>
        </is>
      </c>
      <c r="G621" t="n">
        <v>4</v>
      </c>
      <c r="H621" t="n">
        <v>0</v>
      </c>
      <c r="I621" t="n">
        <v>0</v>
      </c>
      <c r="J621" t="n">
        <v>0</v>
      </c>
      <c r="K621" t="n">
        <v>0</v>
      </c>
      <c r="L621" t="n">
        <v>0</v>
      </c>
      <c r="M621" t="n">
        <v>0</v>
      </c>
      <c r="N621" t="n">
        <v>0</v>
      </c>
      <c r="O621" t="n">
        <v>0</v>
      </c>
      <c r="P621" t="n">
        <v>0</v>
      </c>
      <c r="Q621" t="n">
        <v>0</v>
      </c>
      <c r="R621" s="2" t="inlineStr"/>
    </row>
    <row r="622" ht="15" customHeight="1">
      <c r="A622" t="inlineStr">
        <is>
          <t>A 34406-2019</t>
        </is>
      </c>
      <c r="B622" s="1" t="n">
        <v>43656</v>
      </c>
      <c r="C622" s="1" t="n">
        <v>45796</v>
      </c>
      <c r="D622" t="inlineStr">
        <is>
          <t>SKÅNE LÄN</t>
        </is>
      </c>
      <c r="E622" t="inlineStr">
        <is>
          <t>ÖSTRA GÖINGE</t>
        </is>
      </c>
      <c r="G622" t="n">
        <v>0.9</v>
      </c>
      <c r="H622" t="n">
        <v>0</v>
      </c>
      <c r="I622" t="n">
        <v>0</v>
      </c>
      <c r="J622" t="n">
        <v>0</v>
      </c>
      <c r="K622" t="n">
        <v>0</v>
      </c>
      <c r="L622" t="n">
        <v>0</v>
      </c>
      <c r="M622" t="n">
        <v>0</v>
      </c>
      <c r="N622" t="n">
        <v>0</v>
      </c>
      <c r="O622" t="n">
        <v>0</v>
      </c>
      <c r="P622" t="n">
        <v>0</v>
      </c>
      <c r="Q622" t="n">
        <v>0</v>
      </c>
      <c r="R622" s="2" t="inlineStr"/>
    </row>
    <row r="623" ht="15" customHeight="1">
      <c r="A623" t="inlineStr">
        <is>
          <t>A 34452-2019</t>
        </is>
      </c>
      <c r="B623" s="1" t="n">
        <v>43656</v>
      </c>
      <c r="C623" s="1" t="n">
        <v>45796</v>
      </c>
      <c r="D623" t="inlineStr">
        <is>
          <t>SKÅNE LÄN</t>
        </is>
      </c>
      <c r="E623" t="inlineStr">
        <is>
          <t>PERSTORP</t>
        </is>
      </c>
      <c r="G623" t="n">
        <v>0.5</v>
      </c>
      <c r="H623" t="n">
        <v>0</v>
      </c>
      <c r="I623" t="n">
        <v>0</v>
      </c>
      <c r="J623" t="n">
        <v>0</v>
      </c>
      <c r="K623" t="n">
        <v>0</v>
      </c>
      <c r="L623" t="n">
        <v>0</v>
      </c>
      <c r="M623" t="n">
        <v>0</v>
      </c>
      <c r="N623" t="n">
        <v>0</v>
      </c>
      <c r="O623" t="n">
        <v>0</v>
      </c>
      <c r="P623" t="n">
        <v>0</v>
      </c>
      <c r="Q623" t="n">
        <v>0</v>
      </c>
      <c r="R623" s="2" t="inlineStr"/>
    </row>
    <row r="624" ht="15" customHeight="1">
      <c r="A624" t="inlineStr">
        <is>
          <t>A 34467-2019</t>
        </is>
      </c>
      <c r="B624" s="1" t="n">
        <v>43656</v>
      </c>
      <c r="C624" s="1" t="n">
        <v>45796</v>
      </c>
      <c r="D624" t="inlineStr">
        <is>
          <t>SKÅNE LÄN</t>
        </is>
      </c>
      <c r="E624" t="inlineStr">
        <is>
          <t>BROMÖLLA</t>
        </is>
      </c>
      <c r="G624" t="n">
        <v>3.9</v>
      </c>
      <c r="H624" t="n">
        <v>0</v>
      </c>
      <c r="I624" t="n">
        <v>0</v>
      </c>
      <c r="J624" t="n">
        <v>0</v>
      </c>
      <c r="K624" t="n">
        <v>0</v>
      </c>
      <c r="L624" t="n">
        <v>0</v>
      </c>
      <c r="M624" t="n">
        <v>0</v>
      </c>
      <c r="N624" t="n">
        <v>0</v>
      </c>
      <c r="O624" t="n">
        <v>0</v>
      </c>
      <c r="P624" t="n">
        <v>0</v>
      </c>
      <c r="Q624" t="n">
        <v>0</v>
      </c>
      <c r="R624" s="2" t="inlineStr"/>
    </row>
    <row r="625" ht="15" customHeight="1">
      <c r="A625" t="inlineStr">
        <is>
          <t>A 34400-2019</t>
        </is>
      </c>
      <c r="B625" s="1" t="n">
        <v>43656</v>
      </c>
      <c r="C625" s="1" t="n">
        <v>45796</v>
      </c>
      <c r="D625" t="inlineStr">
        <is>
          <t>SKÅNE LÄN</t>
        </is>
      </c>
      <c r="E625" t="inlineStr">
        <is>
          <t>ÖSTRA GÖINGE</t>
        </is>
      </c>
      <c r="G625" t="n">
        <v>0.7</v>
      </c>
      <c r="H625" t="n">
        <v>0</v>
      </c>
      <c r="I625" t="n">
        <v>0</v>
      </c>
      <c r="J625" t="n">
        <v>0</v>
      </c>
      <c r="K625" t="n">
        <v>0</v>
      </c>
      <c r="L625" t="n">
        <v>0</v>
      </c>
      <c r="M625" t="n">
        <v>0</v>
      </c>
      <c r="N625" t="n">
        <v>0</v>
      </c>
      <c r="O625" t="n">
        <v>0</v>
      </c>
      <c r="P625" t="n">
        <v>0</v>
      </c>
      <c r="Q625" t="n">
        <v>0</v>
      </c>
      <c r="R625" s="2" t="inlineStr"/>
    </row>
    <row r="626" ht="15" customHeight="1">
      <c r="A626" t="inlineStr">
        <is>
          <t>A 35252-2019</t>
        </is>
      </c>
      <c r="B626" s="1" t="n">
        <v>43656</v>
      </c>
      <c r="C626" s="1" t="n">
        <v>45796</v>
      </c>
      <c r="D626" t="inlineStr">
        <is>
          <t>SKÅNE LÄN</t>
        </is>
      </c>
      <c r="E626" t="inlineStr">
        <is>
          <t>KLIPPAN</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34450-2019</t>
        </is>
      </c>
      <c r="B627" s="1" t="n">
        <v>43656</v>
      </c>
      <c r="C627" s="1" t="n">
        <v>45796</v>
      </c>
      <c r="D627" t="inlineStr">
        <is>
          <t>SKÅNE LÄN</t>
        </is>
      </c>
      <c r="E627" t="inlineStr">
        <is>
          <t>PERSTORP</t>
        </is>
      </c>
      <c r="G627" t="n">
        <v>0.9</v>
      </c>
      <c r="H627" t="n">
        <v>0</v>
      </c>
      <c r="I627" t="n">
        <v>0</v>
      </c>
      <c r="J627" t="n">
        <v>0</v>
      </c>
      <c r="K627" t="n">
        <v>0</v>
      </c>
      <c r="L627" t="n">
        <v>0</v>
      </c>
      <c r="M627" t="n">
        <v>0</v>
      </c>
      <c r="N627" t="n">
        <v>0</v>
      </c>
      <c r="O627" t="n">
        <v>0</v>
      </c>
      <c r="P627" t="n">
        <v>0</v>
      </c>
      <c r="Q627" t="n">
        <v>0</v>
      </c>
      <c r="R627" s="2" t="inlineStr"/>
    </row>
    <row r="628" ht="15" customHeight="1">
      <c r="A628" t="inlineStr">
        <is>
          <t>A 34836-2019</t>
        </is>
      </c>
      <c r="B628" s="1" t="n">
        <v>43658</v>
      </c>
      <c r="C628" s="1" t="n">
        <v>45796</v>
      </c>
      <c r="D628" t="inlineStr">
        <is>
          <t>SKÅNE LÄN</t>
        </is>
      </c>
      <c r="E628" t="inlineStr">
        <is>
          <t>ÖSTRA GÖINGE</t>
        </is>
      </c>
      <c r="G628" t="n">
        <v>1.1</v>
      </c>
      <c r="H628" t="n">
        <v>0</v>
      </c>
      <c r="I628" t="n">
        <v>0</v>
      </c>
      <c r="J628" t="n">
        <v>0</v>
      </c>
      <c r="K628" t="n">
        <v>0</v>
      </c>
      <c r="L628" t="n">
        <v>0</v>
      </c>
      <c r="M628" t="n">
        <v>0</v>
      </c>
      <c r="N628" t="n">
        <v>0</v>
      </c>
      <c r="O628" t="n">
        <v>0</v>
      </c>
      <c r="P628" t="n">
        <v>0</v>
      </c>
      <c r="Q628" t="n">
        <v>0</v>
      </c>
      <c r="R628" s="2" t="inlineStr"/>
    </row>
    <row r="629" ht="15" customHeight="1">
      <c r="A629" t="inlineStr">
        <is>
          <t>A 34858-2019</t>
        </is>
      </c>
      <c r="B629" s="1" t="n">
        <v>43658</v>
      </c>
      <c r="C629" s="1" t="n">
        <v>45796</v>
      </c>
      <c r="D629" t="inlineStr">
        <is>
          <t>SKÅNE LÄN</t>
        </is>
      </c>
      <c r="E629" t="inlineStr">
        <is>
          <t>ÖSTRA GÖINGE</t>
        </is>
      </c>
      <c r="G629" t="n">
        <v>1.8</v>
      </c>
      <c r="H629" t="n">
        <v>0</v>
      </c>
      <c r="I629" t="n">
        <v>0</v>
      </c>
      <c r="J629" t="n">
        <v>0</v>
      </c>
      <c r="K629" t="n">
        <v>0</v>
      </c>
      <c r="L629" t="n">
        <v>0</v>
      </c>
      <c r="M629" t="n">
        <v>0</v>
      </c>
      <c r="N629" t="n">
        <v>0</v>
      </c>
      <c r="O629" t="n">
        <v>0</v>
      </c>
      <c r="P629" t="n">
        <v>0</v>
      </c>
      <c r="Q629" t="n">
        <v>0</v>
      </c>
      <c r="R629" s="2" t="inlineStr"/>
    </row>
    <row r="630" ht="15" customHeight="1">
      <c r="A630" t="inlineStr">
        <is>
          <t>A 34862-2019</t>
        </is>
      </c>
      <c r="B630" s="1" t="n">
        <v>43658</v>
      </c>
      <c r="C630" s="1" t="n">
        <v>45796</v>
      </c>
      <c r="D630" t="inlineStr">
        <is>
          <t>SKÅNE LÄN</t>
        </is>
      </c>
      <c r="E630" t="inlineStr">
        <is>
          <t>ÖSTRA GÖINGE</t>
        </is>
      </c>
      <c r="G630" t="n">
        <v>2.4</v>
      </c>
      <c r="H630" t="n">
        <v>0</v>
      </c>
      <c r="I630" t="n">
        <v>0</v>
      </c>
      <c r="J630" t="n">
        <v>0</v>
      </c>
      <c r="K630" t="n">
        <v>0</v>
      </c>
      <c r="L630" t="n">
        <v>0</v>
      </c>
      <c r="M630" t="n">
        <v>0</v>
      </c>
      <c r="N630" t="n">
        <v>0</v>
      </c>
      <c r="O630" t="n">
        <v>0</v>
      </c>
      <c r="P630" t="n">
        <v>0</v>
      </c>
      <c r="Q630" t="n">
        <v>0</v>
      </c>
      <c r="R630" s="2" t="inlineStr"/>
    </row>
    <row r="631" ht="15" customHeight="1">
      <c r="A631" t="inlineStr">
        <is>
          <t>A 34884-2019</t>
        </is>
      </c>
      <c r="B631" s="1" t="n">
        <v>43658</v>
      </c>
      <c r="C631" s="1" t="n">
        <v>45796</v>
      </c>
      <c r="D631" t="inlineStr">
        <is>
          <t>SKÅNE LÄN</t>
        </is>
      </c>
      <c r="E631" t="inlineStr">
        <is>
          <t>ÖSTRA GÖINGE</t>
        </is>
      </c>
      <c r="G631" t="n">
        <v>1.5</v>
      </c>
      <c r="H631" t="n">
        <v>0</v>
      </c>
      <c r="I631" t="n">
        <v>0</v>
      </c>
      <c r="J631" t="n">
        <v>0</v>
      </c>
      <c r="K631" t="n">
        <v>0</v>
      </c>
      <c r="L631" t="n">
        <v>0</v>
      </c>
      <c r="M631" t="n">
        <v>0</v>
      </c>
      <c r="N631" t="n">
        <v>0</v>
      </c>
      <c r="O631" t="n">
        <v>0</v>
      </c>
      <c r="P631" t="n">
        <v>0</v>
      </c>
      <c r="Q631" t="n">
        <v>0</v>
      </c>
      <c r="R631" s="2" t="inlineStr"/>
    </row>
    <row r="632" ht="15" customHeight="1">
      <c r="A632" t="inlineStr">
        <is>
          <t>A 34827-2019</t>
        </is>
      </c>
      <c r="B632" s="1" t="n">
        <v>43658</v>
      </c>
      <c r="C632" s="1" t="n">
        <v>45796</v>
      </c>
      <c r="D632" t="inlineStr">
        <is>
          <t>SKÅNE LÄN</t>
        </is>
      </c>
      <c r="E632" t="inlineStr">
        <is>
          <t>ÖSTRA GÖINGE</t>
        </is>
      </c>
      <c r="G632" t="n">
        <v>0.5</v>
      </c>
      <c r="H632" t="n">
        <v>0</v>
      </c>
      <c r="I632" t="n">
        <v>0</v>
      </c>
      <c r="J632" t="n">
        <v>0</v>
      </c>
      <c r="K632" t="n">
        <v>0</v>
      </c>
      <c r="L632" t="n">
        <v>0</v>
      </c>
      <c r="M632" t="n">
        <v>0</v>
      </c>
      <c r="N632" t="n">
        <v>0</v>
      </c>
      <c r="O632" t="n">
        <v>0</v>
      </c>
      <c r="P632" t="n">
        <v>0</v>
      </c>
      <c r="Q632" t="n">
        <v>0</v>
      </c>
      <c r="R632" s="2" t="inlineStr"/>
    </row>
    <row r="633" ht="15" customHeight="1">
      <c r="A633" t="inlineStr">
        <is>
          <t>A 36240-2019</t>
        </is>
      </c>
      <c r="B633" s="1" t="n">
        <v>43659</v>
      </c>
      <c r="C633" s="1" t="n">
        <v>45796</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36238-2019</t>
        </is>
      </c>
      <c r="B634" s="1" t="n">
        <v>43659</v>
      </c>
      <c r="C634" s="1" t="n">
        <v>45796</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36243-2019</t>
        </is>
      </c>
      <c r="B635" s="1" t="n">
        <v>43660</v>
      </c>
      <c r="C635" s="1" t="n">
        <v>45796</v>
      </c>
      <c r="D635" t="inlineStr">
        <is>
          <t>SKÅNE LÄN</t>
        </is>
      </c>
      <c r="E635" t="inlineStr">
        <is>
          <t>ÖRKELLJUNGA</t>
        </is>
      </c>
      <c r="G635" t="n">
        <v>2.5</v>
      </c>
      <c r="H635" t="n">
        <v>0</v>
      </c>
      <c r="I635" t="n">
        <v>0</v>
      </c>
      <c r="J635" t="n">
        <v>0</v>
      </c>
      <c r="K635" t="n">
        <v>0</v>
      </c>
      <c r="L635" t="n">
        <v>0</v>
      </c>
      <c r="M635" t="n">
        <v>0</v>
      </c>
      <c r="N635" t="n">
        <v>0</v>
      </c>
      <c r="O635" t="n">
        <v>0</v>
      </c>
      <c r="P635" t="n">
        <v>0</v>
      </c>
      <c r="Q635" t="n">
        <v>0</v>
      </c>
      <c r="R635" s="2" t="inlineStr"/>
    </row>
    <row r="636" ht="15" customHeight="1">
      <c r="A636" t="inlineStr">
        <is>
          <t>A 35343-2019</t>
        </is>
      </c>
      <c r="B636" s="1" t="n">
        <v>43663</v>
      </c>
      <c r="C636" s="1" t="n">
        <v>45796</v>
      </c>
      <c r="D636" t="inlineStr">
        <is>
          <t>SKÅNE LÄN</t>
        </is>
      </c>
      <c r="E636" t="inlineStr">
        <is>
          <t>OSBY</t>
        </is>
      </c>
      <c r="G636" t="n">
        <v>0.3</v>
      </c>
      <c r="H636" t="n">
        <v>0</v>
      </c>
      <c r="I636" t="n">
        <v>0</v>
      </c>
      <c r="J636" t="n">
        <v>0</v>
      </c>
      <c r="K636" t="n">
        <v>0</v>
      </c>
      <c r="L636" t="n">
        <v>0</v>
      </c>
      <c r="M636" t="n">
        <v>0</v>
      </c>
      <c r="N636" t="n">
        <v>0</v>
      </c>
      <c r="O636" t="n">
        <v>0</v>
      </c>
      <c r="P636" t="n">
        <v>0</v>
      </c>
      <c r="Q636" t="n">
        <v>0</v>
      </c>
      <c r="R636" s="2" t="inlineStr"/>
    </row>
    <row r="637" ht="15" customHeight="1">
      <c r="A637" t="inlineStr">
        <is>
          <t>A 36156-2019</t>
        </is>
      </c>
      <c r="B637" s="1" t="n">
        <v>43668</v>
      </c>
      <c r="C637" s="1" t="n">
        <v>45796</v>
      </c>
      <c r="D637" t="inlineStr">
        <is>
          <t>SKÅNE LÄN</t>
        </is>
      </c>
      <c r="E637" t="inlineStr">
        <is>
          <t>KRISTIANSTAD</t>
        </is>
      </c>
      <c r="G637" t="n">
        <v>12.6</v>
      </c>
      <c r="H637" t="n">
        <v>0</v>
      </c>
      <c r="I637" t="n">
        <v>0</v>
      </c>
      <c r="J637" t="n">
        <v>0</v>
      </c>
      <c r="K637" t="n">
        <v>0</v>
      </c>
      <c r="L637" t="n">
        <v>0</v>
      </c>
      <c r="M637" t="n">
        <v>0</v>
      </c>
      <c r="N637" t="n">
        <v>0</v>
      </c>
      <c r="O637" t="n">
        <v>0</v>
      </c>
      <c r="P637" t="n">
        <v>0</v>
      </c>
      <c r="Q637" t="n">
        <v>0</v>
      </c>
      <c r="R637" s="2" t="inlineStr"/>
    </row>
    <row r="638" ht="15" customHeight="1">
      <c r="A638" t="inlineStr">
        <is>
          <t>A 36553-2019</t>
        </is>
      </c>
      <c r="B638" s="1" t="n">
        <v>43668</v>
      </c>
      <c r="C638" s="1" t="n">
        <v>45796</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36550-2019</t>
        </is>
      </c>
      <c r="B639" s="1" t="n">
        <v>43668</v>
      </c>
      <c r="C639" s="1" t="n">
        <v>45796</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36148-2019</t>
        </is>
      </c>
      <c r="B640" s="1" t="n">
        <v>43668</v>
      </c>
      <c r="C640" s="1" t="n">
        <v>45796</v>
      </c>
      <c r="D640" t="inlineStr">
        <is>
          <t>SKÅNE LÄN</t>
        </is>
      </c>
      <c r="E640" t="inlineStr">
        <is>
          <t>BROMÖLLA</t>
        </is>
      </c>
      <c r="G640" t="n">
        <v>4.2</v>
      </c>
      <c r="H640" t="n">
        <v>0</v>
      </c>
      <c r="I640" t="n">
        <v>0</v>
      </c>
      <c r="J640" t="n">
        <v>0</v>
      </c>
      <c r="K640" t="n">
        <v>0</v>
      </c>
      <c r="L640" t="n">
        <v>0</v>
      </c>
      <c r="M640" t="n">
        <v>0</v>
      </c>
      <c r="N640" t="n">
        <v>0</v>
      </c>
      <c r="O640" t="n">
        <v>0</v>
      </c>
      <c r="P640" t="n">
        <v>0</v>
      </c>
      <c r="Q640" t="n">
        <v>0</v>
      </c>
      <c r="R640" s="2" t="inlineStr"/>
    </row>
    <row r="641" ht="15" customHeight="1">
      <c r="A641" t="inlineStr">
        <is>
          <t>A 36288-2019</t>
        </is>
      </c>
      <c r="B641" s="1" t="n">
        <v>43669</v>
      </c>
      <c r="C641" s="1" t="n">
        <v>45796</v>
      </c>
      <c r="D641" t="inlineStr">
        <is>
          <t>SKÅNE LÄN</t>
        </is>
      </c>
      <c r="E641" t="inlineStr">
        <is>
          <t>KRISTIANSTAD</t>
        </is>
      </c>
      <c r="G641" t="n">
        <v>3.1</v>
      </c>
      <c r="H641" t="n">
        <v>0</v>
      </c>
      <c r="I641" t="n">
        <v>0</v>
      </c>
      <c r="J641" t="n">
        <v>0</v>
      </c>
      <c r="K641" t="n">
        <v>0</v>
      </c>
      <c r="L641" t="n">
        <v>0</v>
      </c>
      <c r="M641" t="n">
        <v>0</v>
      </c>
      <c r="N641" t="n">
        <v>0</v>
      </c>
      <c r="O641" t="n">
        <v>0</v>
      </c>
      <c r="P641" t="n">
        <v>0</v>
      </c>
      <c r="Q641" t="n">
        <v>0</v>
      </c>
      <c r="R641" s="2" t="inlineStr"/>
    </row>
    <row r="642" ht="15" customHeight="1">
      <c r="A642" t="inlineStr">
        <is>
          <t>A 36362-2019</t>
        </is>
      </c>
      <c r="B642" s="1" t="n">
        <v>43670</v>
      </c>
      <c r="C642" s="1" t="n">
        <v>45796</v>
      </c>
      <c r="D642" t="inlineStr">
        <is>
          <t>SKÅNE LÄN</t>
        </is>
      </c>
      <c r="E642" t="inlineStr">
        <is>
          <t>KRISTIANSTAD</t>
        </is>
      </c>
      <c r="G642" t="n">
        <v>3.3</v>
      </c>
      <c r="H642" t="n">
        <v>0</v>
      </c>
      <c r="I642" t="n">
        <v>0</v>
      </c>
      <c r="J642" t="n">
        <v>0</v>
      </c>
      <c r="K642" t="n">
        <v>0</v>
      </c>
      <c r="L642" t="n">
        <v>0</v>
      </c>
      <c r="M642" t="n">
        <v>0</v>
      </c>
      <c r="N642" t="n">
        <v>0</v>
      </c>
      <c r="O642" t="n">
        <v>0</v>
      </c>
      <c r="P642" t="n">
        <v>0</v>
      </c>
      <c r="Q642" t="n">
        <v>0</v>
      </c>
      <c r="R642" s="2" t="inlineStr"/>
    </row>
    <row r="643" ht="15" customHeight="1">
      <c r="A643" t="inlineStr">
        <is>
          <t>A 36585-2019</t>
        </is>
      </c>
      <c r="B643" s="1" t="n">
        <v>43671</v>
      </c>
      <c r="C643" s="1" t="n">
        <v>45796</v>
      </c>
      <c r="D643" t="inlineStr">
        <is>
          <t>SKÅNE LÄN</t>
        </is>
      </c>
      <c r="E643" t="inlineStr">
        <is>
          <t>ÖSTRA GÖINGE</t>
        </is>
      </c>
      <c r="G643" t="n">
        <v>3.4</v>
      </c>
      <c r="H643" t="n">
        <v>0</v>
      </c>
      <c r="I643" t="n">
        <v>0</v>
      </c>
      <c r="J643" t="n">
        <v>0</v>
      </c>
      <c r="K643" t="n">
        <v>0</v>
      </c>
      <c r="L643" t="n">
        <v>0</v>
      </c>
      <c r="M643" t="n">
        <v>0</v>
      </c>
      <c r="N643" t="n">
        <v>0</v>
      </c>
      <c r="O643" t="n">
        <v>0</v>
      </c>
      <c r="P643" t="n">
        <v>0</v>
      </c>
      <c r="Q643" t="n">
        <v>0</v>
      </c>
      <c r="R643" s="2" t="inlineStr"/>
    </row>
    <row r="644" ht="15" customHeight="1">
      <c r="A644" t="inlineStr">
        <is>
          <t>A 37189-2019</t>
        </is>
      </c>
      <c r="B644" s="1" t="n">
        <v>43676</v>
      </c>
      <c r="C644" s="1" t="n">
        <v>45796</v>
      </c>
      <c r="D644" t="inlineStr">
        <is>
          <t>SKÅNE LÄN</t>
        </is>
      </c>
      <c r="E644" t="inlineStr">
        <is>
          <t>BJUV</t>
        </is>
      </c>
      <c r="G644" t="n">
        <v>7.4</v>
      </c>
      <c r="H644" t="n">
        <v>0</v>
      </c>
      <c r="I644" t="n">
        <v>0</v>
      </c>
      <c r="J644" t="n">
        <v>0</v>
      </c>
      <c r="K644" t="n">
        <v>0</v>
      </c>
      <c r="L644" t="n">
        <v>0</v>
      </c>
      <c r="M644" t="n">
        <v>0</v>
      </c>
      <c r="N644" t="n">
        <v>0</v>
      </c>
      <c r="O644" t="n">
        <v>0</v>
      </c>
      <c r="P644" t="n">
        <v>0</v>
      </c>
      <c r="Q644" t="n">
        <v>0</v>
      </c>
      <c r="R644" s="2" t="inlineStr"/>
    </row>
    <row r="645" ht="15" customHeight="1">
      <c r="A645" t="inlineStr">
        <is>
          <t>A 37176-2019</t>
        </is>
      </c>
      <c r="B645" s="1" t="n">
        <v>43677</v>
      </c>
      <c r="C645" s="1" t="n">
        <v>45796</v>
      </c>
      <c r="D645" t="inlineStr">
        <is>
          <t>SKÅNE LÄN</t>
        </is>
      </c>
      <c r="E645" t="inlineStr">
        <is>
          <t>HÖÖR</t>
        </is>
      </c>
      <c r="G645" t="n">
        <v>1.7</v>
      </c>
      <c r="H645" t="n">
        <v>0</v>
      </c>
      <c r="I645" t="n">
        <v>0</v>
      </c>
      <c r="J645" t="n">
        <v>0</v>
      </c>
      <c r="K645" t="n">
        <v>0</v>
      </c>
      <c r="L645" t="n">
        <v>0</v>
      </c>
      <c r="M645" t="n">
        <v>0</v>
      </c>
      <c r="N645" t="n">
        <v>0</v>
      </c>
      <c r="O645" t="n">
        <v>0</v>
      </c>
      <c r="P645" t="n">
        <v>0</v>
      </c>
      <c r="Q645" t="n">
        <v>0</v>
      </c>
      <c r="R645" s="2" t="inlineStr"/>
    </row>
    <row r="646" ht="15" customHeight="1">
      <c r="A646" t="inlineStr">
        <is>
          <t>A 37540-2019</t>
        </is>
      </c>
      <c r="B646" s="1" t="n">
        <v>43678</v>
      </c>
      <c r="C646" s="1" t="n">
        <v>45796</v>
      </c>
      <c r="D646" t="inlineStr">
        <is>
          <t>SKÅNE LÄN</t>
        </is>
      </c>
      <c r="E646" t="inlineStr">
        <is>
          <t>HÄSSLEHOLM</t>
        </is>
      </c>
      <c r="G646" t="n">
        <v>7.9</v>
      </c>
      <c r="H646" t="n">
        <v>0</v>
      </c>
      <c r="I646" t="n">
        <v>0</v>
      </c>
      <c r="J646" t="n">
        <v>0</v>
      </c>
      <c r="K646" t="n">
        <v>0</v>
      </c>
      <c r="L646" t="n">
        <v>0</v>
      </c>
      <c r="M646" t="n">
        <v>0</v>
      </c>
      <c r="N646" t="n">
        <v>0</v>
      </c>
      <c r="O646" t="n">
        <v>0</v>
      </c>
      <c r="P646" t="n">
        <v>0</v>
      </c>
      <c r="Q646" t="n">
        <v>0</v>
      </c>
      <c r="R646" s="2" t="inlineStr"/>
    </row>
    <row r="647" ht="15" customHeight="1">
      <c r="A647" t="inlineStr">
        <is>
          <t>A 37487-2019</t>
        </is>
      </c>
      <c r="B647" s="1" t="n">
        <v>43679</v>
      </c>
      <c r="C647" s="1" t="n">
        <v>45796</v>
      </c>
      <c r="D647" t="inlineStr">
        <is>
          <t>SKÅNE LÄN</t>
        </is>
      </c>
      <c r="E647" t="inlineStr">
        <is>
          <t>BROMÖLLA</t>
        </is>
      </c>
      <c r="G647" t="n">
        <v>1.2</v>
      </c>
      <c r="H647" t="n">
        <v>0</v>
      </c>
      <c r="I647" t="n">
        <v>0</v>
      </c>
      <c r="J647" t="n">
        <v>0</v>
      </c>
      <c r="K647" t="n">
        <v>0</v>
      </c>
      <c r="L647" t="n">
        <v>0</v>
      </c>
      <c r="M647" t="n">
        <v>0</v>
      </c>
      <c r="N647" t="n">
        <v>0</v>
      </c>
      <c r="O647" t="n">
        <v>0</v>
      </c>
      <c r="P647" t="n">
        <v>0</v>
      </c>
      <c r="Q647" t="n">
        <v>0</v>
      </c>
      <c r="R647" s="2" t="inlineStr"/>
    </row>
    <row r="648" ht="15" customHeight="1">
      <c r="A648" t="inlineStr">
        <is>
          <t>A 37489-2019</t>
        </is>
      </c>
      <c r="B648" s="1" t="n">
        <v>43679</v>
      </c>
      <c r="C648" s="1" t="n">
        <v>45796</v>
      </c>
      <c r="D648" t="inlineStr">
        <is>
          <t>SKÅNE LÄN</t>
        </is>
      </c>
      <c r="E648" t="inlineStr">
        <is>
          <t>ÖSTRA GÖINGE</t>
        </is>
      </c>
      <c r="G648" t="n">
        <v>0.9</v>
      </c>
      <c r="H648" t="n">
        <v>0</v>
      </c>
      <c r="I648" t="n">
        <v>0</v>
      </c>
      <c r="J648" t="n">
        <v>0</v>
      </c>
      <c r="K648" t="n">
        <v>0</v>
      </c>
      <c r="L648" t="n">
        <v>0</v>
      </c>
      <c r="M648" t="n">
        <v>0</v>
      </c>
      <c r="N648" t="n">
        <v>0</v>
      </c>
      <c r="O648" t="n">
        <v>0</v>
      </c>
      <c r="P648" t="n">
        <v>0</v>
      </c>
      <c r="Q648" t="n">
        <v>0</v>
      </c>
      <c r="R648" s="2" t="inlineStr"/>
    </row>
    <row r="649" ht="15" customHeight="1">
      <c r="A649" t="inlineStr">
        <is>
          <t>A 37668-2019</t>
        </is>
      </c>
      <c r="B649" s="1" t="n">
        <v>43679</v>
      </c>
      <c r="C649" s="1" t="n">
        <v>45796</v>
      </c>
      <c r="D649" t="inlineStr">
        <is>
          <t>SKÅNE LÄN</t>
        </is>
      </c>
      <c r="E649" t="inlineStr">
        <is>
          <t>ÖSTRA GÖINGE</t>
        </is>
      </c>
      <c r="G649" t="n">
        <v>5</v>
      </c>
      <c r="H649" t="n">
        <v>0</v>
      </c>
      <c r="I649" t="n">
        <v>0</v>
      </c>
      <c r="J649" t="n">
        <v>0</v>
      </c>
      <c r="K649" t="n">
        <v>0</v>
      </c>
      <c r="L649" t="n">
        <v>0</v>
      </c>
      <c r="M649" t="n">
        <v>0</v>
      </c>
      <c r="N649" t="n">
        <v>0</v>
      </c>
      <c r="O649" t="n">
        <v>0</v>
      </c>
      <c r="P649" t="n">
        <v>0</v>
      </c>
      <c r="Q649" t="n">
        <v>0</v>
      </c>
      <c r="R649" s="2" t="inlineStr"/>
    </row>
    <row r="650" ht="15" customHeight="1">
      <c r="A650" t="inlineStr">
        <is>
          <t>A 37633-2019</t>
        </is>
      </c>
      <c r="B650" s="1" t="n">
        <v>43679</v>
      </c>
      <c r="C650" s="1" t="n">
        <v>45796</v>
      </c>
      <c r="D650" t="inlineStr">
        <is>
          <t>SKÅNE LÄN</t>
        </is>
      </c>
      <c r="E650" t="inlineStr">
        <is>
          <t>HÖÖR</t>
        </is>
      </c>
      <c r="G650" t="n">
        <v>0.9</v>
      </c>
      <c r="H650" t="n">
        <v>0</v>
      </c>
      <c r="I650" t="n">
        <v>0</v>
      </c>
      <c r="J650" t="n">
        <v>0</v>
      </c>
      <c r="K650" t="n">
        <v>0</v>
      </c>
      <c r="L650" t="n">
        <v>0</v>
      </c>
      <c r="M650" t="n">
        <v>0</v>
      </c>
      <c r="N650" t="n">
        <v>0</v>
      </c>
      <c r="O650" t="n">
        <v>0</v>
      </c>
      <c r="P650" t="n">
        <v>0</v>
      </c>
      <c r="Q650" t="n">
        <v>0</v>
      </c>
      <c r="R650" s="2" t="inlineStr"/>
    </row>
    <row r="651" ht="15" customHeight="1">
      <c r="A651" t="inlineStr">
        <is>
          <t>A 37598-2019</t>
        </is>
      </c>
      <c r="B651" s="1" t="n">
        <v>43680</v>
      </c>
      <c r="C651" s="1" t="n">
        <v>45796</v>
      </c>
      <c r="D651" t="inlineStr">
        <is>
          <t>SKÅNE LÄN</t>
        </is>
      </c>
      <c r="E651" t="inlineStr">
        <is>
          <t>OSBY</t>
        </is>
      </c>
      <c r="F651" t="inlineStr">
        <is>
          <t>Kyrkan</t>
        </is>
      </c>
      <c r="G651" t="n">
        <v>4.1</v>
      </c>
      <c r="H651" t="n">
        <v>0</v>
      </c>
      <c r="I651" t="n">
        <v>0</v>
      </c>
      <c r="J651" t="n">
        <v>0</v>
      </c>
      <c r="K651" t="n">
        <v>0</v>
      </c>
      <c r="L651" t="n">
        <v>0</v>
      </c>
      <c r="M651" t="n">
        <v>0</v>
      </c>
      <c r="N651" t="n">
        <v>0</v>
      </c>
      <c r="O651" t="n">
        <v>0</v>
      </c>
      <c r="P651" t="n">
        <v>0</v>
      </c>
      <c r="Q651" t="n">
        <v>0</v>
      </c>
      <c r="R651" s="2" t="inlineStr"/>
    </row>
    <row r="652" ht="15" customHeight="1">
      <c r="A652" t="inlineStr">
        <is>
          <t>A 37595-2019</t>
        </is>
      </c>
      <c r="B652" s="1" t="n">
        <v>43680</v>
      </c>
      <c r="C652" s="1" t="n">
        <v>45796</v>
      </c>
      <c r="D652" t="inlineStr">
        <is>
          <t>SKÅNE LÄN</t>
        </is>
      </c>
      <c r="E652" t="inlineStr">
        <is>
          <t>OSBY</t>
        </is>
      </c>
      <c r="F652" t="inlineStr">
        <is>
          <t>Kyrkan</t>
        </is>
      </c>
      <c r="G652" t="n">
        <v>14.2</v>
      </c>
      <c r="H652" t="n">
        <v>0</v>
      </c>
      <c r="I652" t="n">
        <v>0</v>
      </c>
      <c r="J652" t="n">
        <v>0</v>
      </c>
      <c r="K652" t="n">
        <v>0</v>
      </c>
      <c r="L652" t="n">
        <v>0</v>
      </c>
      <c r="M652" t="n">
        <v>0</v>
      </c>
      <c r="N652" t="n">
        <v>0</v>
      </c>
      <c r="O652" t="n">
        <v>0</v>
      </c>
      <c r="P652" t="n">
        <v>0</v>
      </c>
      <c r="Q652" t="n">
        <v>0</v>
      </c>
      <c r="R652" s="2" t="inlineStr"/>
    </row>
    <row r="653" ht="15" customHeight="1">
      <c r="A653" t="inlineStr">
        <is>
          <t>A 37761-2019</t>
        </is>
      </c>
      <c r="B653" s="1" t="n">
        <v>43682</v>
      </c>
      <c r="C653" s="1" t="n">
        <v>45796</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37836-2019</t>
        </is>
      </c>
      <c r="B654" s="1" t="n">
        <v>43682</v>
      </c>
      <c r="C654" s="1" t="n">
        <v>45796</v>
      </c>
      <c r="D654" t="inlineStr">
        <is>
          <t>SKÅNE LÄN</t>
        </is>
      </c>
      <c r="E654" t="inlineStr">
        <is>
          <t>KRISTIANSTAD</t>
        </is>
      </c>
      <c r="G654" t="n">
        <v>1.7</v>
      </c>
      <c r="H654" t="n">
        <v>0</v>
      </c>
      <c r="I654" t="n">
        <v>0</v>
      </c>
      <c r="J654" t="n">
        <v>0</v>
      </c>
      <c r="K654" t="n">
        <v>0</v>
      </c>
      <c r="L654" t="n">
        <v>0</v>
      </c>
      <c r="M654" t="n">
        <v>0</v>
      </c>
      <c r="N654" t="n">
        <v>0</v>
      </c>
      <c r="O654" t="n">
        <v>0</v>
      </c>
      <c r="P654" t="n">
        <v>0</v>
      </c>
      <c r="Q654" t="n">
        <v>0</v>
      </c>
      <c r="R654" s="2" t="inlineStr"/>
    </row>
    <row r="655" ht="15" customHeight="1">
      <c r="A655" t="inlineStr">
        <is>
          <t>A 37765-2019</t>
        </is>
      </c>
      <c r="B655" s="1" t="n">
        <v>43682</v>
      </c>
      <c r="C655" s="1" t="n">
        <v>45796</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37871-2019</t>
        </is>
      </c>
      <c r="B656" s="1" t="n">
        <v>43682</v>
      </c>
      <c r="C656" s="1" t="n">
        <v>45796</v>
      </c>
      <c r="D656" t="inlineStr">
        <is>
          <t>SKÅNE LÄN</t>
        </is>
      </c>
      <c r="E656" t="inlineStr">
        <is>
          <t>KRISTIANSTAD</t>
        </is>
      </c>
      <c r="G656" t="n">
        <v>3.5</v>
      </c>
      <c r="H656" t="n">
        <v>0</v>
      </c>
      <c r="I656" t="n">
        <v>0</v>
      </c>
      <c r="J656" t="n">
        <v>0</v>
      </c>
      <c r="K656" t="n">
        <v>0</v>
      </c>
      <c r="L656" t="n">
        <v>0</v>
      </c>
      <c r="M656" t="n">
        <v>0</v>
      </c>
      <c r="N656" t="n">
        <v>0</v>
      </c>
      <c r="O656" t="n">
        <v>0</v>
      </c>
      <c r="P656" t="n">
        <v>0</v>
      </c>
      <c r="Q656" t="n">
        <v>0</v>
      </c>
      <c r="R656" s="2" t="inlineStr"/>
    </row>
    <row r="657" ht="15" customHeight="1">
      <c r="A657" t="inlineStr">
        <is>
          <t>A 38450-2019</t>
        </is>
      </c>
      <c r="B657" s="1" t="n">
        <v>43683</v>
      </c>
      <c r="C657" s="1" t="n">
        <v>45796</v>
      </c>
      <c r="D657" t="inlineStr">
        <is>
          <t>SKÅNE LÄN</t>
        </is>
      </c>
      <c r="E657" t="inlineStr">
        <is>
          <t>ÅSTORP</t>
        </is>
      </c>
      <c r="G657" t="n">
        <v>0.9</v>
      </c>
      <c r="H657" t="n">
        <v>0</v>
      </c>
      <c r="I657" t="n">
        <v>0</v>
      </c>
      <c r="J657" t="n">
        <v>0</v>
      </c>
      <c r="K657" t="n">
        <v>0</v>
      </c>
      <c r="L657" t="n">
        <v>0</v>
      </c>
      <c r="M657" t="n">
        <v>0</v>
      </c>
      <c r="N657" t="n">
        <v>0</v>
      </c>
      <c r="O657" t="n">
        <v>0</v>
      </c>
      <c r="P657" t="n">
        <v>0</v>
      </c>
      <c r="Q657" t="n">
        <v>0</v>
      </c>
      <c r="R657" s="2" t="inlineStr"/>
    </row>
    <row r="658" ht="15" customHeight="1">
      <c r="A658" t="inlineStr">
        <is>
          <t>A 38634-2019</t>
        </is>
      </c>
      <c r="B658" s="1" t="n">
        <v>43686</v>
      </c>
      <c r="C658" s="1" t="n">
        <v>45796</v>
      </c>
      <c r="D658" t="inlineStr">
        <is>
          <t>SKÅNE LÄN</t>
        </is>
      </c>
      <c r="E658" t="inlineStr">
        <is>
          <t>ÖSTRA GÖINGE</t>
        </is>
      </c>
      <c r="G658" t="n">
        <v>1.2</v>
      </c>
      <c r="H658" t="n">
        <v>0</v>
      </c>
      <c r="I658" t="n">
        <v>0</v>
      </c>
      <c r="J658" t="n">
        <v>0</v>
      </c>
      <c r="K658" t="n">
        <v>0</v>
      </c>
      <c r="L658" t="n">
        <v>0</v>
      </c>
      <c r="M658" t="n">
        <v>0</v>
      </c>
      <c r="N658" t="n">
        <v>0</v>
      </c>
      <c r="O658" t="n">
        <v>0</v>
      </c>
      <c r="P658" t="n">
        <v>0</v>
      </c>
      <c r="Q658" t="n">
        <v>0</v>
      </c>
      <c r="R658" s="2" t="inlineStr"/>
    </row>
    <row r="659" ht="15" customHeight="1">
      <c r="A659" t="inlineStr">
        <is>
          <t>A 38616-2019</t>
        </is>
      </c>
      <c r="B659" s="1" t="n">
        <v>43686</v>
      </c>
      <c r="C659" s="1" t="n">
        <v>45796</v>
      </c>
      <c r="D659" t="inlineStr">
        <is>
          <t>SKÅNE LÄN</t>
        </is>
      </c>
      <c r="E659" t="inlineStr">
        <is>
          <t>ÖSTRA GÖINGE</t>
        </is>
      </c>
      <c r="G659" t="n">
        <v>2</v>
      </c>
      <c r="H659" t="n">
        <v>0</v>
      </c>
      <c r="I659" t="n">
        <v>0</v>
      </c>
      <c r="J659" t="n">
        <v>0</v>
      </c>
      <c r="K659" t="n">
        <v>0</v>
      </c>
      <c r="L659" t="n">
        <v>0</v>
      </c>
      <c r="M659" t="n">
        <v>0</v>
      </c>
      <c r="N659" t="n">
        <v>0</v>
      </c>
      <c r="O659" t="n">
        <v>0</v>
      </c>
      <c r="P659" t="n">
        <v>0</v>
      </c>
      <c r="Q659" t="n">
        <v>0</v>
      </c>
      <c r="R659" s="2" t="inlineStr"/>
    </row>
    <row r="660" ht="15" customHeight="1">
      <c r="A660" t="inlineStr">
        <is>
          <t>A 38673-2019</t>
        </is>
      </c>
      <c r="B660" s="1" t="n">
        <v>43686</v>
      </c>
      <c r="C660" s="1" t="n">
        <v>45796</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39212-2019</t>
        </is>
      </c>
      <c r="B661" s="1" t="n">
        <v>43686</v>
      </c>
      <c r="C661" s="1" t="n">
        <v>45796</v>
      </c>
      <c r="D661" t="inlineStr">
        <is>
          <t>SKÅNE LÄN</t>
        </is>
      </c>
      <c r="E661" t="inlineStr">
        <is>
          <t>TOMELILLA</t>
        </is>
      </c>
      <c r="G661" t="n">
        <v>1.8</v>
      </c>
      <c r="H661" t="n">
        <v>0</v>
      </c>
      <c r="I661" t="n">
        <v>0</v>
      </c>
      <c r="J661" t="n">
        <v>0</v>
      </c>
      <c r="K661" t="n">
        <v>0</v>
      </c>
      <c r="L661" t="n">
        <v>0</v>
      </c>
      <c r="M661" t="n">
        <v>0</v>
      </c>
      <c r="N661" t="n">
        <v>0</v>
      </c>
      <c r="O661" t="n">
        <v>0</v>
      </c>
      <c r="P661" t="n">
        <v>0</v>
      </c>
      <c r="Q661" t="n">
        <v>0</v>
      </c>
      <c r="R661" s="2" t="inlineStr"/>
    </row>
    <row r="662" ht="15" customHeight="1">
      <c r="A662" t="inlineStr">
        <is>
          <t>A 38805-2019</t>
        </is>
      </c>
      <c r="B662" s="1" t="n">
        <v>43688</v>
      </c>
      <c r="C662" s="1" t="n">
        <v>45796</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38806-2019</t>
        </is>
      </c>
      <c r="B663" s="1" t="n">
        <v>43688</v>
      </c>
      <c r="C663" s="1" t="n">
        <v>45796</v>
      </c>
      <c r="D663" t="inlineStr">
        <is>
          <t>SKÅNE LÄN</t>
        </is>
      </c>
      <c r="E663" t="inlineStr">
        <is>
          <t>HÄSSLEHOLM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38808-2019</t>
        </is>
      </c>
      <c r="B664" s="1" t="n">
        <v>43688</v>
      </c>
      <c r="C664" s="1" t="n">
        <v>45796</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38817-2019</t>
        </is>
      </c>
      <c r="B665" s="1" t="n">
        <v>43689</v>
      </c>
      <c r="C665" s="1" t="n">
        <v>45796</v>
      </c>
      <c r="D665" t="inlineStr">
        <is>
          <t>SKÅNE LÄN</t>
        </is>
      </c>
      <c r="E665" t="inlineStr">
        <is>
          <t>OSBY</t>
        </is>
      </c>
      <c r="G665" t="n">
        <v>0.9</v>
      </c>
      <c r="H665" t="n">
        <v>0</v>
      </c>
      <c r="I665" t="n">
        <v>0</v>
      </c>
      <c r="J665" t="n">
        <v>0</v>
      </c>
      <c r="K665" t="n">
        <v>0</v>
      </c>
      <c r="L665" t="n">
        <v>0</v>
      </c>
      <c r="M665" t="n">
        <v>0</v>
      </c>
      <c r="N665" t="n">
        <v>0</v>
      </c>
      <c r="O665" t="n">
        <v>0</v>
      </c>
      <c r="P665" t="n">
        <v>0</v>
      </c>
      <c r="Q665" t="n">
        <v>0</v>
      </c>
      <c r="R665" s="2" t="inlineStr"/>
    </row>
    <row r="666" ht="15" customHeight="1">
      <c r="A666" t="inlineStr">
        <is>
          <t>A 39817-2019</t>
        </is>
      </c>
      <c r="B666" s="1" t="n">
        <v>43689</v>
      </c>
      <c r="C666" s="1" t="n">
        <v>45796</v>
      </c>
      <c r="D666" t="inlineStr">
        <is>
          <t>SKÅNE LÄN</t>
        </is>
      </c>
      <c r="E666" t="inlineStr">
        <is>
          <t>ESLÖV</t>
        </is>
      </c>
      <c r="G666" t="n">
        <v>1.5</v>
      </c>
      <c r="H666" t="n">
        <v>0</v>
      </c>
      <c r="I666" t="n">
        <v>0</v>
      </c>
      <c r="J666" t="n">
        <v>0</v>
      </c>
      <c r="K666" t="n">
        <v>0</v>
      </c>
      <c r="L666" t="n">
        <v>0</v>
      </c>
      <c r="M666" t="n">
        <v>0</v>
      </c>
      <c r="N666" t="n">
        <v>0</v>
      </c>
      <c r="O666" t="n">
        <v>0</v>
      </c>
      <c r="P666" t="n">
        <v>0</v>
      </c>
      <c r="Q666" t="n">
        <v>0</v>
      </c>
      <c r="R666" s="2" t="inlineStr"/>
    </row>
    <row r="667" ht="15" customHeight="1">
      <c r="A667" t="inlineStr">
        <is>
          <t>A 39830-2019</t>
        </is>
      </c>
      <c r="B667" s="1" t="n">
        <v>43689</v>
      </c>
      <c r="C667" s="1" t="n">
        <v>45796</v>
      </c>
      <c r="D667" t="inlineStr">
        <is>
          <t>SKÅNE LÄN</t>
        </is>
      </c>
      <c r="E667" t="inlineStr">
        <is>
          <t>YSTAD</t>
        </is>
      </c>
      <c r="G667" t="n">
        <v>0.8</v>
      </c>
      <c r="H667" t="n">
        <v>0</v>
      </c>
      <c r="I667" t="n">
        <v>0</v>
      </c>
      <c r="J667" t="n">
        <v>0</v>
      </c>
      <c r="K667" t="n">
        <v>0</v>
      </c>
      <c r="L667" t="n">
        <v>0</v>
      </c>
      <c r="M667" t="n">
        <v>0</v>
      </c>
      <c r="N667" t="n">
        <v>0</v>
      </c>
      <c r="O667" t="n">
        <v>0</v>
      </c>
      <c r="P667" t="n">
        <v>0</v>
      </c>
      <c r="Q667" t="n">
        <v>0</v>
      </c>
      <c r="R667" s="2" t="inlineStr"/>
    </row>
    <row r="668" ht="15" customHeight="1">
      <c r="A668" t="inlineStr">
        <is>
          <t>A 39780-2019</t>
        </is>
      </c>
      <c r="B668" s="1" t="n">
        <v>43689</v>
      </c>
      <c r="C668" s="1" t="n">
        <v>45796</v>
      </c>
      <c r="D668" t="inlineStr">
        <is>
          <t>SKÅNE LÄN</t>
        </is>
      </c>
      <c r="E668" t="inlineStr">
        <is>
          <t>SJÖBO</t>
        </is>
      </c>
      <c r="G668" t="n">
        <v>2.5</v>
      </c>
      <c r="H668" t="n">
        <v>0</v>
      </c>
      <c r="I668" t="n">
        <v>0</v>
      </c>
      <c r="J668" t="n">
        <v>0</v>
      </c>
      <c r="K668" t="n">
        <v>0</v>
      </c>
      <c r="L668" t="n">
        <v>0</v>
      </c>
      <c r="M668" t="n">
        <v>0</v>
      </c>
      <c r="N668" t="n">
        <v>0</v>
      </c>
      <c r="O668" t="n">
        <v>0</v>
      </c>
      <c r="P668" t="n">
        <v>0</v>
      </c>
      <c r="Q668" t="n">
        <v>0</v>
      </c>
      <c r="R668" s="2" t="inlineStr"/>
    </row>
    <row r="669" ht="15" customHeight="1">
      <c r="A669" t="inlineStr">
        <is>
          <t>A 39790-2019</t>
        </is>
      </c>
      <c r="B669" s="1" t="n">
        <v>43689</v>
      </c>
      <c r="C669" s="1" t="n">
        <v>45796</v>
      </c>
      <c r="D669" t="inlineStr">
        <is>
          <t>SKÅNE LÄN</t>
        </is>
      </c>
      <c r="E669" t="inlineStr">
        <is>
          <t>KRISTIANSTAD</t>
        </is>
      </c>
      <c r="G669" t="n">
        <v>2.9</v>
      </c>
      <c r="H669" t="n">
        <v>0</v>
      </c>
      <c r="I669" t="n">
        <v>0</v>
      </c>
      <c r="J669" t="n">
        <v>0</v>
      </c>
      <c r="K669" t="n">
        <v>0</v>
      </c>
      <c r="L669" t="n">
        <v>0</v>
      </c>
      <c r="M669" t="n">
        <v>0</v>
      </c>
      <c r="N669" t="n">
        <v>0</v>
      </c>
      <c r="O669" t="n">
        <v>0</v>
      </c>
      <c r="P669" t="n">
        <v>0</v>
      </c>
      <c r="Q669" t="n">
        <v>0</v>
      </c>
      <c r="R669" s="2" t="inlineStr"/>
    </row>
    <row r="670" ht="15" customHeight="1">
      <c r="A670" t="inlineStr">
        <is>
          <t>A 39502-2019</t>
        </is>
      </c>
      <c r="B670" s="1" t="n">
        <v>43691</v>
      </c>
      <c r="C670" s="1" t="n">
        <v>45796</v>
      </c>
      <c r="D670" t="inlineStr">
        <is>
          <t>SKÅNE LÄN</t>
        </is>
      </c>
      <c r="E670" t="inlineStr">
        <is>
          <t>HÄSSLEHOLM</t>
        </is>
      </c>
      <c r="G670" t="n">
        <v>3.8</v>
      </c>
      <c r="H670" t="n">
        <v>0</v>
      </c>
      <c r="I670" t="n">
        <v>0</v>
      </c>
      <c r="J670" t="n">
        <v>0</v>
      </c>
      <c r="K670" t="n">
        <v>0</v>
      </c>
      <c r="L670" t="n">
        <v>0</v>
      </c>
      <c r="M670" t="n">
        <v>0</v>
      </c>
      <c r="N670" t="n">
        <v>0</v>
      </c>
      <c r="O670" t="n">
        <v>0</v>
      </c>
      <c r="P670" t="n">
        <v>0</v>
      </c>
      <c r="Q670" t="n">
        <v>0</v>
      </c>
      <c r="R670" s="2" t="inlineStr"/>
    </row>
    <row r="671" ht="15" customHeight="1">
      <c r="A671" t="inlineStr">
        <is>
          <t>A 39507-2019</t>
        </is>
      </c>
      <c r="B671" s="1" t="n">
        <v>43691</v>
      </c>
      <c r="C671" s="1" t="n">
        <v>45796</v>
      </c>
      <c r="D671" t="inlineStr">
        <is>
          <t>SKÅNE LÄN</t>
        </is>
      </c>
      <c r="E671" t="inlineStr">
        <is>
          <t>HÄSSLEHOLM</t>
        </is>
      </c>
      <c r="G671" t="n">
        <v>5.7</v>
      </c>
      <c r="H671" t="n">
        <v>0</v>
      </c>
      <c r="I671" t="n">
        <v>0</v>
      </c>
      <c r="J671" t="n">
        <v>0</v>
      </c>
      <c r="K671" t="n">
        <v>0</v>
      </c>
      <c r="L671" t="n">
        <v>0</v>
      </c>
      <c r="M671" t="n">
        <v>0</v>
      </c>
      <c r="N671" t="n">
        <v>0</v>
      </c>
      <c r="O671" t="n">
        <v>0</v>
      </c>
      <c r="P671" t="n">
        <v>0</v>
      </c>
      <c r="Q671" t="n">
        <v>0</v>
      </c>
      <c r="R671" s="2" t="inlineStr"/>
    </row>
    <row r="672" ht="15" customHeight="1">
      <c r="A672" t="inlineStr">
        <is>
          <t>A 40192-2019</t>
        </is>
      </c>
      <c r="B672" s="1" t="n">
        <v>43691</v>
      </c>
      <c r="C672" s="1" t="n">
        <v>45796</v>
      </c>
      <c r="D672" t="inlineStr">
        <is>
          <t>SKÅNE LÄN</t>
        </is>
      </c>
      <c r="E672" t="inlineStr">
        <is>
          <t>KLIPPAN</t>
        </is>
      </c>
      <c r="G672" t="n">
        <v>2.8</v>
      </c>
      <c r="H672" t="n">
        <v>0</v>
      </c>
      <c r="I672" t="n">
        <v>0</v>
      </c>
      <c r="J672" t="n">
        <v>0</v>
      </c>
      <c r="K672" t="n">
        <v>0</v>
      </c>
      <c r="L672" t="n">
        <v>0</v>
      </c>
      <c r="M672" t="n">
        <v>0</v>
      </c>
      <c r="N672" t="n">
        <v>0</v>
      </c>
      <c r="O672" t="n">
        <v>0</v>
      </c>
      <c r="P672" t="n">
        <v>0</v>
      </c>
      <c r="Q672" t="n">
        <v>0</v>
      </c>
      <c r="R672" s="2" t="inlineStr"/>
    </row>
    <row r="673" ht="15" customHeight="1">
      <c r="A673" t="inlineStr">
        <is>
          <t>A 39884-2019</t>
        </is>
      </c>
      <c r="B673" s="1" t="n">
        <v>43692</v>
      </c>
      <c r="C673" s="1" t="n">
        <v>45796</v>
      </c>
      <c r="D673" t="inlineStr">
        <is>
          <t>SKÅNE LÄN</t>
        </is>
      </c>
      <c r="E673" t="inlineStr">
        <is>
          <t>TOMELILLA</t>
        </is>
      </c>
      <c r="F673" t="inlineStr">
        <is>
          <t>Övriga Aktiebolag</t>
        </is>
      </c>
      <c r="G673" t="n">
        <v>5.8</v>
      </c>
      <c r="H673" t="n">
        <v>0</v>
      </c>
      <c r="I673" t="n">
        <v>0</v>
      </c>
      <c r="J673" t="n">
        <v>0</v>
      </c>
      <c r="K673" t="n">
        <v>0</v>
      </c>
      <c r="L673" t="n">
        <v>0</v>
      </c>
      <c r="M673" t="n">
        <v>0</v>
      </c>
      <c r="N673" t="n">
        <v>0</v>
      </c>
      <c r="O673" t="n">
        <v>0</v>
      </c>
      <c r="P673" t="n">
        <v>0</v>
      </c>
      <c r="Q673" t="n">
        <v>0</v>
      </c>
      <c r="R673" s="2" t="inlineStr"/>
    </row>
    <row r="674" ht="15" customHeight="1">
      <c r="A674" t="inlineStr">
        <is>
          <t>A 40847-2019</t>
        </is>
      </c>
      <c r="B674" s="1" t="n">
        <v>43692</v>
      </c>
      <c r="C674" s="1" t="n">
        <v>45796</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41164-2019</t>
        </is>
      </c>
      <c r="B675" s="1" t="n">
        <v>43693</v>
      </c>
      <c r="C675" s="1" t="n">
        <v>45796</v>
      </c>
      <c r="D675" t="inlineStr">
        <is>
          <t>SKÅNE LÄN</t>
        </is>
      </c>
      <c r="E675" t="inlineStr">
        <is>
          <t>KRISTIANSTAD</t>
        </is>
      </c>
      <c r="G675" t="n">
        <v>6.1</v>
      </c>
      <c r="H675" t="n">
        <v>0</v>
      </c>
      <c r="I675" t="n">
        <v>0</v>
      </c>
      <c r="J675" t="n">
        <v>0</v>
      </c>
      <c r="K675" t="n">
        <v>0</v>
      </c>
      <c r="L675" t="n">
        <v>0</v>
      </c>
      <c r="M675" t="n">
        <v>0</v>
      </c>
      <c r="N675" t="n">
        <v>0</v>
      </c>
      <c r="O675" t="n">
        <v>0</v>
      </c>
      <c r="P675" t="n">
        <v>0</v>
      </c>
      <c r="Q675" t="n">
        <v>0</v>
      </c>
      <c r="R675" s="2" t="inlineStr"/>
    </row>
    <row r="676" ht="15" customHeight="1">
      <c r="A676" t="inlineStr">
        <is>
          <t>A 40887-2019</t>
        </is>
      </c>
      <c r="B676" s="1" t="n">
        <v>43693</v>
      </c>
      <c r="C676" s="1" t="n">
        <v>45796</v>
      </c>
      <c r="D676" t="inlineStr">
        <is>
          <t>SKÅNE LÄN</t>
        </is>
      </c>
      <c r="E676" t="inlineStr">
        <is>
          <t>HÖÖR</t>
        </is>
      </c>
      <c r="G676" t="n">
        <v>1.4</v>
      </c>
      <c r="H676" t="n">
        <v>0</v>
      </c>
      <c r="I676" t="n">
        <v>0</v>
      </c>
      <c r="J676" t="n">
        <v>0</v>
      </c>
      <c r="K676" t="n">
        <v>0</v>
      </c>
      <c r="L676" t="n">
        <v>0</v>
      </c>
      <c r="M676" t="n">
        <v>0</v>
      </c>
      <c r="N676" t="n">
        <v>0</v>
      </c>
      <c r="O676" t="n">
        <v>0</v>
      </c>
      <c r="P676" t="n">
        <v>0</v>
      </c>
      <c r="Q676" t="n">
        <v>0</v>
      </c>
      <c r="R676" s="2" t="inlineStr"/>
    </row>
    <row r="677" ht="15" customHeight="1">
      <c r="A677" t="inlineStr">
        <is>
          <t>A 40262-2019</t>
        </is>
      </c>
      <c r="B677" s="1" t="n">
        <v>43695</v>
      </c>
      <c r="C677" s="1" t="n">
        <v>45796</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40271-2019</t>
        </is>
      </c>
      <c r="B678" s="1" t="n">
        <v>43695</v>
      </c>
      <c r="C678" s="1" t="n">
        <v>45796</v>
      </c>
      <c r="D678" t="inlineStr">
        <is>
          <t>SKÅNE LÄN</t>
        </is>
      </c>
      <c r="E678" t="inlineStr">
        <is>
          <t>KLIPPAN</t>
        </is>
      </c>
      <c r="G678" t="n">
        <v>1</v>
      </c>
      <c r="H678" t="n">
        <v>0</v>
      </c>
      <c r="I678" t="n">
        <v>0</v>
      </c>
      <c r="J678" t="n">
        <v>0</v>
      </c>
      <c r="K678" t="n">
        <v>0</v>
      </c>
      <c r="L678" t="n">
        <v>0</v>
      </c>
      <c r="M678" t="n">
        <v>0</v>
      </c>
      <c r="N678" t="n">
        <v>0</v>
      </c>
      <c r="O678" t="n">
        <v>0</v>
      </c>
      <c r="P678" t="n">
        <v>0</v>
      </c>
      <c r="Q678" t="n">
        <v>0</v>
      </c>
      <c r="R678" s="2" t="inlineStr"/>
    </row>
    <row r="679" ht="15" customHeight="1">
      <c r="A679" t="inlineStr">
        <is>
          <t>A 40274-2019</t>
        </is>
      </c>
      <c r="B679" s="1" t="n">
        <v>43696</v>
      </c>
      <c r="C679" s="1" t="n">
        <v>45796</v>
      </c>
      <c r="D679" t="inlineStr">
        <is>
          <t>SKÅNE LÄN</t>
        </is>
      </c>
      <c r="E679" t="inlineStr">
        <is>
          <t>ÖSTRA GÖINGE</t>
        </is>
      </c>
      <c r="G679" t="n">
        <v>0.4</v>
      </c>
      <c r="H679" t="n">
        <v>0</v>
      </c>
      <c r="I679" t="n">
        <v>0</v>
      </c>
      <c r="J679" t="n">
        <v>0</v>
      </c>
      <c r="K679" t="n">
        <v>0</v>
      </c>
      <c r="L679" t="n">
        <v>0</v>
      </c>
      <c r="M679" t="n">
        <v>0</v>
      </c>
      <c r="N679" t="n">
        <v>0</v>
      </c>
      <c r="O679" t="n">
        <v>0</v>
      </c>
      <c r="P679" t="n">
        <v>0</v>
      </c>
      <c r="Q679" t="n">
        <v>0</v>
      </c>
      <c r="R679" s="2" t="inlineStr"/>
    </row>
    <row r="680" ht="15" customHeight="1">
      <c r="A680" t="inlineStr">
        <is>
          <t>A 40277-2019</t>
        </is>
      </c>
      <c r="B680" s="1" t="n">
        <v>43696</v>
      </c>
      <c r="C680" s="1" t="n">
        <v>45796</v>
      </c>
      <c r="D680" t="inlineStr">
        <is>
          <t>SKÅNE LÄN</t>
        </is>
      </c>
      <c r="E680" t="inlineStr">
        <is>
          <t>ÖSTRA GÖINGE</t>
        </is>
      </c>
      <c r="G680" t="n">
        <v>1.4</v>
      </c>
      <c r="H680" t="n">
        <v>0</v>
      </c>
      <c r="I680" t="n">
        <v>0</v>
      </c>
      <c r="J680" t="n">
        <v>0</v>
      </c>
      <c r="K680" t="n">
        <v>0</v>
      </c>
      <c r="L680" t="n">
        <v>0</v>
      </c>
      <c r="M680" t="n">
        <v>0</v>
      </c>
      <c r="N680" t="n">
        <v>0</v>
      </c>
      <c r="O680" t="n">
        <v>0</v>
      </c>
      <c r="P680" t="n">
        <v>0</v>
      </c>
      <c r="Q680" t="n">
        <v>0</v>
      </c>
      <c r="R680" s="2" t="inlineStr"/>
    </row>
    <row r="681" ht="15" customHeight="1">
      <c r="A681" t="inlineStr">
        <is>
          <t>A 41485-2019</t>
        </is>
      </c>
      <c r="B681" s="1" t="n">
        <v>43696</v>
      </c>
      <c r="C681" s="1" t="n">
        <v>45796</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40752-2019</t>
        </is>
      </c>
      <c r="B682" s="1" t="n">
        <v>43697</v>
      </c>
      <c r="C682" s="1" t="n">
        <v>45796</v>
      </c>
      <c r="D682" t="inlineStr">
        <is>
          <t>SKÅNE LÄN</t>
        </is>
      </c>
      <c r="E682" t="inlineStr">
        <is>
          <t>SVALÖV</t>
        </is>
      </c>
      <c r="G682" t="n">
        <v>5.3</v>
      </c>
      <c r="H682" t="n">
        <v>0</v>
      </c>
      <c r="I682" t="n">
        <v>0</v>
      </c>
      <c r="J682" t="n">
        <v>0</v>
      </c>
      <c r="K682" t="n">
        <v>0</v>
      </c>
      <c r="L682" t="n">
        <v>0</v>
      </c>
      <c r="M682" t="n">
        <v>0</v>
      </c>
      <c r="N682" t="n">
        <v>0</v>
      </c>
      <c r="O682" t="n">
        <v>0</v>
      </c>
      <c r="P682" t="n">
        <v>0</v>
      </c>
      <c r="Q682" t="n">
        <v>0</v>
      </c>
      <c r="R682" s="2" t="inlineStr"/>
    </row>
    <row r="683" ht="15" customHeight="1">
      <c r="A683" t="inlineStr">
        <is>
          <t>A 41068-2019</t>
        </is>
      </c>
      <c r="B683" s="1" t="n">
        <v>43698</v>
      </c>
      <c r="C683" s="1" t="n">
        <v>45796</v>
      </c>
      <c r="D683" t="inlineStr">
        <is>
          <t>SKÅNE LÄN</t>
        </is>
      </c>
      <c r="E683" t="inlineStr">
        <is>
          <t>HÄSSLEHOLM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41197-2019</t>
        </is>
      </c>
      <c r="B684" s="1" t="n">
        <v>43698</v>
      </c>
      <c r="C684" s="1" t="n">
        <v>45796</v>
      </c>
      <c r="D684" t="inlineStr">
        <is>
          <t>SKÅNE LÄN</t>
        </is>
      </c>
      <c r="E684" t="inlineStr">
        <is>
          <t>OSBY</t>
        </is>
      </c>
      <c r="G684" t="n">
        <v>3.2</v>
      </c>
      <c r="H684" t="n">
        <v>0</v>
      </c>
      <c r="I684" t="n">
        <v>0</v>
      </c>
      <c r="J684" t="n">
        <v>0</v>
      </c>
      <c r="K684" t="n">
        <v>0</v>
      </c>
      <c r="L684" t="n">
        <v>0</v>
      </c>
      <c r="M684" t="n">
        <v>0</v>
      </c>
      <c r="N684" t="n">
        <v>0</v>
      </c>
      <c r="O684" t="n">
        <v>0</v>
      </c>
      <c r="P684" t="n">
        <v>0</v>
      </c>
      <c r="Q684" t="n">
        <v>0</v>
      </c>
      <c r="R684" s="2" t="inlineStr"/>
    </row>
    <row r="685" ht="15" customHeight="1">
      <c r="A685" t="inlineStr">
        <is>
          <t>A 41353-2019</t>
        </is>
      </c>
      <c r="B685" s="1" t="n">
        <v>43698</v>
      </c>
      <c r="C685" s="1" t="n">
        <v>45796</v>
      </c>
      <c r="D685" t="inlineStr">
        <is>
          <t>SKÅNE LÄN</t>
        </is>
      </c>
      <c r="E685" t="inlineStr">
        <is>
          <t>ÖSTRA GÖINGE</t>
        </is>
      </c>
      <c r="G685" t="n">
        <v>5.7</v>
      </c>
      <c r="H685" t="n">
        <v>0</v>
      </c>
      <c r="I685" t="n">
        <v>0</v>
      </c>
      <c r="J685" t="n">
        <v>0</v>
      </c>
      <c r="K685" t="n">
        <v>0</v>
      </c>
      <c r="L685" t="n">
        <v>0</v>
      </c>
      <c r="M685" t="n">
        <v>0</v>
      </c>
      <c r="N685" t="n">
        <v>0</v>
      </c>
      <c r="O685" t="n">
        <v>0</v>
      </c>
      <c r="P685" t="n">
        <v>0</v>
      </c>
      <c r="Q685" t="n">
        <v>0</v>
      </c>
      <c r="R685" s="2" t="inlineStr"/>
    </row>
    <row r="686" ht="15" customHeight="1">
      <c r="A686" t="inlineStr">
        <is>
          <t>A 41439-2019</t>
        </is>
      </c>
      <c r="B686" s="1" t="n">
        <v>43698</v>
      </c>
      <c r="C686" s="1" t="n">
        <v>45796</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41580-2019</t>
        </is>
      </c>
      <c r="B687" s="1" t="n">
        <v>43699</v>
      </c>
      <c r="C687" s="1" t="n">
        <v>45796</v>
      </c>
      <c r="D687" t="inlineStr">
        <is>
          <t>SKÅNE LÄN</t>
        </is>
      </c>
      <c r="E687" t="inlineStr">
        <is>
          <t>ÖRKELLJUNGA</t>
        </is>
      </c>
      <c r="G687" t="n">
        <v>5.7</v>
      </c>
      <c r="H687" t="n">
        <v>0</v>
      </c>
      <c r="I687" t="n">
        <v>0</v>
      </c>
      <c r="J687" t="n">
        <v>0</v>
      </c>
      <c r="K687" t="n">
        <v>0</v>
      </c>
      <c r="L687" t="n">
        <v>0</v>
      </c>
      <c r="M687" t="n">
        <v>0</v>
      </c>
      <c r="N687" t="n">
        <v>0</v>
      </c>
      <c r="O687" t="n">
        <v>0</v>
      </c>
      <c r="P687" t="n">
        <v>0</v>
      </c>
      <c r="Q687" t="n">
        <v>0</v>
      </c>
      <c r="R687" s="2" t="inlineStr"/>
    </row>
    <row r="688" ht="15" customHeight="1">
      <c r="A688" t="inlineStr">
        <is>
          <t>A 41878-2019</t>
        </is>
      </c>
      <c r="B688" s="1" t="n">
        <v>43700</v>
      </c>
      <c r="C688" s="1" t="n">
        <v>45796</v>
      </c>
      <c r="D688" t="inlineStr">
        <is>
          <t>SKÅNE LÄN</t>
        </is>
      </c>
      <c r="E688" t="inlineStr">
        <is>
          <t>KRISTIANSTAD</t>
        </is>
      </c>
      <c r="G688" t="n">
        <v>1.2</v>
      </c>
      <c r="H688" t="n">
        <v>0</v>
      </c>
      <c r="I688" t="n">
        <v>0</v>
      </c>
      <c r="J688" t="n">
        <v>0</v>
      </c>
      <c r="K688" t="n">
        <v>0</v>
      </c>
      <c r="L688" t="n">
        <v>0</v>
      </c>
      <c r="M688" t="n">
        <v>0</v>
      </c>
      <c r="N688" t="n">
        <v>0</v>
      </c>
      <c r="O688" t="n">
        <v>0</v>
      </c>
      <c r="P688" t="n">
        <v>0</v>
      </c>
      <c r="Q688" t="n">
        <v>0</v>
      </c>
      <c r="R688" s="2" t="inlineStr"/>
    </row>
    <row r="689" ht="15" customHeight="1">
      <c r="A689" t="inlineStr">
        <is>
          <t>A 42518-2019</t>
        </is>
      </c>
      <c r="B689" s="1" t="n">
        <v>43700</v>
      </c>
      <c r="C689" s="1" t="n">
        <v>45796</v>
      </c>
      <c r="D689" t="inlineStr">
        <is>
          <t>SKÅNE LÄN</t>
        </is>
      </c>
      <c r="E689" t="inlineStr">
        <is>
          <t>ESLÖV</t>
        </is>
      </c>
      <c r="G689" t="n">
        <v>5.8</v>
      </c>
      <c r="H689" t="n">
        <v>0</v>
      </c>
      <c r="I689" t="n">
        <v>0</v>
      </c>
      <c r="J689" t="n">
        <v>0</v>
      </c>
      <c r="K689" t="n">
        <v>0</v>
      </c>
      <c r="L689" t="n">
        <v>0</v>
      </c>
      <c r="M689" t="n">
        <v>0</v>
      </c>
      <c r="N689" t="n">
        <v>0</v>
      </c>
      <c r="O689" t="n">
        <v>0</v>
      </c>
      <c r="P689" t="n">
        <v>0</v>
      </c>
      <c r="Q689" t="n">
        <v>0</v>
      </c>
      <c r="R689" s="2" t="inlineStr"/>
    </row>
    <row r="690" ht="15" customHeight="1">
      <c r="A690" t="inlineStr">
        <is>
          <t>A 42548-2019</t>
        </is>
      </c>
      <c r="B690" s="1" t="n">
        <v>43700</v>
      </c>
      <c r="C690" s="1" t="n">
        <v>45796</v>
      </c>
      <c r="D690" t="inlineStr">
        <is>
          <t>SKÅNE LÄN</t>
        </is>
      </c>
      <c r="E690" t="inlineStr">
        <is>
          <t>KLIPPAN</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42554-2019</t>
        </is>
      </c>
      <c r="B691" s="1" t="n">
        <v>43700</v>
      </c>
      <c r="C691" s="1" t="n">
        <v>45796</v>
      </c>
      <c r="D691" t="inlineStr">
        <is>
          <t>SKÅNE LÄN</t>
        </is>
      </c>
      <c r="E691" t="inlineStr">
        <is>
          <t>KLIPPAN</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42544-2019</t>
        </is>
      </c>
      <c r="B692" s="1" t="n">
        <v>43700</v>
      </c>
      <c r="C692" s="1" t="n">
        <v>45796</v>
      </c>
      <c r="D692" t="inlineStr">
        <is>
          <t>SKÅNE LÄN</t>
        </is>
      </c>
      <c r="E692" t="inlineStr">
        <is>
          <t>KLIPPAN</t>
        </is>
      </c>
      <c r="F692" t="inlineStr">
        <is>
          <t>Övriga Aktiebolag</t>
        </is>
      </c>
      <c r="G692" t="n">
        <v>4.9</v>
      </c>
      <c r="H692" t="n">
        <v>0</v>
      </c>
      <c r="I692" t="n">
        <v>0</v>
      </c>
      <c r="J692" t="n">
        <v>0</v>
      </c>
      <c r="K692" t="n">
        <v>0</v>
      </c>
      <c r="L692" t="n">
        <v>0</v>
      </c>
      <c r="M692" t="n">
        <v>0</v>
      </c>
      <c r="N692" t="n">
        <v>0</v>
      </c>
      <c r="O692" t="n">
        <v>0</v>
      </c>
      <c r="P692" t="n">
        <v>0</v>
      </c>
      <c r="Q692" t="n">
        <v>0</v>
      </c>
      <c r="R692" s="2" t="inlineStr"/>
    </row>
    <row r="693" ht="15" customHeight="1">
      <c r="A693" t="inlineStr">
        <is>
          <t>A 42534-2019</t>
        </is>
      </c>
      <c r="B693" s="1" t="n">
        <v>43700</v>
      </c>
      <c r="C693" s="1" t="n">
        <v>45796</v>
      </c>
      <c r="D693" t="inlineStr">
        <is>
          <t>SKÅNE LÄN</t>
        </is>
      </c>
      <c r="E693" t="inlineStr">
        <is>
          <t>KLIPPAN</t>
        </is>
      </c>
      <c r="F693" t="inlineStr">
        <is>
          <t>Övriga Aktiebolag</t>
        </is>
      </c>
      <c r="G693" t="n">
        <v>1.8</v>
      </c>
      <c r="H693" t="n">
        <v>0</v>
      </c>
      <c r="I693" t="n">
        <v>0</v>
      </c>
      <c r="J693" t="n">
        <v>0</v>
      </c>
      <c r="K693" t="n">
        <v>0</v>
      </c>
      <c r="L693" t="n">
        <v>0</v>
      </c>
      <c r="M693" t="n">
        <v>0</v>
      </c>
      <c r="N693" t="n">
        <v>0</v>
      </c>
      <c r="O693" t="n">
        <v>0</v>
      </c>
      <c r="P693" t="n">
        <v>0</v>
      </c>
      <c r="Q693" t="n">
        <v>0</v>
      </c>
      <c r="R693" s="2" t="inlineStr"/>
    </row>
    <row r="694" ht="15" customHeight="1">
      <c r="A694" t="inlineStr">
        <is>
          <t>A 42557-2019</t>
        </is>
      </c>
      <c r="B694" s="1" t="n">
        <v>43700</v>
      </c>
      <c r="C694" s="1" t="n">
        <v>45796</v>
      </c>
      <c r="D694" t="inlineStr">
        <is>
          <t>SKÅNE LÄN</t>
        </is>
      </c>
      <c r="E694" t="inlineStr">
        <is>
          <t>KLIPPAN</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42696-2019</t>
        </is>
      </c>
      <c r="B695" s="1" t="n">
        <v>43704</v>
      </c>
      <c r="C695" s="1" t="n">
        <v>45796</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42742-2019</t>
        </is>
      </c>
      <c r="B696" s="1" t="n">
        <v>43704</v>
      </c>
      <c r="C696" s="1" t="n">
        <v>45796</v>
      </c>
      <c r="D696" t="inlineStr">
        <is>
          <t>SKÅNE LÄN</t>
        </is>
      </c>
      <c r="E696" t="inlineStr">
        <is>
          <t>OSBY</t>
        </is>
      </c>
      <c r="G696" t="n">
        <v>1.2</v>
      </c>
      <c r="H696" t="n">
        <v>0</v>
      </c>
      <c r="I696" t="n">
        <v>0</v>
      </c>
      <c r="J696" t="n">
        <v>0</v>
      </c>
      <c r="K696" t="n">
        <v>0</v>
      </c>
      <c r="L696" t="n">
        <v>0</v>
      </c>
      <c r="M696" t="n">
        <v>0</v>
      </c>
      <c r="N696" t="n">
        <v>0</v>
      </c>
      <c r="O696" t="n">
        <v>0</v>
      </c>
      <c r="P696" t="n">
        <v>0</v>
      </c>
      <c r="Q696" t="n">
        <v>0</v>
      </c>
      <c r="R696" s="2" t="inlineStr"/>
    </row>
    <row r="697" ht="15" customHeight="1">
      <c r="A697" t="inlineStr">
        <is>
          <t>A 42552-2019</t>
        </is>
      </c>
      <c r="B697" s="1" t="n">
        <v>43704</v>
      </c>
      <c r="C697" s="1" t="n">
        <v>45796</v>
      </c>
      <c r="D697" t="inlineStr">
        <is>
          <t>SKÅNE LÄN</t>
        </is>
      </c>
      <c r="E697" t="inlineStr">
        <is>
          <t>OSBY</t>
        </is>
      </c>
      <c r="G697" t="n">
        <v>2.7</v>
      </c>
      <c r="H697" t="n">
        <v>0</v>
      </c>
      <c r="I697" t="n">
        <v>0</v>
      </c>
      <c r="J697" t="n">
        <v>0</v>
      </c>
      <c r="K697" t="n">
        <v>0</v>
      </c>
      <c r="L697" t="n">
        <v>0</v>
      </c>
      <c r="M697" t="n">
        <v>0</v>
      </c>
      <c r="N697" t="n">
        <v>0</v>
      </c>
      <c r="O697" t="n">
        <v>0</v>
      </c>
      <c r="P697" t="n">
        <v>0</v>
      </c>
      <c r="Q697" t="n">
        <v>0</v>
      </c>
      <c r="R697" s="2" t="inlineStr"/>
    </row>
    <row r="698" ht="15" customHeight="1">
      <c r="A698" t="inlineStr">
        <is>
          <t>A 42674-2019</t>
        </is>
      </c>
      <c r="B698" s="1" t="n">
        <v>43704</v>
      </c>
      <c r="C698" s="1" t="n">
        <v>45796</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43674-2019</t>
        </is>
      </c>
      <c r="B699" s="1" t="n">
        <v>43704</v>
      </c>
      <c r="C699" s="1" t="n">
        <v>45796</v>
      </c>
      <c r="D699" t="inlineStr">
        <is>
          <t>SKÅNE LÄN</t>
        </is>
      </c>
      <c r="E699" t="inlineStr">
        <is>
          <t>HÄSSLEHOLM</t>
        </is>
      </c>
      <c r="G699" t="n">
        <v>5.3</v>
      </c>
      <c r="H699" t="n">
        <v>0</v>
      </c>
      <c r="I699" t="n">
        <v>0</v>
      </c>
      <c r="J699" t="n">
        <v>0</v>
      </c>
      <c r="K699" t="n">
        <v>0</v>
      </c>
      <c r="L699" t="n">
        <v>0</v>
      </c>
      <c r="M699" t="n">
        <v>0</v>
      </c>
      <c r="N699" t="n">
        <v>0</v>
      </c>
      <c r="O699" t="n">
        <v>0</v>
      </c>
      <c r="P699" t="n">
        <v>0</v>
      </c>
      <c r="Q699" t="n">
        <v>0</v>
      </c>
      <c r="R699" s="2" t="inlineStr"/>
    </row>
    <row r="700" ht="15" customHeight="1">
      <c r="A700" t="inlineStr">
        <is>
          <t>A 43133-2019</t>
        </is>
      </c>
      <c r="B700" s="1" t="n">
        <v>43705</v>
      </c>
      <c r="C700" s="1" t="n">
        <v>45796</v>
      </c>
      <c r="D700" t="inlineStr">
        <is>
          <t>SKÅNE LÄN</t>
        </is>
      </c>
      <c r="E700" t="inlineStr">
        <is>
          <t>SVALÖV</t>
        </is>
      </c>
      <c r="G700" t="n">
        <v>1.5</v>
      </c>
      <c r="H700" t="n">
        <v>0</v>
      </c>
      <c r="I700" t="n">
        <v>0</v>
      </c>
      <c r="J700" t="n">
        <v>0</v>
      </c>
      <c r="K700" t="n">
        <v>0</v>
      </c>
      <c r="L700" t="n">
        <v>0</v>
      </c>
      <c r="M700" t="n">
        <v>0</v>
      </c>
      <c r="N700" t="n">
        <v>0</v>
      </c>
      <c r="O700" t="n">
        <v>0</v>
      </c>
      <c r="P700" t="n">
        <v>0</v>
      </c>
      <c r="Q700" t="n">
        <v>0</v>
      </c>
      <c r="R700" s="2" t="inlineStr"/>
    </row>
    <row r="701" ht="15" customHeight="1">
      <c r="A701" t="inlineStr">
        <is>
          <t>A 44449-2019</t>
        </is>
      </c>
      <c r="B701" s="1" t="n">
        <v>43705</v>
      </c>
      <c r="C701" s="1" t="n">
        <v>45796</v>
      </c>
      <c r="D701" t="inlineStr">
        <is>
          <t>SKÅNE LÄN</t>
        </is>
      </c>
      <c r="E701" t="inlineStr">
        <is>
          <t>ÖSTRA GÖINGE</t>
        </is>
      </c>
      <c r="G701" t="n">
        <v>1.3</v>
      </c>
      <c r="H701" t="n">
        <v>0</v>
      </c>
      <c r="I701" t="n">
        <v>0</v>
      </c>
      <c r="J701" t="n">
        <v>0</v>
      </c>
      <c r="K701" t="n">
        <v>0</v>
      </c>
      <c r="L701" t="n">
        <v>0</v>
      </c>
      <c r="M701" t="n">
        <v>0</v>
      </c>
      <c r="N701" t="n">
        <v>0</v>
      </c>
      <c r="O701" t="n">
        <v>0</v>
      </c>
      <c r="P701" t="n">
        <v>0</v>
      </c>
      <c r="Q701" t="n">
        <v>0</v>
      </c>
      <c r="R701" s="2" t="inlineStr"/>
    </row>
    <row r="702" ht="15" customHeight="1">
      <c r="A702" t="inlineStr">
        <is>
          <t>A 43405-2019</t>
        </is>
      </c>
      <c r="B702" s="1" t="n">
        <v>43706</v>
      </c>
      <c r="C702" s="1" t="n">
        <v>45796</v>
      </c>
      <c r="D702" t="inlineStr">
        <is>
          <t>SKÅNE LÄN</t>
        </is>
      </c>
      <c r="E702" t="inlineStr">
        <is>
          <t>ÄNGELHOLM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43547-2019</t>
        </is>
      </c>
      <c r="B703" s="1" t="n">
        <v>43706</v>
      </c>
      <c r="C703" s="1" t="n">
        <v>45796</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43555-2019</t>
        </is>
      </c>
      <c r="B704" s="1" t="n">
        <v>43706</v>
      </c>
      <c r="C704" s="1" t="n">
        <v>45796</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44456-2019</t>
        </is>
      </c>
      <c r="B705" s="1" t="n">
        <v>43706</v>
      </c>
      <c r="C705" s="1" t="n">
        <v>45796</v>
      </c>
      <c r="D705" t="inlineStr">
        <is>
          <t>SKÅNE LÄN</t>
        </is>
      </c>
      <c r="E705" t="inlineStr">
        <is>
          <t>KLIPPAN</t>
        </is>
      </c>
      <c r="G705" t="n">
        <v>1.1</v>
      </c>
      <c r="H705" t="n">
        <v>0</v>
      </c>
      <c r="I705" t="n">
        <v>0</v>
      </c>
      <c r="J705" t="n">
        <v>0</v>
      </c>
      <c r="K705" t="n">
        <v>0</v>
      </c>
      <c r="L705" t="n">
        <v>0</v>
      </c>
      <c r="M705" t="n">
        <v>0</v>
      </c>
      <c r="N705" t="n">
        <v>0</v>
      </c>
      <c r="O705" t="n">
        <v>0</v>
      </c>
      <c r="P705" t="n">
        <v>0</v>
      </c>
      <c r="Q705" t="n">
        <v>0</v>
      </c>
      <c r="R705" s="2" t="inlineStr"/>
    </row>
    <row r="706" ht="15" customHeight="1">
      <c r="A706" t="inlineStr">
        <is>
          <t>A 44573-2019</t>
        </is>
      </c>
      <c r="B706" s="1" t="n">
        <v>43706</v>
      </c>
      <c r="C706" s="1" t="n">
        <v>45796</v>
      </c>
      <c r="D706" t="inlineStr">
        <is>
          <t>SKÅNE LÄN</t>
        </is>
      </c>
      <c r="E706" t="inlineStr">
        <is>
          <t>ÖRKELLJUNGA</t>
        </is>
      </c>
      <c r="G706" t="n">
        <v>2.6</v>
      </c>
      <c r="H706" t="n">
        <v>0</v>
      </c>
      <c r="I706" t="n">
        <v>0</v>
      </c>
      <c r="J706" t="n">
        <v>0</v>
      </c>
      <c r="K706" t="n">
        <v>0</v>
      </c>
      <c r="L706" t="n">
        <v>0</v>
      </c>
      <c r="M706" t="n">
        <v>0</v>
      </c>
      <c r="N706" t="n">
        <v>0</v>
      </c>
      <c r="O706" t="n">
        <v>0</v>
      </c>
      <c r="P706" t="n">
        <v>0</v>
      </c>
      <c r="Q706" t="n">
        <v>0</v>
      </c>
      <c r="R706" s="2" t="inlineStr"/>
    </row>
    <row r="707" ht="15" customHeight="1">
      <c r="A707" t="inlineStr">
        <is>
          <t>A 43407-2019</t>
        </is>
      </c>
      <c r="B707" s="1" t="n">
        <v>43706</v>
      </c>
      <c r="C707" s="1" t="n">
        <v>45796</v>
      </c>
      <c r="D707" t="inlineStr">
        <is>
          <t>SKÅNE LÄN</t>
        </is>
      </c>
      <c r="E707" t="inlineStr">
        <is>
          <t>ÄNGELHOLM</t>
        </is>
      </c>
      <c r="G707" t="n">
        <v>0.6</v>
      </c>
      <c r="H707" t="n">
        <v>0</v>
      </c>
      <c r="I707" t="n">
        <v>0</v>
      </c>
      <c r="J707" t="n">
        <v>0</v>
      </c>
      <c r="K707" t="n">
        <v>0</v>
      </c>
      <c r="L707" t="n">
        <v>0</v>
      </c>
      <c r="M707" t="n">
        <v>0</v>
      </c>
      <c r="N707" t="n">
        <v>0</v>
      </c>
      <c r="O707" t="n">
        <v>0</v>
      </c>
      <c r="P707" t="n">
        <v>0</v>
      </c>
      <c r="Q707" t="n">
        <v>0</v>
      </c>
      <c r="R707" s="2" t="inlineStr"/>
    </row>
    <row r="708" ht="15" customHeight="1">
      <c r="A708" t="inlineStr">
        <is>
          <t>A 44783-2019</t>
        </is>
      </c>
      <c r="B708" s="1" t="n">
        <v>43707</v>
      </c>
      <c r="C708" s="1" t="n">
        <v>45796</v>
      </c>
      <c r="D708" t="inlineStr">
        <is>
          <t>SKÅNE LÄN</t>
        </is>
      </c>
      <c r="E708" t="inlineStr">
        <is>
          <t>LUND</t>
        </is>
      </c>
      <c r="G708" t="n">
        <v>1</v>
      </c>
      <c r="H708" t="n">
        <v>0</v>
      </c>
      <c r="I708" t="n">
        <v>0</v>
      </c>
      <c r="J708" t="n">
        <v>0</v>
      </c>
      <c r="K708" t="n">
        <v>0</v>
      </c>
      <c r="L708" t="n">
        <v>0</v>
      </c>
      <c r="M708" t="n">
        <v>0</v>
      </c>
      <c r="N708" t="n">
        <v>0</v>
      </c>
      <c r="O708" t="n">
        <v>0</v>
      </c>
      <c r="P708" t="n">
        <v>0</v>
      </c>
      <c r="Q708" t="n">
        <v>0</v>
      </c>
      <c r="R708" s="2" t="inlineStr"/>
    </row>
    <row r="709" ht="15" customHeight="1">
      <c r="A709" t="inlineStr">
        <is>
          <t>A 45090-2019</t>
        </is>
      </c>
      <c r="B709" s="1" t="n">
        <v>43707</v>
      </c>
      <c r="C709" s="1" t="n">
        <v>45796</v>
      </c>
      <c r="D709" t="inlineStr">
        <is>
          <t>SKÅNE LÄN</t>
        </is>
      </c>
      <c r="E709" t="inlineStr">
        <is>
          <t>ESLÖV</t>
        </is>
      </c>
      <c r="G709" t="n">
        <v>7</v>
      </c>
      <c r="H709" t="n">
        <v>0</v>
      </c>
      <c r="I709" t="n">
        <v>0</v>
      </c>
      <c r="J709" t="n">
        <v>0</v>
      </c>
      <c r="K709" t="n">
        <v>0</v>
      </c>
      <c r="L709" t="n">
        <v>0</v>
      </c>
      <c r="M709" t="n">
        <v>0</v>
      </c>
      <c r="N709" t="n">
        <v>0</v>
      </c>
      <c r="O709" t="n">
        <v>0</v>
      </c>
      <c r="P709" t="n">
        <v>0</v>
      </c>
      <c r="Q709" t="n">
        <v>0</v>
      </c>
      <c r="R709" s="2" t="inlineStr"/>
    </row>
    <row r="710" ht="15" customHeight="1">
      <c r="A710" t="inlineStr">
        <is>
          <t>A 44032-2019</t>
        </is>
      </c>
      <c r="B710" s="1" t="n">
        <v>43710</v>
      </c>
      <c r="C710" s="1" t="n">
        <v>45796</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44255-2019</t>
        </is>
      </c>
      <c r="B711" s="1" t="n">
        <v>43710</v>
      </c>
      <c r="C711" s="1" t="n">
        <v>45796</v>
      </c>
      <c r="D711" t="inlineStr">
        <is>
          <t>SKÅNE LÄN</t>
        </is>
      </c>
      <c r="E711" t="inlineStr">
        <is>
          <t>HÄSSLEHOLM</t>
        </is>
      </c>
      <c r="G711" t="n">
        <v>4.3</v>
      </c>
      <c r="H711" t="n">
        <v>0</v>
      </c>
      <c r="I711" t="n">
        <v>0</v>
      </c>
      <c r="J711" t="n">
        <v>0</v>
      </c>
      <c r="K711" t="n">
        <v>0</v>
      </c>
      <c r="L711" t="n">
        <v>0</v>
      </c>
      <c r="M711" t="n">
        <v>0</v>
      </c>
      <c r="N711" t="n">
        <v>0</v>
      </c>
      <c r="O711" t="n">
        <v>0</v>
      </c>
      <c r="P711" t="n">
        <v>0</v>
      </c>
      <c r="Q711" t="n">
        <v>0</v>
      </c>
      <c r="R711" s="2" t="inlineStr"/>
    </row>
    <row r="712" ht="15" customHeight="1">
      <c r="A712" t="inlineStr">
        <is>
          <t>A 44256-2019</t>
        </is>
      </c>
      <c r="B712" s="1" t="n">
        <v>43710</v>
      </c>
      <c r="C712" s="1" t="n">
        <v>45796</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45435-2019</t>
        </is>
      </c>
      <c r="B713" s="1" t="n">
        <v>43710</v>
      </c>
      <c r="C713" s="1" t="n">
        <v>45796</v>
      </c>
      <c r="D713" t="inlineStr">
        <is>
          <t>SKÅNE LÄN</t>
        </is>
      </c>
      <c r="E713" t="inlineStr">
        <is>
          <t>ÖSTRA GÖINGE</t>
        </is>
      </c>
      <c r="G713" t="n">
        <v>1.5</v>
      </c>
      <c r="H713" t="n">
        <v>0</v>
      </c>
      <c r="I713" t="n">
        <v>0</v>
      </c>
      <c r="J713" t="n">
        <v>0</v>
      </c>
      <c r="K713" t="n">
        <v>0</v>
      </c>
      <c r="L713" t="n">
        <v>0</v>
      </c>
      <c r="M713" t="n">
        <v>0</v>
      </c>
      <c r="N713" t="n">
        <v>0</v>
      </c>
      <c r="O713" t="n">
        <v>0</v>
      </c>
      <c r="P713" t="n">
        <v>0</v>
      </c>
      <c r="Q713" t="n">
        <v>0</v>
      </c>
      <c r="R713" s="2" t="inlineStr"/>
    </row>
    <row r="714" ht="15" customHeight="1">
      <c r="A714" t="inlineStr">
        <is>
          <t>A 44373-2019</t>
        </is>
      </c>
      <c r="B714" s="1" t="n">
        <v>43711</v>
      </c>
      <c r="C714" s="1" t="n">
        <v>45796</v>
      </c>
      <c r="D714" t="inlineStr">
        <is>
          <t>SKÅNE LÄN</t>
        </is>
      </c>
      <c r="E714" t="inlineStr">
        <is>
          <t>OSBY</t>
        </is>
      </c>
      <c r="F714" t="inlineStr">
        <is>
          <t>Sveaskog</t>
        </is>
      </c>
      <c r="G714" t="n">
        <v>5.1</v>
      </c>
      <c r="H714" t="n">
        <v>0</v>
      </c>
      <c r="I714" t="n">
        <v>0</v>
      </c>
      <c r="J714" t="n">
        <v>0</v>
      </c>
      <c r="K714" t="n">
        <v>0</v>
      </c>
      <c r="L714" t="n">
        <v>0</v>
      </c>
      <c r="M714" t="n">
        <v>0</v>
      </c>
      <c r="N714" t="n">
        <v>0</v>
      </c>
      <c r="O714" t="n">
        <v>0</v>
      </c>
      <c r="P714" t="n">
        <v>0</v>
      </c>
      <c r="Q714" t="n">
        <v>0</v>
      </c>
      <c r="R714" s="2" t="inlineStr"/>
    </row>
    <row r="715" ht="15" customHeight="1">
      <c r="A715" t="inlineStr">
        <is>
          <t>A 44534-2019</t>
        </is>
      </c>
      <c r="B715" s="1" t="n">
        <v>43711</v>
      </c>
      <c r="C715" s="1" t="n">
        <v>45796</v>
      </c>
      <c r="D715" t="inlineStr">
        <is>
          <t>SKÅNE LÄN</t>
        </is>
      </c>
      <c r="E715" t="inlineStr">
        <is>
          <t>OSBY</t>
        </is>
      </c>
      <c r="G715" t="n">
        <v>0.4</v>
      </c>
      <c r="H715" t="n">
        <v>0</v>
      </c>
      <c r="I715" t="n">
        <v>0</v>
      </c>
      <c r="J715" t="n">
        <v>0</v>
      </c>
      <c r="K715" t="n">
        <v>0</v>
      </c>
      <c r="L715" t="n">
        <v>0</v>
      </c>
      <c r="M715" t="n">
        <v>0</v>
      </c>
      <c r="N715" t="n">
        <v>0</v>
      </c>
      <c r="O715" t="n">
        <v>0</v>
      </c>
      <c r="P715" t="n">
        <v>0</v>
      </c>
      <c r="Q715" t="n">
        <v>0</v>
      </c>
      <c r="R715" s="2" t="inlineStr"/>
    </row>
    <row r="716" ht="15" customHeight="1">
      <c r="A716" t="inlineStr">
        <is>
          <t>A 44368-2019</t>
        </is>
      </c>
      <c r="B716" s="1" t="n">
        <v>43711</v>
      </c>
      <c r="C716" s="1" t="n">
        <v>45796</v>
      </c>
      <c r="D716" t="inlineStr">
        <is>
          <t>SKÅNE LÄN</t>
        </is>
      </c>
      <c r="E716" t="inlineStr">
        <is>
          <t>OSBY</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44546-2019</t>
        </is>
      </c>
      <c r="B717" s="1" t="n">
        <v>43711</v>
      </c>
      <c r="C717" s="1" t="n">
        <v>45796</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44543-2019</t>
        </is>
      </c>
      <c r="B718" s="1" t="n">
        <v>43711</v>
      </c>
      <c r="C718" s="1" t="n">
        <v>45796</v>
      </c>
      <c r="D718" t="inlineStr">
        <is>
          <t>SKÅNE LÄN</t>
        </is>
      </c>
      <c r="E718" t="inlineStr">
        <is>
          <t>HÄSSLEHOLM</t>
        </is>
      </c>
      <c r="G718" t="n">
        <v>2.1</v>
      </c>
      <c r="H718" t="n">
        <v>0</v>
      </c>
      <c r="I718" t="n">
        <v>0</v>
      </c>
      <c r="J718" t="n">
        <v>0</v>
      </c>
      <c r="K718" t="n">
        <v>0</v>
      </c>
      <c r="L718" t="n">
        <v>0</v>
      </c>
      <c r="M718" t="n">
        <v>0</v>
      </c>
      <c r="N718" t="n">
        <v>0</v>
      </c>
      <c r="O718" t="n">
        <v>0</v>
      </c>
      <c r="P718" t="n">
        <v>0</v>
      </c>
      <c r="Q718" t="n">
        <v>0</v>
      </c>
      <c r="R718" s="2" t="inlineStr"/>
    </row>
    <row r="719" ht="15" customHeight="1">
      <c r="A719" t="inlineStr">
        <is>
          <t>A 45811-2019</t>
        </is>
      </c>
      <c r="B719" s="1" t="n">
        <v>43711</v>
      </c>
      <c r="C719" s="1" t="n">
        <v>45796</v>
      </c>
      <c r="D719" t="inlineStr">
        <is>
          <t>SKÅNE LÄN</t>
        </is>
      </c>
      <c r="E719" t="inlineStr">
        <is>
          <t>HÄSSLEHOLM</t>
        </is>
      </c>
      <c r="G719" t="n">
        <v>2.4</v>
      </c>
      <c r="H719" t="n">
        <v>0</v>
      </c>
      <c r="I719" t="n">
        <v>0</v>
      </c>
      <c r="J719" t="n">
        <v>0</v>
      </c>
      <c r="K719" t="n">
        <v>0</v>
      </c>
      <c r="L719" t="n">
        <v>0</v>
      </c>
      <c r="M719" t="n">
        <v>0</v>
      </c>
      <c r="N719" t="n">
        <v>0</v>
      </c>
      <c r="O719" t="n">
        <v>0</v>
      </c>
      <c r="P719" t="n">
        <v>0</v>
      </c>
      <c r="Q719" t="n">
        <v>0</v>
      </c>
      <c r="R719" s="2" t="inlineStr"/>
    </row>
    <row r="720" ht="15" customHeight="1">
      <c r="A720" t="inlineStr">
        <is>
          <t>A 44346-2019</t>
        </is>
      </c>
      <c r="B720" s="1" t="n">
        <v>43711</v>
      </c>
      <c r="C720" s="1" t="n">
        <v>45796</v>
      </c>
      <c r="D720" t="inlineStr">
        <is>
          <t>SKÅNE LÄN</t>
        </is>
      </c>
      <c r="E720" t="inlineStr">
        <is>
          <t>OSBY</t>
        </is>
      </c>
      <c r="G720" t="n">
        <v>0.8</v>
      </c>
      <c r="H720" t="n">
        <v>0</v>
      </c>
      <c r="I720" t="n">
        <v>0</v>
      </c>
      <c r="J720" t="n">
        <v>0</v>
      </c>
      <c r="K720" t="n">
        <v>0</v>
      </c>
      <c r="L720" t="n">
        <v>0</v>
      </c>
      <c r="M720" t="n">
        <v>0</v>
      </c>
      <c r="N720" t="n">
        <v>0</v>
      </c>
      <c r="O720" t="n">
        <v>0</v>
      </c>
      <c r="P720" t="n">
        <v>0</v>
      </c>
      <c r="Q720" t="n">
        <v>0</v>
      </c>
      <c r="R720" s="2" t="inlineStr"/>
    </row>
    <row r="721" ht="15" customHeight="1">
      <c r="A721" t="inlineStr">
        <is>
          <t>A 44532-2019</t>
        </is>
      </c>
      <c r="B721" s="1" t="n">
        <v>43711</v>
      </c>
      <c r="C721" s="1" t="n">
        <v>45796</v>
      </c>
      <c r="D721" t="inlineStr">
        <is>
          <t>SKÅNE LÄN</t>
        </is>
      </c>
      <c r="E721" t="inlineStr">
        <is>
          <t>OSBY</t>
        </is>
      </c>
      <c r="G721" t="n">
        <v>0.5</v>
      </c>
      <c r="H721" t="n">
        <v>0</v>
      </c>
      <c r="I721" t="n">
        <v>0</v>
      </c>
      <c r="J721" t="n">
        <v>0</v>
      </c>
      <c r="K721" t="n">
        <v>0</v>
      </c>
      <c r="L721" t="n">
        <v>0</v>
      </c>
      <c r="M721" t="n">
        <v>0</v>
      </c>
      <c r="N721" t="n">
        <v>0</v>
      </c>
      <c r="O721" t="n">
        <v>0</v>
      </c>
      <c r="P721" t="n">
        <v>0</v>
      </c>
      <c r="Q721" t="n">
        <v>0</v>
      </c>
      <c r="R721" s="2" t="inlineStr"/>
    </row>
    <row r="722" ht="15" customHeight="1">
      <c r="A722" t="inlineStr">
        <is>
          <t>A 45843-2019</t>
        </is>
      </c>
      <c r="B722" s="1" t="n">
        <v>43711</v>
      </c>
      <c r="C722" s="1" t="n">
        <v>45796</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44493-2019</t>
        </is>
      </c>
      <c r="B723" s="1" t="n">
        <v>43711</v>
      </c>
      <c r="C723" s="1" t="n">
        <v>45796</v>
      </c>
      <c r="D723" t="inlineStr">
        <is>
          <t>SKÅNE LÄN</t>
        </is>
      </c>
      <c r="E723" t="inlineStr">
        <is>
          <t>OSBY</t>
        </is>
      </c>
      <c r="F723" t="inlineStr">
        <is>
          <t>Naturvårdsverket</t>
        </is>
      </c>
      <c r="G723" t="n">
        <v>1</v>
      </c>
      <c r="H723" t="n">
        <v>0</v>
      </c>
      <c r="I723" t="n">
        <v>0</v>
      </c>
      <c r="J723" t="n">
        <v>0</v>
      </c>
      <c r="K723" t="n">
        <v>0</v>
      </c>
      <c r="L723" t="n">
        <v>0</v>
      </c>
      <c r="M723" t="n">
        <v>0</v>
      </c>
      <c r="N723" t="n">
        <v>0</v>
      </c>
      <c r="O723" t="n">
        <v>0</v>
      </c>
      <c r="P723" t="n">
        <v>0</v>
      </c>
      <c r="Q723" t="n">
        <v>0</v>
      </c>
      <c r="R723" s="2" t="inlineStr"/>
    </row>
    <row r="724" ht="15" customHeight="1">
      <c r="A724" t="inlineStr">
        <is>
          <t>A 44800-2019</t>
        </is>
      </c>
      <c r="B724" s="1" t="n">
        <v>43712</v>
      </c>
      <c r="C724" s="1" t="n">
        <v>45796</v>
      </c>
      <c r="D724" t="inlineStr">
        <is>
          <t>SKÅNE LÄN</t>
        </is>
      </c>
      <c r="E724" t="inlineStr">
        <is>
          <t>KRISTIANSTAD</t>
        </is>
      </c>
      <c r="G724" t="n">
        <v>3.8</v>
      </c>
      <c r="H724" t="n">
        <v>0</v>
      </c>
      <c r="I724" t="n">
        <v>0</v>
      </c>
      <c r="J724" t="n">
        <v>0</v>
      </c>
      <c r="K724" t="n">
        <v>0</v>
      </c>
      <c r="L724" t="n">
        <v>0</v>
      </c>
      <c r="M724" t="n">
        <v>0</v>
      </c>
      <c r="N724" t="n">
        <v>0</v>
      </c>
      <c r="O724" t="n">
        <v>0</v>
      </c>
      <c r="P724" t="n">
        <v>0</v>
      </c>
      <c r="Q724" t="n">
        <v>0</v>
      </c>
      <c r="R724" s="2" t="inlineStr"/>
    </row>
    <row r="725" ht="15" customHeight="1">
      <c r="A725" t="inlineStr">
        <is>
          <t>A 44831-2019</t>
        </is>
      </c>
      <c r="B725" s="1" t="n">
        <v>43712</v>
      </c>
      <c r="C725" s="1" t="n">
        <v>45796</v>
      </c>
      <c r="D725" t="inlineStr">
        <is>
          <t>SKÅNE LÄN</t>
        </is>
      </c>
      <c r="E725" t="inlineStr">
        <is>
          <t>OSBY</t>
        </is>
      </c>
      <c r="G725" t="n">
        <v>1.1</v>
      </c>
      <c r="H725" t="n">
        <v>0</v>
      </c>
      <c r="I725" t="n">
        <v>0</v>
      </c>
      <c r="J725" t="n">
        <v>0</v>
      </c>
      <c r="K725" t="n">
        <v>0</v>
      </c>
      <c r="L725" t="n">
        <v>0</v>
      </c>
      <c r="M725" t="n">
        <v>0</v>
      </c>
      <c r="N725" t="n">
        <v>0</v>
      </c>
      <c r="O725" t="n">
        <v>0</v>
      </c>
      <c r="P725" t="n">
        <v>0</v>
      </c>
      <c r="Q725" t="n">
        <v>0</v>
      </c>
      <c r="R725" s="2" t="inlineStr"/>
    </row>
    <row r="726" ht="15" customHeight="1">
      <c r="A726" t="inlineStr">
        <is>
          <t>A 45867-2019</t>
        </is>
      </c>
      <c r="B726" s="1" t="n">
        <v>43712</v>
      </c>
      <c r="C726" s="1" t="n">
        <v>45796</v>
      </c>
      <c r="D726" t="inlineStr">
        <is>
          <t>SKÅNE LÄN</t>
        </is>
      </c>
      <c r="E726" t="inlineStr">
        <is>
          <t>OSBY</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44777-2019</t>
        </is>
      </c>
      <c r="B727" s="1" t="n">
        <v>43712</v>
      </c>
      <c r="C727" s="1" t="n">
        <v>45796</v>
      </c>
      <c r="D727" t="inlineStr">
        <is>
          <t>SKÅNE LÄN</t>
        </is>
      </c>
      <c r="E727" t="inlineStr">
        <is>
          <t>HÖRBY</t>
        </is>
      </c>
      <c r="G727" t="n">
        <v>1.8</v>
      </c>
      <c r="H727" t="n">
        <v>0</v>
      </c>
      <c r="I727" t="n">
        <v>0</v>
      </c>
      <c r="J727" t="n">
        <v>0</v>
      </c>
      <c r="K727" t="n">
        <v>0</v>
      </c>
      <c r="L727" t="n">
        <v>0</v>
      </c>
      <c r="M727" t="n">
        <v>0</v>
      </c>
      <c r="N727" t="n">
        <v>0</v>
      </c>
      <c r="O727" t="n">
        <v>0</v>
      </c>
      <c r="P727" t="n">
        <v>0</v>
      </c>
      <c r="Q727" t="n">
        <v>0</v>
      </c>
      <c r="R727" s="2" t="inlineStr"/>
    </row>
    <row r="728" ht="15" customHeight="1">
      <c r="A728" t="inlineStr">
        <is>
          <t>A 45734-2019</t>
        </is>
      </c>
      <c r="B728" s="1" t="n">
        <v>43712</v>
      </c>
      <c r="C728" s="1" t="n">
        <v>45796</v>
      </c>
      <c r="D728" t="inlineStr">
        <is>
          <t>SKÅNE LÄN</t>
        </is>
      </c>
      <c r="E728" t="inlineStr">
        <is>
          <t>ÄNGELHOLM</t>
        </is>
      </c>
      <c r="G728" t="n">
        <v>4.7</v>
      </c>
      <c r="H728" t="n">
        <v>0</v>
      </c>
      <c r="I728" t="n">
        <v>0</v>
      </c>
      <c r="J728" t="n">
        <v>0</v>
      </c>
      <c r="K728" t="n">
        <v>0</v>
      </c>
      <c r="L728" t="n">
        <v>0</v>
      </c>
      <c r="M728" t="n">
        <v>0</v>
      </c>
      <c r="N728" t="n">
        <v>0</v>
      </c>
      <c r="O728" t="n">
        <v>0</v>
      </c>
      <c r="P728" t="n">
        <v>0</v>
      </c>
      <c r="Q728" t="n">
        <v>0</v>
      </c>
      <c r="R728" s="2" t="inlineStr"/>
    </row>
    <row r="729" ht="15" customHeight="1">
      <c r="A729" t="inlineStr">
        <is>
          <t>A 45939-2019</t>
        </is>
      </c>
      <c r="B729" s="1" t="n">
        <v>43712</v>
      </c>
      <c r="C729" s="1" t="n">
        <v>45796</v>
      </c>
      <c r="D729" t="inlineStr">
        <is>
          <t>SKÅNE LÄN</t>
        </is>
      </c>
      <c r="E729" t="inlineStr">
        <is>
          <t>KLIPPAN</t>
        </is>
      </c>
      <c r="G729" t="n">
        <v>4.1</v>
      </c>
      <c r="H729" t="n">
        <v>0</v>
      </c>
      <c r="I729" t="n">
        <v>0</v>
      </c>
      <c r="J729" t="n">
        <v>0</v>
      </c>
      <c r="K729" t="n">
        <v>0</v>
      </c>
      <c r="L729" t="n">
        <v>0</v>
      </c>
      <c r="M729" t="n">
        <v>0</v>
      </c>
      <c r="N729" t="n">
        <v>0</v>
      </c>
      <c r="O729" t="n">
        <v>0</v>
      </c>
      <c r="P729" t="n">
        <v>0</v>
      </c>
      <c r="Q729" t="n">
        <v>0</v>
      </c>
      <c r="R729" s="2" t="inlineStr"/>
    </row>
    <row r="730" ht="15" customHeight="1">
      <c r="A730" t="inlineStr">
        <is>
          <t>A 45069-2019</t>
        </is>
      </c>
      <c r="B730" s="1" t="n">
        <v>43713</v>
      </c>
      <c r="C730" s="1" t="n">
        <v>45796</v>
      </c>
      <c r="D730" t="inlineStr">
        <is>
          <t>SKÅNE LÄN</t>
        </is>
      </c>
      <c r="E730" t="inlineStr">
        <is>
          <t>ÖRKELLJUNGA</t>
        </is>
      </c>
      <c r="G730" t="n">
        <v>2.6</v>
      </c>
      <c r="H730" t="n">
        <v>0</v>
      </c>
      <c r="I730" t="n">
        <v>0</v>
      </c>
      <c r="J730" t="n">
        <v>0</v>
      </c>
      <c r="K730" t="n">
        <v>0</v>
      </c>
      <c r="L730" t="n">
        <v>0</v>
      </c>
      <c r="M730" t="n">
        <v>0</v>
      </c>
      <c r="N730" t="n">
        <v>0</v>
      </c>
      <c r="O730" t="n">
        <v>0</v>
      </c>
      <c r="P730" t="n">
        <v>0</v>
      </c>
      <c r="Q730" t="n">
        <v>0</v>
      </c>
      <c r="R730" s="2" t="inlineStr"/>
    </row>
    <row r="731" ht="15" customHeight="1">
      <c r="A731" t="inlineStr">
        <is>
          <t>A 45970-2019</t>
        </is>
      </c>
      <c r="B731" s="1" t="n">
        <v>43713</v>
      </c>
      <c r="C731" s="1" t="n">
        <v>45796</v>
      </c>
      <c r="D731" t="inlineStr">
        <is>
          <t>SKÅNE LÄN</t>
        </is>
      </c>
      <c r="E731" t="inlineStr">
        <is>
          <t>ESLÖV</t>
        </is>
      </c>
      <c r="G731" t="n">
        <v>0.6</v>
      </c>
      <c r="H731" t="n">
        <v>0</v>
      </c>
      <c r="I731" t="n">
        <v>0</v>
      </c>
      <c r="J731" t="n">
        <v>0</v>
      </c>
      <c r="K731" t="n">
        <v>0</v>
      </c>
      <c r="L731" t="n">
        <v>0</v>
      </c>
      <c r="M731" t="n">
        <v>0</v>
      </c>
      <c r="N731" t="n">
        <v>0</v>
      </c>
      <c r="O731" t="n">
        <v>0</v>
      </c>
      <c r="P731" t="n">
        <v>0</v>
      </c>
      <c r="Q731" t="n">
        <v>0</v>
      </c>
      <c r="R731" s="2" t="inlineStr"/>
    </row>
    <row r="732" ht="15" customHeight="1">
      <c r="A732" t="inlineStr">
        <is>
          <t>A 46216-2019</t>
        </is>
      </c>
      <c r="B732" s="1" t="n">
        <v>43713</v>
      </c>
      <c r="C732" s="1" t="n">
        <v>45796</v>
      </c>
      <c r="D732" t="inlineStr">
        <is>
          <t>SKÅNE LÄN</t>
        </is>
      </c>
      <c r="E732" t="inlineStr">
        <is>
          <t>SVEDALA</t>
        </is>
      </c>
      <c r="G732" t="n">
        <v>2.4</v>
      </c>
      <c r="H732" t="n">
        <v>0</v>
      </c>
      <c r="I732" t="n">
        <v>0</v>
      </c>
      <c r="J732" t="n">
        <v>0</v>
      </c>
      <c r="K732" t="n">
        <v>0</v>
      </c>
      <c r="L732" t="n">
        <v>0</v>
      </c>
      <c r="M732" t="n">
        <v>0</v>
      </c>
      <c r="N732" t="n">
        <v>0</v>
      </c>
      <c r="O732" t="n">
        <v>0</v>
      </c>
      <c r="P732" t="n">
        <v>0</v>
      </c>
      <c r="Q732" t="n">
        <v>0</v>
      </c>
      <c r="R732" s="2" t="inlineStr"/>
    </row>
    <row r="733" ht="15" customHeight="1">
      <c r="A733" t="inlineStr">
        <is>
          <t>A 46237-2019</t>
        </is>
      </c>
      <c r="B733" s="1" t="n">
        <v>43713</v>
      </c>
      <c r="C733" s="1" t="n">
        <v>45796</v>
      </c>
      <c r="D733" t="inlineStr">
        <is>
          <t>SKÅNE LÄN</t>
        </is>
      </c>
      <c r="E733" t="inlineStr">
        <is>
          <t>ÖSTRA GÖINGE</t>
        </is>
      </c>
      <c r="G733" t="n">
        <v>6.1</v>
      </c>
      <c r="H733" t="n">
        <v>0</v>
      </c>
      <c r="I733" t="n">
        <v>0</v>
      </c>
      <c r="J733" t="n">
        <v>0</v>
      </c>
      <c r="K733" t="n">
        <v>0</v>
      </c>
      <c r="L733" t="n">
        <v>0</v>
      </c>
      <c r="M733" t="n">
        <v>0</v>
      </c>
      <c r="N733" t="n">
        <v>0</v>
      </c>
      <c r="O733" t="n">
        <v>0</v>
      </c>
      <c r="P733" t="n">
        <v>0</v>
      </c>
      <c r="Q733" t="n">
        <v>0</v>
      </c>
      <c r="R733" s="2" t="inlineStr"/>
    </row>
    <row r="734" ht="15" customHeight="1">
      <c r="A734" t="inlineStr">
        <is>
          <t>A 45238-2019</t>
        </is>
      </c>
      <c r="B734" s="1" t="n">
        <v>43713</v>
      </c>
      <c r="C734" s="1" t="n">
        <v>45796</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45213-2019</t>
        </is>
      </c>
      <c r="B735" s="1" t="n">
        <v>43713</v>
      </c>
      <c r="C735" s="1" t="n">
        <v>45796</v>
      </c>
      <c r="D735" t="inlineStr">
        <is>
          <t>SKÅNE LÄN</t>
        </is>
      </c>
      <c r="E735" t="inlineStr">
        <is>
          <t>KRISTIANSTAD</t>
        </is>
      </c>
      <c r="G735" t="n">
        <v>0.8</v>
      </c>
      <c r="H735" t="n">
        <v>0</v>
      </c>
      <c r="I735" t="n">
        <v>0</v>
      </c>
      <c r="J735" t="n">
        <v>0</v>
      </c>
      <c r="K735" t="n">
        <v>0</v>
      </c>
      <c r="L735" t="n">
        <v>0</v>
      </c>
      <c r="M735" t="n">
        <v>0</v>
      </c>
      <c r="N735" t="n">
        <v>0</v>
      </c>
      <c r="O735" t="n">
        <v>0</v>
      </c>
      <c r="P735" t="n">
        <v>0</v>
      </c>
      <c r="Q735" t="n">
        <v>0</v>
      </c>
      <c r="R735" s="2" t="inlineStr"/>
    </row>
    <row r="736" ht="15" customHeight="1">
      <c r="A736" t="inlineStr">
        <is>
          <t>A 45391-2019</t>
        </is>
      </c>
      <c r="B736" s="1" t="n">
        <v>43714</v>
      </c>
      <c r="C736" s="1" t="n">
        <v>45796</v>
      </c>
      <c r="D736" t="inlineStr">
        <is>
          <t>SKÅNE LÄN</t>
        </is>
      </c>
      <c r="E736" t="inlineStr">
        <is>
          <t>KLIPPAN</t>
        </is>
      </c>
      <c r="G736" t="n">
        <v>0.4</v>
      </c>
      <c r="H736" t="n">
        <v>0</v>
      </c>
      <c r="I736" t="n">
        <v>0</v>
      </c>
      <c r="J736" t="n">
        <v>0</v>
      </c>
      <c r="K736" t="n">
        <v>0</v>
      </c>
      <c r="L736" t="n">
        <v>0</v>
      </c>
      <c r="M736" t="n">
        <v>0</v>
      </c>
      <c r="N736" t="n">
        <v>0</v>
      </c>
      <c r="O736" t="n">
        <v>0</v>
      </c>
      <c r="P736" t="n">
        <v>0</v>
      </c>
      <c r="Q736" t="n">
        <v>0</v>
      </c>
      <c r="R736" s="2" t="inlineStr"/>
    </row>
    <row r="737" ht="15" customHeight="1">
      <c r="A737" t="inlineStr">
        <is>
          <t>A 45374-2019</t>
        </is>
      </c>
      <c r="B737" s="1" t="n">
        <v>43714</v>
      </c>
      <c r="C737" s="1" t="n">
        <v>45796</v>
      </c>
      <c r="D737" t="inlineStr">
        <is>
          <t>SKÅNE LÄN</t>
        </is>
      </c>
      <c r="E737" t="inlineStr">
        <is>
          <t>LUND</t>
        </is>
      </c>
      <c r="G737" t="n">
        <v>0.7</v>
      </c>
      <c r="H737" t="n">
        <v>0</v>
      </c>
      <c r="I737" t="n">
        <v>0</v>
      </c>
      <c r="J737" t="n">
        <v>0</v>
      </c>
      <c r="K737" t="n">
        <v>0</v>
      </c>
      <c r="L737" t="n">
        <v>0</v>
      </c>
      <c r="M737" t="n">
        <v>0</v>
      </c>
      <c r="N737" t="n">
        <v>0</v>
      </c>
      <c r="O737" t="n">
        <v>0</v>
      </c>
      <c r="P737" t="n">
        <v>0</v>
      </c>
      <c r="Q737" t="n">
        <v>0</v>
      </c>
      <c r="R737" s="2" t="inlineStr"/>
    </row>
    <row r="738" ht="15" customHeight="1">
      <c r="A738" t="inlineStr">
        <is>
          <t>A 45372-2019</t>
        </is>
      </c>
      <c r="B738" s="1" t="n">
        <v>43714</v>
      </c>
      <c r="C738" s="1" t="n">
        <v>45796</v>
      </c>
      <c r="D738" t="inlineStr">
        <is>
          <t>SKÅNE LÄN</t>
        </is>
      </c>
      <c r="E738" t="inlineStr">
        <is>
          <t>LUND</t>
        </is>
      </c>
      <c r="G738" t="n">
        <v>4.1</v>
      </c>
      <c r="H738" t="n">
        <v>0</v>
      </c>
      <c r="I738" t="n">
        <v>0</v>
      </c>
      <c r="J738" t="n">
        <v>0</v>
      </c>
      <c r="K738" t="n">
        <v>0</v>
      </c>
      <c r="L738" t="n">
        <v>0</v>
      </c>
      <c r="M738" t="n">
        <v>0</v>
      </c>
      <c r="N738" t="n">
        <v>0</v>
      </c>
      <c r="O738" t="n">
        <v>0</v>
      </c>
      <c r="P738" t="n">
        <v>0</v>
      </c>
      <c r="Q738" t="n">
        <v>0</v>
      </c>
      <c r="R738" s="2" t="inlineStr"/>
    </row>
    <row r="739" ht="15" customHeight="1">
      <c r="A739" t="inlineStr">
        <is>
          <t>A 45395-2019</t>
        </is>
      </c>
      <c r="B739" s="1" t="n">
        <v>43714</v>
      </c>
      <c r="C739" s="1" t="n">
        <v>45796</v>
      </c>
      <c r="D739" t="inlineStr">
        <is>
          <t>SKÅNE LÄN</t>
        </is>
      </c>
      <c r="E739" t="inlineStr">
        <is>
          <t>KLIPPAN</t>
        </is>
      </c>
      <c r="G739" t="n">
        <v>2.2</v>
      </c>
      <c r="H739" t="n">
        <v>0</v>
      </c>
      <c r="I739" t="n">
        <v>0</v>
      </c>
      <c r="J739" t="n">
        <v>0</v>
      </c>
      <c r="K739" t="n">
        <v>0</v>
      </c>
      <c r="L739" t="n">
        <v>0</v>
      </c>
      <c r="M739" t="n">
        <v>0</v>
      </c>
      <c r="N739" t="n">
        <v>0</v>
      </c>
      <c r="O739" t="n">
        <v>0</v>
      </c>
      <c r="P739" t="n">
        <v>0</v>
      </c>
      <c r="Q739" t="n">
        <v>0</v>
      </c>
      <c r="R739" s="2" t="inlineStr"/>
    </row>
    <row r="740" ht="15" customHeight="1">
      <c r="A740" t="inlineStr">
        <is>
          <t>A 45308-2019</t>
        </is>
      </c>
      <c r="B740" s="1" t="n">
        <v>43714</v>
      </c>
      <c r="C740" s="1" t="n">
        <v>45796</v>
      </c>
      <c r="D740" t="inlineStr">
        <is>
          <t>SKÅNE LÄN</t>
        </is>
      </c>
      <c r="E740" t="inlineStr">
        <is>
          <t>OSBY</t>
        </is>
      </c>
      <c r="G740" t="n">
        <v>1.2</v>
      </c>
      <c r="H740" t="n">
        <v>0</v>
      </c>
      <c r="I740" t="n">
        <v>0</v>
      </c>
      <c r="J740" t="n">
        <v>0</v>
      </c>
      <c r="K740" t="n">
        <v>0</v>
      </c>
      <c r="L740" t="n">
        <v>0</v>
      </c>
      <c r="M740" t="n">
        <v>0</v>
      </c>
      <c r="N740" t="n">
        <v>0</v>
      </c>
      <c r="O740" t="n">
        <v>0</v>
      </c>
      <c r="P740" t="n">
        <v>0</v>
      </c>
      <c r="Q740" t="n">
        <v>0</v>
      </c>
      <c r="R740" s="2" t="inlineStr"/>
    </row>
    <row r="741" ht="15" customHeight="1">
      <c r="A741" t="inlineStr">
        <is>
          <t>A 45617-2019</t>
        </is>
      </c>
      <c r="B741" s="1" t="n">
        <v>43717</v>
      </c>
      <c r="C741" s="1" t="n">
        <v>45796</v>
      </c>
      <c r="D741" t="inlineStr">
        <is>
          <t>SKÅNE LÄN</t>
        </is>
      </c>
      <c r="E741" t="inlineStr">
        <is>
          <t>TOMELILLA</t>
        </is>
      </c>
      <c r="G741" t="n">
        <v>0.4</v>
      </c>
      <c r="H741" t="n">
        <v>0</v>
      </c>
      <c r="I741" t="n">
        <v>0</v>
      </c>
      <c r="J741" t="n">
        <v>0</v>
      </c>
      <c r="K741" t="n">
        <v>0</v>
      </c>
      <c r="L741" t="n">
        <v>0</v>
      </c>
      <c r="M741" t="n">
        <v>0</v>
      </c>
      <c r="N741" t="n">
        <v>0</v>
      </c>
      <c r="O741" t="n">
        <v>0</v>
      </c>
      <c r="P741" t="n">
        <v>0</v>
      </c>
      <c r="Q741" t="n">
        <v>0</v>
      </c>
      <c r="R741" s="2" t="inlineStr"/>
    </row>
    <row r="742" ht="15" customHeight="1">
      <c r="A742" t="inlineStr">
        <is>
          <t>A 45682-2019</t>
        </is>
      </c>
      <c r="B742" s="1" t="n">
        <v>43717</v>
      </c>
      <c r="C742" s="1" t="n">
        <v>45796</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45693-2019</t>
        </is>
      </c>
      <c r="B743" s="1" t="n">
        <v>43717</v>
      </c>
      <c r="C743" s="1" t="n">
        <v>45796</v>
      </c>
      <c r="D743" t="inlineStr">
        <is>
          <t>SKÅNE LÄN</t>
        </is>
      </c>
      <c r="E743" t="inlineStr">
        <is>
          <t>ÄNGELHOLM</t>
        </is>
      </c>
      <c r="G743" t="n">
        <v>0.6</v>
      </c>
      <c r="H743" t="n">
        <v>0</v>
      </c>
      <c r="I743" t="n">
        <v>0</v>
      </c>
      <c r="J743" t="n">
        <v>0</v>
      </c>
      <c r="K743" t="n">
        <v>0</v>
      </c>
      <c r="L743" t="n">
        <v>0</v>
      </c>
      <c r="M743" t="n">
        <v>0</v>
      </c>
      <c r="N743" t="n">
        <v>0</v>
      </c>
      <c r="O743" t="n">
        <v>0</v>
      </c>
      <c r="P743" t="n">
        <v>0</v>
      </c>
      <c r="Q743" t="n">
        <v>0</v>
      </c>
      <c r="R743" s="2" t="inlineStr"/>
    </row>
    <row r="744" ht="15" customHeight="1">
      <c r="A744" t="inlineStr">
        <is>
          <t>A 45836-2019</t>
        </is>
      </c>
      <c r="B744" s="1" t="n">
        <v>43717</v>
      </c>
      <c r="C744" s="1" t="n">
        <v>45796</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45831-2019</t>
        </is>
      </c>
      <c r="B745" s="1" t="n">
        <v>43717</v>
      </c>
      <c r="C745" s="1" t="n">
        <v>45796</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46520-2019</t>
        </is>
      </c>
      <c r="B746" s="1" t="n">
        <v>43717</v>
      </c>
      <c r="C746" s="1" t="n">
        <v>45796</v>
      </c>
      <c r="D746" t="inlineStr">
        <is>
          <t>SKÅNE LÄN</t>
        </is>
      </c>
      <c r="E746" t="inlineStr">
        <is>
          <t>HÄSSLEHOLM</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45799-2019</t>
        </is>
      </c>
      <c r="B747" s="1" t="n">
        <v>43717</v>
      </c>
      <c r="C747" s="1" t="n">
        <v>45796</v>
      </c>
      <c r="D747" t="inlineStr">
        <is>
          <t>SKÅNE LÄN</t>
        </is>
      </c>
      <c r="E747" t="inlineStr">
        <is>
          <t>KRISTIANSTAD</t>
        </is>
      </c>
      <c r="G747" t="n">
        <v>0.8</v>
      </c>
      <c r="H747" t="n">
        <v>0</v>
      </c>
      <c r="I747" t="n">
        <v>0</v>
      </c>
      <c r="J747" t="n">
        <v>0</v>
      </c>
      <c r="K747" t="n">
        <v>0</v>
      </c>
      <c r="L747" t="n">
        <v>0</v>
      </c>
      <c r="M747" t="n">
        <v>0</v>
      </c>
      <c r="N747" t="n">
        <v>0</v>
      </c>
      <c r="O747" t="n">
        <v>0</v>
      </c>
      <c r="P747" t="n">
        <v>0</v>
      </c>
      <c r="Q747" t="n">
        <v>0</v>
      </c>
      <c r="R747" s="2" t="inlineStr"/>
    </row>
    <row r="748" ht="15" customHeight="1">
      <c r="A748" t="inlineStr">
        <is>
          <t>A 46236-2019</t>
        </is>
      </c>
      <c r="B748" s="1" t="n">
        <v>43718</v>
      </c>
      <c r="C748" s="1" t="n">
        <v>45796</v>
      </c>
      <c r="D748" t="inlineStr">
        <is>
          <t>SKÅNE LÄN</t>
        </is>
      </c>
      <c r="E748" t="inlineStr">
        <is>
          <t>PERSTORP</t>
        </is>
      </c>
      <c r="G748" t="n">
        <v>2.4</v>
      </c>
      <c r="H748" t="n">
        <v>0</v>
      </c>
      <c r="I748" t="n">
        <v>0</v>
      </c>
      <c r="J748" t="n">
        <v>0</v>
      </c>
      <c r="K748" t="n">
        <v>0</v>
      </c>
      <c r="L748" t="n">
        <v>0</v>
      </c>
      <c r="M748" t="n">
        <v>0</v>
      </c>
      <c r="N748" t="n">
        <v>0</v>
      </c>
      <c r="O748" t="n">
        <v>0</v>
      </c>
      <c r="P748" t="n">
        <v>0</v>
      </c>
      <c r="Q748" t="n">
        <v>0</v>
      </c>
      <c r="R748" s="2" t="inlineStr"/>
    </row>
    <row r="749" ht="15" customHeight="1">
      <c r="A749" t="inlineStr">
        <is>
          <t>A 46342-2019</t>
        </is>
      </c>
      <c r="B749" s="1" t="n">
        <v>43718</v>
      </c>
      <c r="C749" s="1" t="n">
        <v>45796</v>
      </c>
      <c r="D749" t="inlineStr">
        <is>
          <t>SKÅNE LÄN</t>
        </is>
      </c>
      <c r="E749" t="inlineStr">
        <is>
          <t>KLIPPAN</t>
        </is>
      </c>
      <c r="G749" t="n">
        <v>0.3</v>
      </c>
      <c r="H749" t="n">
        <v>0</v>
      </c>
      <c r="I749" t="n">
        <v>0</v>
      </c>
      <c r="J749" t="n">
        <v>0</v>
      </c>
      <c r="K749" t="n">
        <v>0</v>
      </c>
      <c r="L749" t="n">
        <v>0</v>
      </c>
      <c r="M749" t="n">
        <v>0</v>
      </c>
      <c r="N749" t="n">
        <v>0</v>
      </c>
      <c r="O749" t="n">
        <v>0</v>
      </c>
      <c r="P749" t="n">
        <v>0</v>
      </c>
      <c r="Q749" t="n">
        <v>0</v>
      </c>
      <c r="R749" s="2" t="inlineStr"/>
    </row>
    <row r="750" ht="15" customHeight="1">
      <c r="A750" t="inlineStr">
        <is>
          <t>A 46006-2019</t>
        </is>
      </c>
      <c r="B750" s="1" t="n">
        <v>43718</v>
      </c>
      <c r="C750" s="1" t="n">
        <v>45796</v>
      </c>
      <c r="D750" t="inlineStr">
        <is>
          <t>SKÅNE LÄN</t>
        </is>
      </c>
      <c r="E750" t="inlineStr">
        <is>
          <t>OSBY</t>
        </is>
      </c>
      <c r="G750" t="n">
        <v>2.7</v>
      </c>
      <c r="H750" t="n">
        <v>0</v>
      </c>
      <c r="I750" t="n">
        <v>0</v>
      </c>
      <c r="J750" t="n">
        <v>0</v>
      </c>
      <c r="K750" t="n">
        <v>0</v>
      </c>
      <c r="L750" t="n">
        <v>0</v>
      </c>
      <c r="M750" t="n">
        <v>0</v>
      </c>
      <c r="N750" t="n">
        <v>0</v>
      </c>
      <c r="O750" t="n">
        <v>0</v>
      </c>
      <c r="P750" t="n">
        <v>0</v>
      </c>
      <c r="Q750" t="n">
        <v>0</v>
      </c>
      <c r="R750" s="2" t="inlineStr"/>
    </row>
    <row r="751" ht="15" customHeight="1">
      <c r="A751" t="inlineStr">
        <is>
          <t>A 46298-2019</t>
        </is>
      </c>
      <c r="B751" s="1" t="n">
        <v>43718</v>
      </c>
      <c r="C751" s="1" t="n">
        <v>45796</v>
      </c>
      <c r="D751" t="inlineStr">
        <is>
          <t>SKÅNE LÄN</t>
        </is>
      </c>
      <c r="E751" t="inlineStr">
        <is>
          <t>KRISTIANSTAD</t>
        </is>
      </c>
      <c r="G751" t="n">
        <v>3.6</v>
      </c>
      <c r="H751" t="n">
        <v>0</v>
      </c>
      <c r="I751" t="n">
        <v>0</v>
      </c>
      <c r="J751" t="n">
        <v>0</v>
      </c>
      <c r="K751" t="n">
        <v>0</v>
      </c>
      <c r="L751" t="n">
        <v>0</v>
      </c>
      <c r="M751" t="n">
        <v>0</v>
      </c>
      <c r="N751" t="n">
        <v>0</v>
      </c>
      <c r="O751" t="n">
        <v>0</v>
      </c>
      <c r="P751" t="n">
        <v>0</v>
      </c>
      <c r="Q751" t="n">
        <v>0</v>
      </c>
      <c r="R751" s="2" t="inlineStr"/>
    </row>
    <row r="752" ht="15" customHeight="1">
      <c r="A752" t="inlineStr">
        <is>
          <t>A 46097-2019</t>
        </is>
      </c>
      <c r="B752" s="1" t="n">
        <v>43718</v>
      </c>
      <c r="C752" s="1" t="n">
        <v>45796</v>
      </c>
      <c r="D752" t="inlineStr">
        <is>
          <t>SKÅNE LÄN</t>
        </is>
      </c>
      <c r="E752" t="inlineStr">
        <is>
          <t>TOMELILLA</t>
        </is>
      </c>
      <c r="G752" t="n">
        <v>1.3</v>
      </c>
      <c r="H752" t="n">
        <v>0</v>
      </c>
      <c r="I752" t="n">
        <v>0</v>
      </c>
      <c r="J752" t="n">
        <v>0</v>
      </c>
      <c r="K752" t="n">
        <v>0</v>
      </c>
      <c r="L752" t="n">
        <v>0</v>
      </c>
      <c r="M752" t="n">
        <v>0</v>
      </c>
      <c r="N752" t="n">
        <v>0</v>
      </c>
      <c r="O752" t="n">
        <v>0</v>
      </c>
      <c r="P752" t="n">
        <v>0</v>
      </c>
      <c r="Q752" t="n">
        <v>0</v>
      </c>
      <c r="R752" s="2" t="inlineStr"/>
    </row>
    <row r="753" ht="15" customHeight="1">
      <c r="A753" t="inlineStr">
        <is>
          <t>A 46096-2019</t>
        </is>
      </c>
      <c r="B753" s="1" t="n">
        <v>43718</v>
      </c>
      <c r="C753" s="1" t="n">
        <v>45796</v>
      </c>
      <c r="D753" t="inlineStr">
        <is>
          <t>SKÅNE LÄN</t>
        </is>
      </c>
      <c r="E753" t="inlineStr">
        <is>
          <t>OSBY</t>
        </is>
      </c>
      <c r="G753" t="n">
        <v>0.5</v>
      </c>
      <c r="H753" t="n">
        <v>0</v>
      </c>
      <c r="I753" t="n">
        <v>0</v>
      </c>
      <c r="J753" t="n">
        <v>0</v>
      </c>
      <c r="K753" t="n">
        <v>0</v>
      </c>
      <c r="L753" t="n">
        <v>0</v>
      </c>
      <c r="M753" t="n">
        <v>0</v>
      </c>
      <c r="N753" t="n">
        <v>0</v>
      </c>
      <c r="O753" t="n">
        <v>0</v>
      </c>
      <c r="P753" t="n">
        <v>0</v>
      </c>
      <c r="Q753" t="n">
        <v>0</v>
      </c>
      <c r="R753" s="2" t="inlineStr"/>
    </row>
    <row r="754" ht="15" customHeight="1">
      <c r="A754" t="inlineStr">
        <is>
          <t>A 46403-2019</t>
        </is>
      </c>
      <c r="B754" s="1" t="n">
        <v>43719</v>
      </c>
      <c r="C754" s="1" t="n">
        <v>45796</v>
      </c>
      <c r="D754" t="inlineStr">
        <is>
          <t>SKÅNE LÄN</t>
        </is>
      </c>
      <c r="E754" t="inlineStr">
        <is>
          <t>KRISTIANSTAD</t>
        </is>
      </c>
      <c r="G754" t="n">
        <v>0.6</v>
      </c>
      <c r="H754" t="n">
        <v>0</v>
      </c>
      <c r="I754" t="n">
        <v>0</v>
      </c>
      <c r="J754" t="n">
        <v>0</v>
      </c>
      <c r="K754" t="n">
        <v>0</v>
      </c>
      <c r="L754" t="n">
        <v>0</v>
      </c>
      <c r="M754" t="n">
        <v>0</v>
      </c>
      <c r="N754" t="n">
        <v>0</v>
      </c>
      <c r="O754" t="n">
        <v>0</v>
      </c>
      <c r="P754" t="n">
        <v>0</v>
      </c>
      <c r="Q754" t="n">
        <v>0</v>
      </c>
      <c r="R754" s="2" t="inlineStr"/>
    </row>
    <row r="755" ht="15" customHeight="1">
      <c r="A755" t="inlineStr">
        <is>
          <t>A 46880-2019</t>
        </is>
      </c>
      <c r="B755" s="1" t="n">
        <v>43719</v>
      </c>
      <c r="C755" s="1" t="n">
        <v>45796</v>
      </c>
      <c r="D755" t="inlineStr">
        <is>
          <t>SKÅNE LÄN</t>
        </is>
      </c>
      <c r="E755" t="inlineStr">
        <is>
          <t>KLIPPAN</t>
        </is>
      </c>
      <c r="G755" t="n">
        <v>1.9</v>
      </c>
      <c r="H755" t="n">
        <v>0</v>
      </c>
      <c r="I755" t="n">
        <v>0</v>
      </c>
      <c r="J755" t="n">
        <v>0</v>
      </c>
      <c r="K755" t="n">
        <v>0</v>
      </c>
      <c r="L755" t="n">
        <v>0</v>
      </c>
      <c r="M755" t="n">
        <v>0</v>
      </c>
      <c r="N755" t="n">
        <v>0</v>
      </c>
      <c r="O755" t="n">
        <v>0</v>
      </c>
      <c r="P755" t="n">
        <v>0</v>
      </c>
      <c r="Q755" t="n">
        <v>0</v>
      </c>
      <c r="R755" s="2" t="inlineStr"/>
    </row>
    <row r="756" ht="15" customHeight="1">
      <c r="A756" t="inlineStr">
        <is>
          <t>A 46897-2019</t>
        </is>
      </c>
      <c r="B756" s="1" t="n">
        <v>43720</v>
      </c>
      <c r="C756" s="1" t="n">
        <v>45796</v>
      </c>
      <c r="D756" t="inlineStr">
        <is>
          <t>SKÅNE LÄN</t>
        </is>
      </c>
      <c r="E756" t="inlineStr">
        <is>
          <t>SIMRISHAMN</t>
        </is>
      </c>
      <c r="G756" t="n">
        <v>10.6</v>
      </c>
      <c r="H756" t="n">
        <v>0</v>
      </c>
      <c r="I756" t="n">
        <v>0</v>
      </c>
      <c r="J756" t="n">
        <v>0</v>
      </c>
      <c r="K756" t="n">
        <v>0</v>
      </c>
      <c r="L756" t="n">
        <v>0</v>
      </c>
      <c r="M756" t="n">
        <v>0</v>
      </c>
      <c r="N756" t="n">
        <v>0</v>
      </c>
      <c r="O756" t="n">
        <v>0</v>
      </c>
      <c r="P756" t="n">
        <v>0</v>
      </c>
      <c r="Q756" t="n">
        <v>0</v>
      </c>
      <c r="R756" s="2" t="inlineStr"/>
    </row>
    <row r="757" ht="15" customHeight="1">
      <c r="A757" t="inlineStr">
        <is>
          <t>A 47132-2019</t>
        </is>
      </c>
      <c r="B757" s="1" t="n">
        <v>43720</v>
      </c>
      <c r="C757" s="1" t="n">
        <v>45796</v>
      </c>
      <c r="D757" t="inlineStr">
        <is>
          <t>SKÅNE LÄN</t>
        </is>
      </c>
      <c r="E757" t="inlineStr">
        <is>
          <t>KLIPPAN</t>
        </is>
      </c>
      <c r="F757" t="inlineStr">
        <is>
          <t>Övriga Aktiebolag</t>
        </is>
      </c>
      <c r="G757" t="n">
        <v>1.2</v>
      </c>
      <c r="H757" t="n">
        <v>0</v>
      </c>
      <c r="I757" t="n">
        <v>0</v>
      </c>
      <c r="J757" t="n">
        <v>0</v>
      </c>
      <c r="K757" t="n">
        <v>0</v>
      </c>
      <c r="L757" t="n">
        <v>0</v>
      </c>
      <c r="M757" t="n">
        <v>0</v>
      </c>
      <c r="N757" t="n">
        <v>0</v>
      </c>
      <c r="O757" t="n">
        <v>0</v>
      </c>
      <c r="P757" t="n">
        <v>0</v>
      </c>
      <c r="Q757" t="n">
        <v>0</v>
      </c>
      <c r="R757" s="2" t="inlineStr"/>
    </row>
    <row r="758" ht="15" customHeight="1">
      <c r="A758" t="inlineStr">
        <is>
          <t>A 47130-2019</t>
        </is>
      </c>
      <c r="B758" s="1" t="n">
        <v>43720</v>
      </c>
      <c r="C758" s="1" t="n">
        <v>45796</v>
      </c>
      <c r="D758" t="inlineStr">
        <is>
          <t>SKÅNE LÄN</t>
        </is>
      </c>
      <c r="E758" t="inlineStr">
        <is>
          <t>PERSTORP</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47540-2019</t>
        </is>
      </c>
      <c r="B759" s="1" t="n">
        <v>43724</v>
      </c>
      <c r="C759" s="1" t="n">
        <v>45796</v>
      </c>
      <c r="D759" t="inlineStr">
        <is>
          <t>SKÅNE LÄN</t>
        </is>
      </c>
      <c r="E759" t="inlineStr">
        <is>
          <t>OSBY</t>
        </is>
      </c>
      <c r="F759" t="inlineStr">
        <is>
          <t>Naturvårdsverket</t>
        </is>
      </c>
      <c r="G759" t="n">
        <v>2.8</v>
      </c>
      <c r="H759" t="n">
        <v>0</v>
      </c>
      <c r="I759" t="n">
        <v>0</v>
      </c>
      <c r="J759" t="n">
        <v>0</v>
      </c>
      <c r="K759" t="n">
        <v>0</v>
      </c>
      <c r="L759" t="n">
        <v>0</v>
      </c>
      <c r="M759" t="n">
        <v>0</v>
      </c>
      <c r="N759" t="n">
        <v>0</v>
      </c>
      <c r="O759" t="n">
        <v>0</v>
      </c>
      <c r="P759" t="n">
        <v>0</v>
      </c>
      <c r="Q759" t="n">
        <v>0</v>
      </c>
      <c r="R759" s="2" t="inlineStr"/>
    </row>
    <row r="760" ht="15" customHeight="1">
      <c r="A760" t="inlineStr">
        <is>
          <t>A 47445-2019</t>
        </is>
      </c>
      <c r="B760" s="1" t="n">
        <v>43724</v>
      </c>
      <c r="C760" s="1" t="n">
        <v>45796</v>
      </c>
      <c r="D760" t="inlineStr">
        <is>
          <t>SKÅNE LÄN</t>
        </is>
      </c>
      <c r="E760" t="inlineStr">
        <is>
          <t>OSBY</t>
        </is>
      </c>
      <c r="G760" t="n">
        <v>3.3</v>
      </c>
      <c r="H760" t="n">
        <v>0</v>
      </c>
      <c r="I760" t="n">
        <v>0</v>
      </c>
      <c r="J760" t="n">
        <v>0</v>
      </c>
      <c r="K760" t="n">
        <v>0</v>
      </c>
      <c r="L760" t="n">
        <v>0</v>
      </c>
      <c r="M760" t="n">
        <v>0</v>
      </c>
      <c r="N760" t="n">
        <v>0</v>
      </c>
      <c r="O760" t="n">
        <v>0</v>
      </c>
      <c r="P760" t="n">
        <v>0</v>
      </c>
      <c r="Q760" t="n">
        <v>0</v>
      </c>
      <c r="R760" s="2" t="inlineStr"/>
    </row>
    <row r="761" ht="15" customHeight="1">
      <c r="A761" t="inlineStr">
        <is>
          <t>A 47757-2019</t>
        </is>
      </c>
      <c r="B761" s="1" t="n">
        <v>43724</v>
      </c>
      <c r="C761" s="1" t="n">
        <v>45796</v>
      </c>
      <c r="D761" t="inlineStr">
        <is>
          <t>SKÅNE LÄN</t>
        </is>
      </c>
      <c r="E761" t="inlineStr">
        <is>
          <t>KRISTIANSTAD</t>
        </is>
      </c>
      <c r="G761" t="n">
        <v>4.8</v>
      </c>
      <c r="H761" t="n">
        <v>0</v>
      </c>
      <c r="I761" t="n">
        <v>0</v>
      </c>
      <c r="J761" t="n">
        <v>0</v>
      </c>
      <c r="K761" t="n">
        <v>0</v>
      </c>
      <c r="L761" t="n">
        <v>0</v>
      </c>
      <c r="M761" t="n">
        <v>0</v>
      </c>
      <c r="N761" t="n">
        <v>0</v>
      </c>
      <c r="O761" t="n">
        <v>0</v>
      </c>
      <c r="P761" t="n">
        <v>0</v>
      </c>
      <c r="Q761" t="n">
        <v>0</v>
      </c>
      <c r="R761" s="2" t="inlineStr"/>
    </row>
    <row r="762" ht="15" customHeight="1">
      <c r="A762" t="inlineStr">
        <is>
          <t>A 47546-2019</t>
        </is>
      </c>
      <c r="B762" s="1" t="n">
        <v>43724</v>
      </c>
      <c r="C762" s="1" t="n">
        <v>45796</v>
      </c>
      <c r="D762" t="inlineStr">
        <is>
          <t>SKÅNE LÄN</t>
        </is>
      </c>
      <c r="E762" t="inlineStr">
        <is>
          <t>OSBY</t>
        </is>
      </c>
      <c r="F762" t="inlineStr">
        <is>
          <t>Naturvårdsverket</t>
        </is>
      </c>
      <c r="G762" t="n">
        <v>1.1</v>
      </c>
      <c r="H762" t="n">
        <v>0</v>
      </c>
      <c r="I762" t="n">
        <v>0</v>
      </c>
      <c r="J762" t="n">
        <v>0</v>
      </c>
      <c r="K762" t="n">
        <v>0</v>
      </c>
      <c r="L762" t="n">
        <v>0</v>
      </c>
      <c r="M762" t="n">
        <v>0</v>
      </c>
      <c r="N762" t="n">
        <v>0</v>
      </c>
      <c r="O762" t="n">
        <v>0</v>
      </c>
      <c r="P762" t="n">
        <v>0</v>
      </c>
      <c r="Q762" t="n">
        <v>0</v>
      </c>
      <c r="R762" s="2" t="inlineStr"/>
    </row>
    <row r="763" ht="15" customHeight="1">
      <c r="A763" t="inlineStr">
        <is>
          <t>A 47788-2019</t>
        </is>
      </c>
      <c r="B763" s="1" t="n">
        <v>43724</v>
      </c>
      <c r="C763" s="1" t="n">
        <v>45796</v>
      </c>
      <c r="D763" t="inlineStr">
        <is>
          <t>SKÅNE LÄN</t>
        </is>
      </c>
      <c r="E763" t="inlineStr">
        <is>
          <t>KLIPPAN</t>
        </is>
      </c>
      <c r="G763" t="n">
        <v>5.4</v>
      </c>
      <c r="H763" t="n">
        <v>0</v>
      </c>
      <c r="I763" t="n">
        <v>0</v>
      </c>
      <c r="J763" t="n">
        <v>0</v>
      </c>
      <c r="K763" t="n">
        <v>0</v>
      </c>
      <c r="L763" t="n">
        <v>0</v>
      </c>
      <c r="M763" t="n">
        <v>0</v>
      </c>
      <c r="N763" t="n">
        <v>0</v>
      </c>
      <c r="O763" t="n">
        <v>0</v>
      </c>
      <c r="P763" t="n">
        <v>0</v>
      </c>
      <c r="Q763" t="n">
        <v>0</v>
      </c>
      <c r="R763" s="2" t="inlineStr"/>
    </row>
    <row r="764" ht="15" customHeight="1">
      <c r="A764" t="inlineStr">
        <is>
          <t>A 48097-2019</t>
        </is>
      </c>
      <c r="B764" s="1" t="n">
        <v>43725</v>
      </c>
      <c r="C764" s="1" t="n">
        <v>45796</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48103-2019</t>
        </is>
      </c>
      <c r="B765" s="1" t="n">
        <v>43725</v>
      </c>
      <c r="C765" s="1" t="n">
        <v>45796</v>
      </c>
      <c r="D765" t="inlineStr">
        <is>
          <t>SKÅNE LÄN</t>
        </is>
      </c>
      <c r="E765" t="inlineStr">
        <is>
          <t>OSBY</t>
        </is>
      </c>
      <c r="G765" t="n">
        <v>2.6</v>
      </c>
      <c r="H765" t="n">
        <v>0</v>
      </c>
      <c r="I765" t="n">
        <v>0</v>
      </c>
      <c r="J765" t="n">
        <v>0</v>
      </c>
      <c r="K765" t="n">
        <v>0</v>
      </c>
      <c r="L765" t="n">
        <v>0</v>
      </c>
      <c r="M765" t="n">
        <v>0</v>
      </c>
      <c r="N765" t="n">
        <v>0</v>
      </c>
      <c r="O765" t="n">
        <v>0</v>
      </c>
      <c r="P765" t="n">
        <v>0</v>
      </c>
      <c r="Q765" t="n">
        <v>0</v>
      </c>
      <c r="R765" s="2" t="inlineStr"/>
    </row>
    <row r="766" ht="15" customHeight="1">
      <c r="A766" t="inlineStr">
        <is>
          <t>A 48309-2019</t>
        </is>
      </c>
      <c r="B766" s="1" t="n">
        <v>43726</v>
      </c>
      <c r="C766" s="1" t="n">
        <v>45796</v>
      </c>
      <c r="D766" t="inlineStr">
        <is>
          <t>SKÅNE LÄN</t>
        </is>
      </c>
      <c r="E766" t="inlineStr">
        <is>
          <t>HÄSSLEHOLM</t>
        </is>
      </c>
      <c r="G766" t="n">
        <v>4.5</v>
      </c>
      <c r="H766" t="n">
        <v>0</v>
      </c>
      <c r="I766" t="n">
        <v>0</v>
      </c>
      <c r="J766" t="n">
        <v>0</v>
      </c>
      <c r="K766" t="n">
        <v>0</v>
      </c>
      <c r="L766" t="n">
        <v>0</v>
      </c>
      <c r="M766" t="n">
        <v>0</v>
      </c>
      <c r="N766" t="n">
        <v>0</v>
      </c>
      <c r="O766" t="n">
        <v>0</v>
      </c>
      <c r="P766" t="n">
        <v>0</v>
      </c>
      <c r="Q766" t="n">
        <v>0</v>
      </c>
      <c r="R766" s="2" t="inlineStr"/>
    </row>
    <row r="767" ht="15" customHeight="1">
      <c r="A767" t="inlineStr">
        <is>
          <t>A 48307-2019</t>
        </is>
      </c>
      <c r="B767" s="1" t="n">
        <v>43726</v>
      </c>
      <c r="C767" s="1" t="n">
        <v>45796</v>
      </c>
      <c r="D767" t="inlineStr">
        <is>
          <t>SKÅNE LÄN</t>
        </is>
      </c>
      <c r="E767" t="inlineStr">
        <is>
          <t>ÖSTRA GÖINGE</t>
        </is>
      </c>
      <c r="G767" t="n">
        <v>1.6</v>
      </c>
      <c r="H767" t="n">
        <v>0</v>
      </c>
      <c r="I767" t="n">
        <v>0</v>
      </c>
      <c r="J767" t="n">
        <v>0</v>
      </c>
      <c r="K767" t="n">
        <v>0</v>
      </c>
      <c r="L767" t="n">
        <v>0</v>
      </c>
      <c r="M767" t="n">
        <v>0</v>
      </c>
      <c r="N767" t="n">
        <v>0</v>
      </c>
      <c r="O767" t="n">
        <v>0</v>
      </c>
      <c r="P767" t="n">
        <v>0</v>
      </c>
      <c r="Q767" t="n">
        <v>0</v>
      </c>
      <c r="R767" s="2" t="inlineStr"/>
    </row>
    <row r="768" ht="15" customHeight="1">
      <c r="A768" t="inlineStr">
        <is>
          <t>A 48363-2019</t>
        </is>
      </c>
      <c r="B768" s="1" t="n">
        <v>43726</v>
      </c>
      <c r="C768" s="1" t="n">
        <v>45796</v>
      </c>
      <c r="D768" t="inlineStr">
        <is>
          <t>SKÅNE LÄN</t>
        </is>
      </c>
      <c r="E768" t="inlineStr">
        <is>
          <t>HÄSSLEHOLM</t>
        </is>
      </c>
      <c r="G768" t="n">
        <v>4.7</v>
      </c>
      <c r="H768" t="n">
        <v>0</v>
      </c>
      <c r="I768" t="n">
        <v>0</v>
      </c>
      <c r="J768" t="n">
        <v>0</v>
      </c>
      <c r="K768" t="n">
        <v>0</v>
      </c>
      <c r="L768" t="n">
        <v>0</v>
      </c>
      <c r="M768" t="n">
        <v>0</v>
      </c>
      <c r="N768" t="n">
        <v>0</v>
      </c>
      <c r="O768" t="n">
        <v>0</v>
      </c>
      <c r="P768" t="n">
        <v>0</v>
      </c>
      <c r="Q768" t="n">
        <v>0</v>
      </c>
      <c r="R768" s="2" t="inlineStr"/>
    </row>
    <row r="769" ht="15" customHeight="1">
      <c r="A769" t="inlineStr">
        <is>
          <t>A 48602-2019</t>
        </is>
      </c>
      <c r="B769" s="1" t="n">
        <v>43727</v>
      </c>
      <c r="C769" s="1" t="n">
        <v>45796</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48601-2019</t>
        </is>
      </c>
      <c r="B770" s="1" t="n">
        <v>43727</v>
      </c>
      <c r="C770" s="1" t="n">
        <v>45796</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48670-2019</t>
        </is>
      </c>
      <c r="B771" s="1" t="n">
        <v>43727</v>
      </c>
      <c r="C771" s="1" t="n">
        <v>45796</v>
      </c>
      <c r="D771" t="inlineStr">
        <is>
          <t>SKÅNE LÄN</t>
        </is>
      </c>
      <c r="E771" t="inlineStr">
        <is>
          <t>ÖSTRA GÖINGE</t>
        </is>
      </c>
      <c r="G771" t="n">
        <v>1.4</v>
      </c>
      <c r="H771" t="n">
        <v>0</v>
      </c>
      <c r="I771" t="n">
        <v>0</v>
      </c>
      <c r="J771" t="n">
        <v>0</v>
      </c>
      <c r="K771" t="n">
        <v>0</v>
      </c>
      <c r="L771" t="n">
        <v>0</v>
      </c>
      <c r="M771" t="n">
        <v>0</v>
      </c>
      <c r="N771" t="n">
        <v>0</v>
      </c>
      <c r="O771" t="n">
        <v>0</v>
      </c>
      <c r="P771" t="n">
        <v>0</v>
      </c>
      <c r="Q771" t="n">
        <v>0</v>
      </c>
      <c r="R771" s="2" t="inlineStr"/>
    </row>
    <row r="772" ht="15" customHeight="1">
      <c r="A772" t="inlineStr">
        <is>
          <t>A 48718-2019</t>
        </is>
      </c>
      <c r="B772" s="1" t="n">
        <v>43727</v>
      </c>
      <c r="C772" s="1" t="n">
        <v>45796</v>
      </c>
      <c r="D772" t="inlineStr">
        <is>
          <t>SKÅNE LÄN</t>
        </is>
      </c>
      <c r="E772" t="inlineStr">
        <is>
          <t>SVALÖV</t>
        </is>
      </c>
      <c r="G772" t="n">
        <v>2.1</v>
      </c>
      <c r="H772" t="n">
        <v>0</v>
      </c>
      <c r="I772" t="n">
        <v>0</v>
      </c>
      <c r="J772" t="n">
        <v>0</v>
      </c>
      <c r="K772" t="n">
        <v>0</v>
      </c>
      <c r="L772" t="n">
        <v>0</v>
      </c>
      <c r="M772" t="n">
        <v>0</v>
      </c>
      <c r="N772" t="n">
        <v>0</v>
      </c>
      <c r="O772" t="n">
        <v>0</v>
      </c>
      <c r="P772" t="n">
        <v>0</v>
      </c>
      <c r="Q772" t="n">
        <v>0</v>
      </c>
      <c r="R772" s="2" t="inlineStr"/>
    </row>
    <row r="773" ht="15" customHeight="1">
      <c r="A773" t="inlineStr">
        <is>
          <t>A 48843-2019</t>
        </is>
      </c>
      <c r="B773" s="1" t="n">
        <v>43728</v>
      </c>
      <c r="C773" s="1" t="n">
        <v>45796</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49077-2019</t>
        </is>
      </c>
      <c r="B774" s="1" t="n">
        <v>43731</v>
      </c>
      <c r="C774" s="1" t="n">
        <v>45796</v>
      </c>
      <c r="D774" t="inlineStr">
        <is>
          <t>SKÅNE LÄN</t>
        </is>
      </c>
      <c r="E774" t="inlineStr">
        <is>
          <t>KLIPPAN</t>
        </is>
      </c>
      <c r="G774" t="n">
        <v>2.3</v>
      </c>
      <c r="H774" t="n">
        <v>0</v>
      </c>
      <c r="I774" t="n">
        <v>0</v>
      </c>
      <c r="J774" t="n">
        <v>0</v>
      </c>
      <c r="K774" t="n">
        <v>0</v>
      </c>
      <c r="L774" t="n">
        <v>0</v>
      </c>
      <c r="M774" t="n">
        <v>0</v>
      </c>
      <c r="N774" t="n">
        <v>0</v>
      </c>
      <c r="O774" t="n">
        <v>0</v>
      </c>
      <c r="P774" t="n">
        <v>0</v>
      </c>
      <c r="Q774" t="n">
        <v>0</v>
      </c>
      <c r="R774" s="2" t="inlineStr"/>
    </row>
    <row r="775" ht="15" customHeight="1">
      <c r="A775" t="inlineStr">
        <is>
          <t>A 49311-2019</t>
        </is>
      </c>
      <c r="B775" s="1" t="n">
        <v>43731</v>
      </c>
      <c r="C775" s="1" t="n">
        <v>45796</v>
      </c>
      <c r="D775" t="inlineStr">
        <is>
          <t>SKÅNE LÄN</t>
        </is>
      </c>
      <c r="E775" t="inlineStr">
        <is>
          <t>OSBY</t>
        </is>
      </c>
      <c r="G775" t="n">
        <v>0.4</v>
      </c>
      <c r="H775" t="n">
        <v>0</v>
      </c>
      <c r="I775" t="n">
        <v>0</v>
      </c>
      <c r="J775" t="n">
        <v>0</v>
      </c>
      <c r="K775" t="n">
        <v>0</v>
      </c>
      <c r="L775" t="n">
        <v>0</v>
      </c>
      <c r="M775" t="n">
        <v>0</v>
      </c>
      <c r="N775" t="n">
        <v>0</v>
      </c>
      <c r="O775" t="n">
        <v>0</v>
      </c>
      <c r="P775" t="n">
        <v>0</v>
      </c>
      <c r="Q775" t="n">
        <v>0</v>
      </c>
      <c r="R775" s="2" t="inlineStr"/>
    </row>
    <row r="776" ht="15" customHeight="1">
      <c r="A776" t="inlineStr">
        <is>
          <t>A 49028-2019</t>
        </is>
      </c>
      <c r="B776" s="1" t="n">
        <v>43731</v>
      </c>
      <c r="C776" s="1" t="n">
        <v>45796</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49552-2019</t>
        </is>
      </c>
      <c r="B777" s="1" t="n">
        <v>43732</v>
      </c>
      <c r="C777" s="1" t="n">
        <v>45796</v>
      </c>
      <c r="D777" t="inlineStr">
        <is>
          <t>SKÅNE LÄN</t>
        </is>
      </c>
      <c r="E777" t="inlineStr">
        <is>
          <t>OSBY</t>
        </is>
      </c>
      <c r="G777" t="n">
        <v>2.3</v>
      </c>
      <c r="H777" t="n">
        <v>0</v>
      </c>
      <c r="I777" t="n">
        <v>0</v>
      </c>
      <c r="J777" t="n">
        <v>0</v>
      </c>
      <c r="K777" t="n">
        <v>0</v>
      </c>
      <c r="L777" t="n">
        <v>0</v>
      </c>
      <c r="M777" t="n">
        <v>0</v>
      </c>
      <c r="N777" t="n">
        <v>0</v>
      </c>
      <c r="O777" t="n">
        <v>0</v>
      </c>
      <c r="P777" t="n">
        <v>0</v>
      </c>
      <c r="Q777" t="n">
        <v>0</v>
      </c>
      <c r="R777" s="2" t="inlineStr"/>
    </row>
    <row r="778" ht="15" customHeight="1">
      <c r="A778" t="inlineStr">
        <is>
          <t>A 49833-2019</t>
        </is>
      </c>
      <c r="B778" s="1" t="n">
        <v>43733</v>
      </c>
      <c r="C778" s="1" t="n">
        <v>45796</v>
      </c>
      <c r="D778" t="inlineStr">
        <is>
          <t>SKÅNE LÄN</t>
        </is>
      </c>
      <c r="E778" t="inlineStr">
        <is>
          <t>HÖRBY</t>
        </is>
      </c>
      <c r="G778" t="n">
        <v>1.4</v>
      </c>
      <c r="H778" t="n">
        <v>0</v>
      </c>
      <c r="I778" t="n">
        <v>0</v>
      </c>
      <c r="J778" t="n">
        <v>0</v>
      </c>
      <c r="K778" t="n">
        <v>0</v>
      </c>
      <c r="L778" t="n">
        <v>0</v>
      </c>
      <c r="M778" t="n">
        <v>0</v>
      </c>
      <c r="N778" t="n">
        <v>0</v>
      </c>
      <c r="O778" t="n">
        <v>0</v>
      </c>
      <c r="P778" t="n">
        <v>0</v>
      </c>
      <c r="Q778" t="n">
        <v>0</v>
      </c>
      <c r="R778" s="2" t="inlineStr"/>
    </row>
    <row r="779" ht="15" customHeight="1">
      <c r="A779" t="inlineStr">
        <is>
          <t>A 49703-2019</t>
        </is>
      </c>
      <c r="B779" s="1" t="n">
        <v>43733</v>
      </c>
      <c r="C779" s="1" t="n">
        <v>45796</v>
      </c>
      <c r="D779" t="inlineStr">
        <is>
          <t>SKÅNE LÄN</t>
        </is>
      </c>
      <c r="E779" t="inlineStr">
        <is>
          <t>SVALÖV</t>
        </is>
      </c>
      <c r="G779" t="n">
        <v>1.9</v>
      </c>
      <c r="H779" t="n">
        <v>0</v>
      </c>
      <c r="I779" t="n">
        <v>0</v>
      </c>
      <c r="J779" t="n">
        <v>0</v>
      </c>
      <c r="K779" t="n">
        <v>0</v>
      </c>
      <c r="L779" t="n">
        <v>0</v>
      </c>
      <c r="M779" t="n">
        <v>0</v>
      </c>
      <c r="N779" t="n">
        <v>0</v>
      </c>
      <c r="O779" t="n">
        <v>0</v>
      </c>
      <c r="P779" t="n">
        <v>0</v>
      </c>
      <c r="Q779" t="n">
        <v>0</v>
      </c>
      <c r="R779" s="2" t="inlineStr"/>
    </row>
    <row r="780" ht="15" customHeight="1">
      <c r="A780" t="inlineStr">
        <is>
          <t>A 50017-2019</t>
        </is>
      </c>
      <c r="B780" s="1" t="n">
        <v>43734</v>
      </c>
      <c r="C780" s="1" t="n">
        <v>45796</v>
      </c>
      <c r="D780" t="inlineStr">
        <is>
          <t>SKÅNE LÄN</t>
        </is>
      </c>
      <c r="E780" t="inlineStr">
        <is>
          <t>ÖRKELLJUNGA</t>
        </is>
      </c>
      <c r="G780" t="n">
        <v>1</v>
      </c>
      <c r="H780" t="n">
        <v>0</v>
      </c>
      <c r="I780" t="n">
        <v>0</v>
      </c>
      <c r="J780" t="n">
        <v>0</v>
      </c>
      <c r="K780" t="n">
        <v>0</v>
      </c>
      <c r="L780" t="n">
        <v>0</v>
      </c>
      <c r="M780" t="n">
        <v>0</v>
      </c>
      <c r="N780" t="n">
        <v>0</v>
      </c>
      <c r="O780" t="n">
        <v>0</v>
      </c>
      <c r="P780" t="n">
        <v>0</v>
      </c>
      <c r="Q780" t="n">
        <v>0</v>
      </c>
      <c r="R780" s="2" t="inlineStr"/>
    </row>
    <row r="781" ht="15" customHeight="1">
      <c r="A781" t="inlineStr">
        <is>
          <t>A 50164-2019</t>
        </is>
      </c>
      <c r="B781" s="1" t="n">
        <v>43734</v>
      </c>
      <c r="C781" s="1" t="n">
        <v>45796</v>
      </c>
      <c r="D781" t="inlineStr">
        <is>
          <t>SKÅNE LÄN</t>
        </is>
      </c>
      <c r="E781" t="inlineStr">
        <is>
          <t>KLIPPAN</t>
        </is>
      </c>
      <c r="G781" t="n">
        <v>4</v>
      </c>
      <c r="H781" t="n">
        <v>0</v>
      </c>
      <c r="I781" t="n">
        <v>0</v>
      </c>
      <c r="J781" t="n">
        <v>0</v>
      </c>
      <c r="K781" t="n">
        <v>0</v>
      </c>
      <c r="L781" t="n">
        <v>0</v>
      </c>
      <c r="M781" t="n">
        <v>0</v>
      </c>
      <c r="N781" t="n">
        <v>0</v>
      </c>
      <c r="O781" t="n">
        <v>0</v>
      </c>
      <c r="P781" t="n">
        <v>0</v>
      </c>
      <c r="Q781" t="n">
        <v>0</v>
      </c>
      <c r="R781" s="2" t="inlineStr"/>
    </row>
    <row r="782" ht="15" customHeight="1">
      <c r="A782" t="inlineStr">
        <is>
          <t>A 51843-2019</t>
        </is>
      </c>
      <c r="B782" s="1" t="n">
        <v>43734</v>
      </c>
      <c r="C782" s="1" t="n">
        <v>45796</v>
      </c>
      <c r="D782" t="inlineStr">
        <is>
          <t>SKÅNE LÄN</t>
        </is>
      </c>
      <c r="E782" t="inlineStr">
        <is>
          <t>SJÖBO</t>
        </is>
      </c>
      <c r="G782" t="n">
        <v>4</v>
      </c>
      <c r="H782" t="n">
        <v>0</v>
      </c>
      <c r="I782" t="n">
        <v>0</v>
      </c>
      <c r="J782" t="n">
        <v>0</v>
      </c>
      <c r="K782" t="n">
        <v>0</v>
      </c>
      <c r="L782" t="n">
        <v>0</v>
      </c>
      <c r="M782" t="n">
        <v>0</v>
      </c>
      <c r="N782" t="n">
        <v>0</v>
      </c>
      <c r="O782" t="n">
        <v>0</v>
      </c>
      <c r="P782" t="n">
        <v>0</v>
      </c>
      <c r="Q782" t="n">
        <v>0</v>
      </c>
      <c r="R782" s="2" t="inlineStr"/>
    </row>
    <row r="783" ht="15" customHeight="1">
      <c r="A783" t="inlineStr">
        <is>
          <t>A 51857-2019</t>
        </is>
      </c>
      <c r="B783" s="1" t="n">
        <v>43734</v>
      </c>
      <c r="C783" s="1" t="n">
        <v>45796</v>
      </c>
      <c r="D783" t="inlineStr">
        <is>
          <t>SKÅNE LÄN</t>
        </is>
      </c>
      <c r="E783" t="inlineStr">
        <is>
          <t>SJÖBO</t>
        </is>
      </c>
      <c r="G783" t="n">
        <v>1.6</v>
      </c>
      <c r="H783" t="n">
        <v>0</v>
      </c>
      <c r="I783" t="n">
        <v>0</v>
      </c>
      <c r="J783" t="n">
        <v>0</v>
      </c>
      <c r="K783" t="n">
        <v>0</v>
      </c>
      <c r="L783" t="n">
        <v>0</v>
      </c>
      <c r="M783" t="n">
        <v>0</v>
      </c>
      <c r="N783" t="n">
        <v>0</v>
      </c>
      <c r="O783" t="n">
        <v>0</v>
      </c>
      <c r="P783" t="n">
        <v>0</v>
      </c>
      <c r="Q783" t="n">
        <v>0</v>
      </c>
      <c r="R783" s="2" t="inlineStr"/>
    </row>
    <row r="784" ht="15" customHeight="1">
      <c r="A784" t="inlineStr">
        <is>
          <t>A 51879-2019</t>
        </is>
      </c>
      <c r="B784" s="1" t="n">
        <v>43734</v>
      </c>
      <c r="C784" s="1" t="n">
        <v>45796</v>
      </c>
      <c r="D784" t="inlineStr">
        <is>
          <t>SKÅNE LÄN</t>
        </is>
      </c>
      <c r="E784" t="inlineStr">
        <is>
          <t>SJÖBO</t>
        </is>
      </c>
      <c r="G784" t="n">
        <v>20.1</v>
      </c>
      <c r="H784" t="n">
        <v>0</v>
      </c>
      <c r="I784" t="n">
        <v>0</v>
      </c>
      <c r="J784" t="n">
        <v>0</v>
      </c>
      <c r="K784" t="n">
        <v>0</v>
      </c>
      <c r="L784" t="n">
        <v>0</v>
      </c>
      <c r="M784" t="n">
        <v>0</v>
      </c>
      <c r="N784" t="n">
        <v>0</v>
      </c>
      <c r="O784" t="n">
        <v>0</v>
      </c>
      <c r="P784" t="n">
        <v>0</v>
      </c>
      <c r="Q784" t="n">
        <v>0</v>
      </c>
      <c r="R784" s="2" t="inlineStr"/>
    </row>
    <row r="785" ht="15" customHeight="1">
      <c r="A785" t="inlineStr">
        <is>
          <t>A 51864-2019</t>
        </is>
      </c>
      <c r="B785" s="1" t="n">
        <v>43734</v>
      </c>
      <c r="C785" s="1" t="n">
        <v>45796</v>
      </c>
      <c r="D785" t="inlineStr">
        <is>
          <t>SKÅNE LÄN</t>
        </is>
      </c>
      <c r="E785" t="inlineStr">
        <is>
          <t>SJÖBO</t>
        </is>
      </c>
      <c r="G785" t="n">
        <v>1.1</v>
      </c>
      <c r="H785" t="n">
        <v>0</v>
      </c>
      <c r="I785" t="n">
        <v>0</v>
      </c>
      <c r="J785" t="n">
        <v>0</v>
      </c>
      <c r="K785" t="n">
        <v>0</v>
      </c>
      <c r="L785" t="n">
        <v>0</v>
      </c>
      <c r="M785" t="n">
        <v>0</v>
      </c>
      <c r="N785" t="n">
        <v>0</v>
      </c>
      <c r="O785" t="n">
        <v>0</v>
      </c>
      <c r="P785" t="n">
        <v>0</v>
      </c>
      <c r="Q785" t="n">
        <v>0</v>
      </c>
      <c r="R785" s="2" t="inlineStr"/>
    </row>
    <row r="786" ht="15" customHeight="1">
      <c r="A786" t="inlineStr">
        <is>
          <t>A 51853-2019</t>
        </is>
      </c>
      <c r="B786" s="1" t="n">
        <v>43734</v>
      </c>
      <c r="C786" s="1" t="n">
        <v>45796</v>
      </c>
      <c r="D786" t="inlineStr">
        <is>
          <t>SKÅNE LÄN</t>
        </is>
      </c>
      <c r="E786" t="inlineStr">
        <is>
          <t>SJÖBO</t>
        </is>
      </c>
      <c r="G786" t="n">
        <v>0.8</v>
      </c>
      <c r="H786" t="n">
        <v>0</v>
      </c>
      <c r="I786" t="n">
        <v>0</v>
      </c>
      <c r="J786" t="n">
        <v>0</v>
      </c>
      <c r="K786" t="n">
        <v>0</v>
      </c>
      <c r="L786" t="n">
        <v>0</v>
      </c>
      <c r="M786" t="n">
        <v>0</v>
      </c>
      <c r="N786" t="n">
        <v>0</v>
      </c>
      <c r="O786" t="n">
        <v>0</v>
      </c>
      <c r="P786" t="n">
        <v>0</v>
      </c>
      <c r="Q786" t="n">
        <v>0</v>
      </c>
      <c r="R786" s="2" t="inlineStr"/>
    </row>
    <row r="787" ht="15" customHeight="1">
      <c r="A787" t="inlineStr">
        <is>
          <t>A 51860-2019</t>
        </is>
      </c>
      <c r="B787" s="1" t="n">
        <v>43734</v>
      </c>
      <c r="C787" s="1" t="n">
        <v>45796</v>
      </c>
      <c r="D787" t="inlineStr">
        <is>
          <t>SKÅNE LÄN</t>
        </is>
      </c>
      <c r="E787" t="inlineStr">
        <is>
          <t>SJÖBO</t>
        </is>
      </c>
      <c r="G787" t="n">
        <v>1.3</v>
      </c>
      <c r="H787" t="n">
        <v>0</v>
      </c>
      <c r="I787" t="n">
        <v>0</v>
      </c>
      <c r="J787" t="n">
        <v>0</v>
      </c>
      <c r="K787" t="n">
        <v>0</v>
      </c>
      <c r="L787" t="n">
        <v>0</v>
      </c>
      <c r="M787" t="n">
        <v>0</v>
      </c>
      <c r="N787" t="n">
        <v>0</v>
      </c>
      <c r="O787" t="n">
        <v>0</v>
      </c>
      <c r="P787" t="n">
        <v>0</v>
      </c>
      <c r="Q787" t="n">
        <v>0</v>
      </c>
      <c r="R787" s="2" t="inlineStr"/>
    </row>
    <row r="788" ht="15" customHeight="1">
      <c r="A788" t="inlineStr">
        <is>
          <t>A 51886-2019</t>
        </is>
      </c>
      <c r="B788" s="1" t="n">
        <v>43734</v>
      </c>
      <c r="C788" s="1" t="n">
        <v>45796</v>
      </c>
      <c r="D788" t="inlineStr">
        <is>
          <t>SKÅNE LÄN</t>
        </is>
      </c>
      <c r="E788" t="inlineStr">
        <is>
          <t>SJÖBO</t>
        </is>
      </c>
      <c r="G788" t="n">
        <v>0.8</v>
      </c>
      <c r="H788" t="n">
        <v>0</v>
      </c>
      <c r="I788" t="n">
        <v>0</v>
      </c>
      <c r="J788" t="n">
        <v>0</v>
      </c>
      <c r="K788" t="n">
        <v>0</v>
      </c>
      <c r="L788" t="n">
        <v>0</v>
      </c>
      <c r="M788" t="n">
        <v>0</v>
      </c>
      <c r="N788" t="n">
        <v>0</v>
      </c>
      <c r="O788" t="n">
        <v>0</v>
      </c>
      <c r="P788" t="n">
        <v>0</v>
      </c>
      <c r="Q788" t="n">
        <v>0</v>
      </c>
      <c r="R788" s="2" t="inlineStr"/>
    </row>
    <row r="789" ht="15" customHeight="1">
      <c r="A789" t="inlineStr">
        <is>
          <t>A 51835-2019</t>
        </is>
      </c>
      <c r="B789" s="1" t="n">
        <v>43734</v>
      </c>
      <c r="C789" s="1" t="n">
        <v>45796</v>
      </c>
      <c r="D789" t="inlineStr">
        <is>
          <t>SKÅNE LÄN</t>
        </is>
      </c>
      <c r="E789" t="inlineStr">
        <is>
          <t>SJÖBO</t>
        </is>
      </c>
      <c r="G789" t="n">
        <v>1.3</v>
      </c>
      <c r="H789" t="n">
        <v>0</v>
      </c>
      <c r="I789" t="n">
        <v>0</v>
      </c>
      <c r="J789" t="n">
        <v>0</v>
      </c>
      <c r="K789" t="n">
        <v>0</v>
      </c>
      <c r="L789" t="n">
        <v>0</v>
      </c>
      <c r="M789" t="n">
        <v>0</v>
      </c>
      <c r="N789" t="n">
        <v>0</v>
      </c>
      <c r="O789" t="n">
        <v>0</v>
      </c>
      <c r="P789" t="n">
        <v>0</v>
      </c>
      <c r="Q789" t="n">
        <v>0</v>
      </c>
      <c r="R789" s="2" t="inlineStr"/>
    </row>
    <row r="790" ht="15" customHeight="1">
      <c r="A790" t="inlineStr">
        <is>
          <t>A 51889-2019</t>
        </is>
      </c>
      <c r="B790" s="1" t="n">
        <v>43734</v>
      </c>
      <c r="C790" s="1" t="n">
        <v>45796</v>
      </c>
      <c r="D790" t="inlineStr">
        <is>
          <t>SKÅNE LÄN</t>
        </is>
      </c>
      <c r="E790" t="inlineStr">
        <is>
          <t>SJÖBO</t>
        </is>
      </c>
      <c r="G790" t="n">
        <v>2.4</v>
      </c>
      <c r="H790" t="n">
        <v>0</v>
      </c>
      <c r="I790" t="n">
        <v>0</v>
      </c>
      <c r="J790" t="n">
        <v>0</v>
      </c>
      <c r="K790" t="n">
        <v>0</v>
      </c>
      <c r="L790" t="n">
        <v>0</v>
      </c>
      <c r="M790" t="n">
        <v>0</v>
      </c>
      <c r="N790" t="n">
        <v>0</v>
      </c>
      <c r="O790" t="n">
        <v>0</v>
      </c>
      <c r="P790" t="n">
        <v>0</v>
      </c>
      <c r="Q790" t="n">
        <v>0</v>
      </c>
      <c r="R790" s="2" t="inlineStr"/>
    </row>
    <row r="791" ht="15" customHeight="1">
      <c r="A791" t="inlineStr">
        <is>
          <t>A 51849-2019</t>
        </is>
      </c>
      <c r="B791" s="1" t="n">
        <v>43734</v>
      </c>
      <c r="C791" s="1" t="n">
        <v>45796</v>
      </c>
      <c r="D791" t="inlineStr">
        <is>
          <t>SKÅNE LÄN</t>
        </is>
      </c>
      <c r="E791" t="inlineStr">
        <is>
          <t>SJÖBO</t>
        </is>
      </c>
      <c r="G791" t="n">
        <v>0.5</v>
      </c>
      <c r="H791" t="n">
        <v>0</v>
      </c>
      <c r="I791" t="n">
        <v>0</v>
      </c>
      <c r="J791" t="n">
        <v>0</v>
      </c>
      <c r="K791" t="n">
        <v>0</v>
      </c>
      <c r="L791" t="n">
        <v>0</v>
      </c>
      <c r="M791" t="n">
        <v>0</v>
      </c>
      <c r="N791" t="n">
        <v>0</v>
      </c>
      <c r="O791" t="n">
        <v>0</v>
      </c>
      <c r="P791" t="n">
        <v>0</v>
      </c>
      <c r="Q791" t="n">
        <v>0</v>
      </c>
      <c r="R791" s="2" t="inlineStr"/>
    </row>
    <row r="792" ht="15" customHeight="1">
      <c r="A792" t="inlineStr">
        <is>
          <t>A 50398-2019</t>
        </is>
      </c>
      <c r="B792" s="1" t="n">
        <v>43735</v>
      </c>
      <c r="C792" s="1" t="n">
        <v>45796</v>
      </c>
      <c r="D792" t="inlineStr">
        <is>
          <t>SKÅNE LÄN</t>
        </is>
      </c>
      <c r="E792" t="inlineStr">
        <is>
          <t>OSBY</t>
        </is>
      </c>
      <c r="G792" t="n">
        <v>3.9</v>
      </c>
      <c r="H792" t="n">
        <v>0</v>
      </c>
      <c r="I792" t="n">
        <v>0</v>
      </c>
      <c r="J792" t="n">
        <v>0</v>
      </c>
      <c r="K792" t="n">
        <v>0</v>
      </c>
      <c r="L792" t="n">
        <v>0</v>
      </c>
      <c r="M792" t="n">
        <v>0</v>
      </c>
      <c r="N792" t="n">
        <v>0</v>
      </c>
      <c r="O792" t="n">
        <v>0</v>
      </c>
      <c r="P792" t="n">
        <v>0</v>
      </c>
      <c r="Q792" t="n">
        <v>0</v>
      </c>
      <c r="R792" s="2" t="inlineStr"/>
    </row>
    <row r="793" ht="15" customHeight="1">
      <c r="A793" t="inlineStr">
        <is>
          <t>A 50740-2019</t>
        </is>
      </c>
      <c r="B793" s="1" t="n">
        <v>43738</v>
      </c>
      <c r="C793" s="1" t="n">
        <v>45796</v>
      </c>
      <c r="D793" t="inlineStr">
        <is>
          <t>SKÅNE LÄN</t>
        </is>
      </c>
      <c r="E793" t="inlineStr">
        <is>
          <t>SJÖBO</t>
        </is>
      </c>
      <c r="G793" t="n">
        <v>1.7</v>
      </c>
      <c r="H793" t="n">
        <v>0</v>
      </c>
      <c r="I793" t="n">
        <v>0</v>
      </c>
      <c r="J793" t="n">
        <v>0</v>
      </c>
      <c r="K793" t="n">
        <v>0</v>
      </c>
      <c r="L793" t="n">
        <v>0</v>
      </c>
      <c r="M793" t="n">
        <v>0</v>
      </c>
      <c r="N793" t="n">
        <v>0</v>
      </c>
      <c r="O793" t="n">
        <v>0</v>
      </c>
      <c r="P793" t="n">
        <v>0</v>
      </c>
      <c r="Q793" t="n">
        <v>0</v>
      </c>
      <c r="R793" s="2" t="inlineStr"/>
    </row>
    <row r="794" ht="15" customHeight="1">
      <c r="A794" t="inlineStr">
        <is>
          <t>A 51052-2019</t>
        </is>
      </c>
      <c r="B794" s="1" t="n">
        <v>43739</v>
      </c>
      <c r="C794" s="1" t="n">
        <v>45796</v>
      </c>
      <c r="D794" t="inlineStr">
        <is>
          <t>SKÅNE LÄN</t>
        </is>
      </c>
      <c r="E794" t="inlineStr">
        <is>
          <t>KRISTIANSTAD</t>
        </is>
      </c>
      <c r="F794" t="inlineStr">
        <is>
          <t>Övriga Aktiebolag</t>
        </is>
      </c>
      <c r="G794" t="n">
        <v>17.8</v>
      </c>
      <c r="H794" t="n">
        <v>0</v>
      </c>
      <c r="I794" t="n">
        <v>0</v>
      </c>
      <c r="J794" t="n">
        <v>0</v>
      </c>
      <c r="K794" t="n">
        <v>0</v>
      </c>
      <c r="L794" t="n">
        <v>0</v>
      </c>
      <c r="M794" t="n">
        <v>0</v>
      </c>
      <c r="N794" t="n">
        <v>0</v>
      </c>
      <c r="O794" t="n">
        <v>0</v>
      </c>
      <c r="P794" t="n">
        <v>0</v>
      </c>
      <c r="Q794" t="n">
        <v>0</v>
      </c>
      <c r="R794" s="2" t="inlineStr"/>
    </row>
    <row r="795" ht="15" customHeight="1">
      <c r="A795" t="inlineStr">
        <is>
          <t>A 51573-2019</t>
        </is>
      </c>
      <c r="B795" s="1" t="n">
        <v>43740</v>
      </c>
      <c r="C795" s="1" t="n">
        <v>45796</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52964-2019</t>
        </is>
      </c>
      <c r="B796" s="1" t="n">
        <v>43740</v>
      </c>
      <c r="C796" s="1" t="n">
        <v>45796</v>
      </c>
      <c r="D796" t="inlineStr">
        <is>
          <t>SKÅNE LÄN</t>
        </is>
      </c>
      <c r="E796" t="inlineStr">
        <is>
          <t>HÄSSLEHOLM</t>
        </is>
      </c>
      <c r="G796" t="n">
        <v>7.5</v>
      </c>
      <c r="H796" t="n">
        <v>0</v>
      </c>
      <c r="I796" t="n">
        <v>0</v>
      </c>
      <c r="J796" t="n">
        <v>0</v>
      </c>
      <c r="K796" t="n">
        <v>0</v>
      </c>
      <c r="L796" t="n">
        <v>0</v>
      </c>
      <c r="M796" t="n">
        <v>0</v>
      </c>
      <c r="N796" t="n">
        <v>0</v>
      </c>
      <c r="O796" t="n">
        <v>0</v>
      </c>
      <c r="P796" t="n">
        <v>0</v>
      </c>
      <c r="Q796" t="n">
        <v>0</v>
      </c>
      <c r="R796" s="2" t="inlineStr"/>
    </row>
    <row r="797" ht="15" customHeight="1">
      <c r="A797" t="inlineStr">
        <is>
          <t>A 51640-2019</t>
        </is>
      </c>
      <c r="B797" s="1" t="n">
        <v>43740</v>
      </c>
      <c r="C797" s="1" t="n">
        <v>45796</v>
      </c>
      <c r="D797" t="inlineStr">
        <is>
          <t>SKÅNE LÄN</t>
        </is>
      </c>
      <c r="E797" t="inlineStr">
        <is>
          <t>ÖSTRA GÖINGE</t>
        </is>
      </c>
      <c r="G797" t="n">
        <v>1.4</v>
      </c>
      <c r="H797" t="n">
        <v>0</v>
      </c>
      <c r="I797" t="n">
        <v>0</v>
      </c>
      <c r="J797" t="n">
        <v>0</v>
      </c>
      <c r="K797" t="n">
        <v>0</v>
      </c>
      <c r="L797" t="n">
        <v>0</v>
      </c>
      <c r="M797" t="n">
        <v>0</v>
      </c>
      <c r="N797" t="n">
        <v>0</v>
      </c>
      <c r="O797" t="n">
        <v>0</v>
      </c>
      <c r="P797" t="n">
        <v>0</v>
      </c>
      <c r="Q797" t="n">
        <v>0</v>
      </c>
      <c r="R797" s="2" t="inlineStr"/>
    </row>
    <row r="798" ht="15" customHeight="1">
      <c r="A798" t="inlineStr">
        <is>
          <t>A 51476-2019</t>
        </is>
      </c>
      <c r="B798" s="1" t="n">
        <v>43740</v>
      </c>
      <c r="C798" s="1" t="n">
        <v>45796</v>
      </c>
      <c r="D798" t="inlineStr">
        <is>
          <t>SKÅNE LÄN</t>
        </is>
      </c>
      <c r="E798" t="inlineStr">
        <is>
          <t>HÄSSLEHOLM</t>
        </is>
      </c>
      <c r="G798" t="n">
        <v>3.8</v>
      </c>
      <c r="H798" t="n">
        <v>0</v>
      </c>
      <c r="I798" t="n">
        <v>0</v>
      </c>
      <c r="J798" t="n">
        <v>0</v>
      </c>
      <c r="K798" t="n">
        <v>0</v>
      </c>
      <c r="L798" t="n">
        <v>0</v>
      </c>
      <c r="M798" t="n">
        <v>0</v>
      </c>
      <c r="N798" t="n">
        <v>0</v>
      </c>
      <c r="O798" t="n">
        <v>0</v>
      </c>
      <c r="P798" t="n">
        <v>0</v>
      </c>
      <c r="Q798" t="n">
        <v>0</v>
      </c>
      <c r="R798" s="2" t="inlineStr"/>
    </row>
    <row r="799" ht="15" customHeight="1">
      <c r="A799" t="inlineStr">
        <is>
          <t>A 51579-2019</t>
        </is>
      </c>
      <c r="B799" s="1" t="n">
        <v>43740</v>
      </c>
      <c r="C799" s="1" t="n">
        <v>45796</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51543-2019</t>
        </is>
      </c>
      <c r="B800" s="1" t="n">
        <v>43740</v>
      </c>
      <c r="C800" s="1" t="n">
        <v>45796</v>
      </c>
      <c r="D800" t="inlineStr">
        <is>
          <t>SKÅNE LÄN</t>
        </is>
      </c>
      <c r="E800" t="inlineStr">
        <is>
          <t>HÄSSLEHOLM</t>
        </is>
      </c>
      <c r="G800" t="n">
        <v>4</v>
      </c>
      <c r="H800" t="n">
        <v>0</v>
      </c>
      <c r="I800" t="n">
        <v>0</v>
      </c>
      <c r="J800" t="n">
        <v>0</v>
      </c>
      <c r="K800" t="n">
        <v>0</v>
      </c>
      <c r="L800" t="n">
        <v>0</v>
      </c>
      <c r="M800" t="n">
        <v>0</v>
      </c>
      <c r="N800" t="n">
        <v>0</v>
      </c>
      <c r="O800" t="n">
        <v>0</v>
      </c>
      <c r="P800" t="n">
        <v>0</v>
      </c>
      <c r="Q800" t="n">
        <v>0</v>
      </c>
      <c r="R800" s="2" t="inlineStr"/>
    </row>
    <row r="801" ht="15" customHeight="1">
      <c r="A801" t="inlineStr">
        <is>
          <t>A 51338-2019</t>
        </is>
      </c>
      <c r="B801" s="1" t="n">
        <v>43740</v>
      </c>
      <c r="C801" s="1" t="n">
        <v>45796</v>
      </c>
      <c r="D801" t="inlineStr">
        <is>
          <t>SKÅNE LÄN</t>
        </is>
      </c>
      <c r="E801" t="inlineStr">
        <is>
          <t>SIMRISHAMN</t>
        </is>
      </c>
      <c r="F801" t="inlineStr">
        <is>
          <t>Övriga Aktiebolag</t>
        </is>
      </c>
      <c r="G801" t="n">
        <v>6.1</v>
      </c>
      <c r="H801" t="n">
        <v>0</v>
      </c>
      <c r="I801" t="n">
        <v>0</v>
      </c>
      <c r="J801" t="n">
        <v>0</v>
      </c>
      <c r="K801" t="n">
        <v>0</v>
      </c>
      <c r="L801" t="n">
        <v>0</v>
      </c>
      <c r="M801" t="n">
        <v>0</v>
      </c>
      <c r="N801" t="n">
        <v>0</v>
      </c>
      <c r="O801" t="n">
        <v>0</v>
      </c>
      <c r="P801" t="n">
        <v>0</v>
      </c>
      <c r="Q801" t="n">
        <v>0</v>
      </c>
      <c r="R801" s="2" t="inlineStr"/>
    </row>
    <row r="802" ht="15" customHeight="1">
      <c r="A802" t="inlineStr">
        <is>
          <t>A 51581-2019</t>
        </is>
      </c>
      <c r="B802" s="1" t="n">
        <v>43740</v>
      </c>
      <c r="C802" s="1" t="n">
        <v>45796</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51936-2019</t>
        </is>
      </c>
      <c r="B803" s="1" t="n">
        <v>43741</v>
      </c>
      <c r="C803" s="1" t="n">
        <v>45796</v>
      </c>
      <c r="D803" t="inlineStr">
        <is>
          <t>SKÅNE LÄN</t>
        </is>
      </c>
      <c r="E803" t="inlineStr">
        <is>
          <t>HÄSSLEHOLM</t>
        </is>
      </c>
      <c r="G803" t="n">
        <v>1.8</v>
      </c>
      <c r="H803" t="n">
        <v>0</v>
      </c>
      <c r="I803" t="n">
        <v>0</v>
      </c>
      <c r="J803" t="n">
        <v>0</v>
      </c>
      <c r="K803" t="n">
        <v>0</v>
      </c>
      <c r="L803" t="n">
        <v>0</v>
      </c>
      <c r="M803" t="n">
        <v>0</v>
      </c>
      <c r="N803" t="n">
        <v>0</v>
      </c>
      <c r="O803" t="n">
        <v>0</v>
      </c>
      <c r="P803" t="n">
        <v>0</v>
      </c>
      <c r="Q803" t="n">
        <v>0</v>
      </c>
      <c r="R803" s="2" t="inlineStr"/>
    </row>
    <row r="804" ht="15" customHeight="1">
      <c r="A804" t="inlineStr">
        <is>
          <t>A 51795-2019</t>
        </is>
      </c>
      <c r="B804" s="1" t="n">
        <v>43741</v>
      </c>
      <c r="C804" s="1" t="n">
        <v>45796</v>
      </c>
      <c r="D804" t="inlineStr">
        <is>
          <t>SKÅNE LÄN</t>
        </is>
      </c>
      <c r="E804" t="inlineStr">
        <is>
          <t>HÄSSLEHOLM</t>
        </is>
      </c>
      <c r="G804" t="n">
        <v>2</v>
      </c>
      <c r="H804" t="n">
        <v>0</v>
      </c>
      <c r="I804" t="n">
        <v>0</v>
      </c>
      <c r="J804" t="n">
        <v>0</v>
      </c>
      <c r="K804" t="n">
        <v>0</v>
      </c>
      <c r="L804" t="n">
        <v>0</v>
      </c>
      <c r="M804" t="n">
        <v>0</v>
      </c>
      <c r="N804" t="n">
        <v>0</v>
      </c>
      <c r="O804" t="n">
        <v>0</v>
      </c>
      <c r="P804" t="n">
        <v>0</v>
      </c>
      <c r="Q804" t="n">
        <v>0</v>
      </c>
      <c r="R804" s="2" t="inlineStr"/>
    </row>
    <row r="805" ht="15" customHeight="1">
      <c r="A805" t="inlineStr">
        <is>
          <t>A 51933-2019</t>
        </is>
      </c>
      <c r="B805" s="1" t="n">
        <v>43741</v>
      </c>
      <c r="C805" s="1" t="n">
        <v>45796</v>
      </c>
      <c r="D805" t="inlineStr">
        <is>
          <t>SKÅNE LÄN</t>
        </is>
      </c>
      <c r="E805" t="inlineStr">
        <is>
          <t>KLIPPAN</t>
        </is>
      </c>
      <c r="G805" t="n">
        <v>0.8</v>
      </c>
      <c r="H805" t="n">
        <v>0</v>
      </c>
      <c r="I805" t="n">
        <v>0</v>
      </c>
      <c r="J805" t="n">
        <v>0</v>
      </c>
      <c r="K805" t="n">
        <v>0</v>
      </c>
      <c r="L805" t="n">
        <v>0</v>
      </c>
      <c r="M805" t="n">
        <v>0</v>
      </c>
      <c r="N805" t="n">
        <v>0</v>
      </c>
      <c r="O805" t="n">
        <v>0</v>
      </c>
      <c r="P805" t="n">
        <v>0</v>
      </c>
      <c r="Q805" t="n">
        <v>0</v>
      </c>
      <c r="R805" s="2" t="inlineStr"/>
    </row>
    <row r="806" ht="15" customHeight="1">
      <c r="A806" t="inlineStr">
        <is>
          <t>A 51745-2019</t>
        </is>
      </c>
      <c r="B806" s="1" t="n">
        <v>43741</v>
      </c>
      <c r="C806" s="1" t="n">
        <v>45796</v>
      </c>
      <c r="D806" t="inlineStr">
        <is>
          <t>SKÅNE LÄN</t>
        </is>
      </c>
      <c r="E806" t="inlineStr">
        <is>
          <t>KRISTIANSTAD</t>
        </is>
      </c>
      <c r="F806" t="inlineStr">
        <is>
          <t>Övriga Aktiebolag</t>
        </is>
      </c>
      <c r="G806" t="n">
        <v>2.1</v>
      </c>
      <c r="H806" t="n">
        <v>0</v>
      </c>
      <c r="I806" t="n">
        <v>0</v>
      </c>
      <c r="J806" t="n">
        <v>0</v>
      </c>
      <c r="K806" t="n">
        <v>0</v>
      </c>
      <c r="L806" t="n">
        <v>0</v>
      </c>
      <c r="M806" t="n">
        <v>0</v>
      </c>
      <c r="N806" t="n">
        <v>0</v>
      </c>
      <c r="O806" t="n">
        <v>0</v>
      </c>
      <c r="P806" t="n">
        <v>0</v>
      </c>
      <c r="Q806" t="n">
        <v>0</v>
      </c>
      <c r="R806" s="2" t="inlineStr"/>
    </row>
    <row r="807" ht="15" customHeight="1">
      <c r="A807" t="inlineStr">
        <is>
          <t>A 52087-2019</t>
        </is>
      </c>
      <c r="B807" s="1" t="n">
        <v>43742</v>
      </c>
      <c r="C807" s="1" t="n">
        <v>45796</v>
      </c>
      <c r="D807" t="inlineStr">
        <is>
          <t>SKÅNE LÄN</t>
        </is>
      </c>
      <c r="E807" t="inlineStr">
        <is>
          <t>ÖSTRA GÖINGE</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52092-2019</t>
        </is>
      </c>
      <c r="B808" s="1" t="n">
        <v>43742</v>
      </c>
      <c r="C808" s="1" t="n">
        <v>45796</v>
      </c>
      <c r="D808" t="inlineStr">
        <is>
          <t>SKÅNE LÄN</t>
        </is>
      </c>
      <c r="E808" t="inlineStr">
        <is>
          <t>ÖSTRA GÖINGE</t>
        </is>
      </c>
      <c r="G808" t="n">
        <v>12.4</v>
      </c>
      <c r="H808" t="n">
        <v>0</v>
      </c>
      <c r="I808" t="n">
        <v>0</v>
      </c>
      <c r="J808" t="n">
        <v>0</v>
      </c>
      <c r="K808" t="n">
        <v>0</v>
      </c>
      <c r="L808" t="n">
        <v>0</v>
      </c>
      <c r="M808" t="n">
        <v>0</v>
      </c>
      <c r="N808" t="n">
        <v>0</v>
      </c>
      <c r="O808" t="n">
        <v>0</v>
      </c>
      <c r="P808" t="n">
        <v>0</v>
      </c>
      <c r="Q808" t="n">
        <v>0</v>
      </c>
      <c r="R808" s="2" t="inlineStr"/>
    </row>
    <row r="809" ht="15" customHeight="1">
      <c r="A809" t="inlineStr">
        <is>
          <t>A 52094-2019</t>
        </is>
      </c>
      <c r="B809" s="1" t="n">
        <v>43742</v>
      </c>
      <c r="C809" s="1" t="n">
        <v>45796</v>
      </c>
      <c r="D809" t="inlineStr">
        <is>
          <t>SKÅNE LÄN</t>
        </is>
      </c>
      <c r="E809" t="inlineStr">
        <is>
          <t>ÖSTRA GÖINGE</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51990-2019</t>
        </is>
      </c>
      <c r="B810" s="1" t="n">
        <v>43742</v>
      </c>
      <c r="C810" s="1" t="n">
        <v>45796</v>
      </c>
      <c r="D810" t="inlineStr">
        <is>
          <t>SKÅNE LÄN</t>
        </is>
      </c>
      <c r="E810" t="inlineStr">
        <is>
          <t>OSBY</t>
        </is>
      </c>
      <c r="G810" t="n">
        <v>0.4</v>
      </c>
      <c r="H810" t="n">
        <v>0</v>
      </c>
      <c r="I810" t="n">
        <v>0</v>
      </c>
      <c r="J810" t="n">
        <v>0</v>
      </c>
      <c r="K810" t="n">
        <v>0</v>
      </c>
      <c r="L810" t="n">
        <v>0</v>
      </c>
      <c r="M810" t="n">
        <v>0</v>
      </c>
      <c r="N810" t="n">
        <v>0</v>
      </c>
      <c r="O810" t="n">
        <v>0</v>
      </c>
      <c r="P810" t="n">
        <v>0</v>
      </c>
      <c r="Q810" t="n">
        <v>0</v>
      </c>
      <c r="R810" s="2" t="inlineStr"/>
    </row>
    <row r="811" ht="15" customHeight="1">
      <c r="A811" t="inlineStr">
        <is>
          <t>A 52074-2019</t>
        </is>
      </c>
      <c r="B811" s="1" t="n">
        <v>43742</v>
      </c>
      <c r="C811" s="1" t="n">
        <v>45796</v>
      </c>
      <c r="D811" t="inlineStr">
        <is>
          <t>SKÅNE LÄN</t>
        </is>
      </c>
      <c r="E811" t="inlineStr">
        <is>
          <t>ÖSTRA GÖINGE</t>
        </is>
      </c>
      <c r="G811" t="n">
        <v>15.4</v>
      </c>
      <c r="H811" t="n">
        <v>0</v>
      </c>
      <c r="I811" t="n">
        <v>0</v>
      </c>
      <c r="J811" t="n">
        <v>0</v>
      </c>
      <c r="K811" t="n">
        <v>0</v>
      </c>
      <c r="L811" t="n">
        <v>0</v>
      </c>
      <c r="M811" t="n">
        <v>0</v>
      </c>
      <c r="N811" t="n">
        <v>0</v>
      </c>
      <c r="O811" t="n">
        <v>0</v>
      </c>
      <c r="P811" t="n">
        <v>0</v>
      </c>
      <c r="Q811" t="n">
        <v>0</v>
      </c>
      <c r="R811" s="2" t="inlineStr"/>
    </row>
    <row r="812" ht="15" customHeight="1">
      <c r="A812" t="inlineStr">
        <is>
          <t>A 52083-2019</t>
        </is>
      </c>
      <c r="B812" s="1" t="n">
        <v>43742</v>
      </c>
      <c r="C812" s="1" t="n">
        <v>45796</v>
      </c>
      <c r="D812" t="inlineStr">
        <is>
          <t>SKÅNE LÄN</t>
        </is>
      </c>
      <c r="E812" t="inlineStr">
        <is>
          <t>ÖSTRA GÖINGE</t>
        </is>
      </c>
      <c r="G812" t="n">
        <v>15.3</v>
      </c>
      <c r="H812" t="n">
        <v>0</v>
      </c>
      <c r="I812" t="n">
        <v>0</v>
      </c>
      <c r="J812" t="n">
        <v>0</v>
      </c>
      <c r="K812" t="n">
        <v>0</v>
      </c>
      <c r="L812" t="n">
        <v>0</v>
      </c>
      <c r="M812" t="n">
        <v>0</v>
      </c>
      <c r="N812" t="n">
        <v>0</v>
      </c>
      <c r="O812" t="n">
        <v>0</v>
      </c>
      <c r="P812" t="n">
        <v>0</v>
      </c>
      <c r="Q812" t="n">
        <v>0</v>
      </c>
      <c r="R812" s="2" t="inlineStr"/>
    </row>
    <row r="813" ht="15" customHeight="1">
      <c r="A813" t="inlineStr">
        <is>
          <t>A 52091-2019</t>
        </is>
      </c>
      <c r="B813" s="1" t="n">
        <v>43742</v>
      </c>
      <c r="C813" s="1" t="n">
        <v>45796</v>
      </c>
      <c r="D813" t="inlineStr">
        <is>
          <t>SKÅNE LÄN</t>
        </is>
      </c>
      <c r="E813" t="inlineStr">
        <is>
          <t>ÖSTRA GÖINGE</t>
        </is>
      </c>
      <c r="G813" t="n">
        <v>10.8</v>
      </c>
      <c r="H813" t="n">
        <v>0</v>
      </c>
      <c r="I813" t="n">
        <v>0</v>
      </c>
      <c r="J813" t="n">
        <v>0</v>
      </c>
      <c r="K813" t="n">
        <v>0</v>
      </c>
      <c r="L813" t="n">
        <v>0</v>
      </c>
      <c r="M813" t="n">
        <v>0</v>
      </c>
      <c r="N813" t="n">
        <v>0</v>
      </c>
      <c r="O813" t="n">
        <v>0</v>
      </c>
      <c r="P813" t="n">
        <v>0</v>
      </c>
      <c r="Q813" t="n">
        <v>0</v>
      </c>
      <c r="R813" s="2" t="inlineStr"/>
    </row>
    <row r="814" ht="15" customHeight="1">
      <c r="A814" t="inlineStr">
        <is>
          <t>A 52095-2019</t>
        </is>
      </c>
      <c r="B814" s="1" t="n">
        <v>43742</v>
      </c>
      <c r="C814" s="1" t="n">
        <v>45796</v>
      </c>
      <c r="D814" t="inlineStr">
        <is>
          <t>SKÅNE LÄN</t>
        </is>
      </c>
      <c r="E814" t="inlineStr">
        <is>
          <t>ÖSTRA GÖINGE</t>
        </is>
      </c>
      <c r="G814" t="n">
        <v>7.2</v>
      </c>
      <c r="H814" t="n">
        <v>0</v>
      </c>
      <c r="I814" t="n">
        <v>0</v>
      </c>
      <c r="J814" t="n">
        <v>0</v>
      </c>
      <c r="K814" t="n">
        <v>0</v>
      </c>
      <c r="L814" t="n">
        <v>0</v>
      </c>
      <c r="M814" t="n">
        <v>0</v>
      </c>
      <c r="N814" t="n">
        <v>0</v>
      </c>
      <c r="O814" t="n">
        <v>0</v>
      </c>
      <c r="P814" t="n">
        <v>0</v>
      </c>
      <c r="Q814" t="n">
        <v>0</v>
      </c>
      <c r="R814" s="2" t="inlineStr"/>
    </row>
    <row r="815" ht="15" customHeight="1">
      <c r="A815" t="inlineStr">
        <is>
          <t>A 52103-2019</t>
        </is>
      </c>
      <c r="B815" s="1" t="n">
        <v>43742</v>
      </c>
      <c r="C815" s="1" t="n">
        <v>45796</v>
      </c>
      <c r="D815" t="inlineStr">
        <is>
          <t>SKÅNE LÄN</t>
        </is>
      </c>
      <c r="E815" t="inlineStr">
        <is>
          <t>ÖSTRA GÖINGE</t>
        </is>
      </c>
      <c r="G815" t="n">
        <v>4</v>
      </c>
      <c r="H815" t="n">
        <v>0</v>
      </c>
      <c r="I815" t="n">
        <v>0</v>
      </c>
      <c r="J815" t="n">
        <v>0</v>
      </c>
      <c r="K815" t="n">
        <v>0</v>
      </c>
      <c r="L815" t="n">
        <v>0</v>
      </c>
      <c r="M815" t="n">
        <v>0</v>
      </c>
      <c r="N815" t="n">
        <v>0</v>
      </c>
      <c r="O815" t="n">
        <v>0</v>
      </c>
      <c r="P815" t="n">
        <v>0</v>
      </c>
      <c r="Q815" t="n">
        <v>0</v>
      </c>
      <c r="R815" s="2" t="inlineStr"/>
    </row>
    <row r="816" ht="15" customHeight="1">
      <c r="A816" t="inlineStr">
        <is>
          <t>A 52111-2019</t>
        </is>
      </c>
      <c r="B816" s="1" t="n">
        <v>43742</v>
      </c>
      <c r="C816" s="1" t="n">
        <v>45796</v>
      </c>
      <c r="D816" t="inlineStr">
        <is>
          <t>SKÅNE LÄN</t>
        </is>
      </c>
      <c r="E816" t="inlineStr">
        <is>
          <t>ÖSTRA GÖINGE</t>
        </is>
      </c>
      <c r="G816" t="n">
        <v>1.2</v>
      </c>
      <c r="H816" t="n">
        <v>0</v>
      </c>
      <c r="I816" t="n">
        <v>0</v>
      </c>
      <c r="J816" t="n">
        <v>0</v>
      </c>
      <c r="K816" t="n">
        <v>0</v>
      </c>
      <c r="L816" t="n">
        <v>0</v>
      </c>
      <c r="M816" t="n">
        <v>0</v>
      </c>
      <c r="N816" t="n">
        <v>0</v>
      </c>
      <c r="O816" t="n">
        <v>0</v>
      </c>
      <c r="P816" t="n">
        <v>0</v>
      </c>
      <c r="Q816" t="n">
        <v>0</v>
      </c>
      <c r="R816" s="2" t="inlineStr"/>
    </row>
    <row r="817" ht="15" customHeight="1">
      <c r="A817" t="inlineStr">
        <is>
          <t>A 52077-2019</t>
        </is>
      </c>
      <c r="B817" s="1" t="n">
        <v>43742</v>
      </c>
      <c r="C817" s="1" t="n">
        <v>45796</v>
      </c>
      <c r="D817" t="inlineStr">
        <is>
          <t>SKÅNE LÄN</t>
        </is>
      </c>
      <c r="E817" t="inlineStr">
        <is>
          <t>ÖSTRA GÖINGE</t>
        </is>
      </c>
      <c r="G817" t="n">
        <v>5.2</v>
      </c>
      <c r="H817" t="n">
        <v>0</v>
      </c>
      <c r="I817" t="n">
        <v>0</v>
      </c>
      <c r="J817" t="n">
        <v>0</v>
      </c>
      <c r="K817" t="n">
        <v>0</v>
      </c>
      <c r="L817" t="n">
        <v>0</v>
      </c>
      <c r="M817" t="n">
        <v>0</v>
      </c>
      <c r="N817" t="n">
        <v>0</v>
      </c>
      <c r="O817" t="n">
        <v>0</v>
      </c>
      <c r="P817" t="n">
        <v>0</v>
      </c>
      <c r="Q817" t="n">
        <v>0</v>
      </c>
      <c r="R817" s="2" t="inlineStr"/>
    </row>
    <row r="818" ht="15" customHeight="1">
      <c r="A818" t="inlineStr">
        <is>
          <t>A 52088-2019</t>
        </is>
      </c>
      <c r="B818" s="1" t="n">
        <v>43742</v>
      </c>
      <c r="C818" s="1" t="n">
        <v>45796</v>
      </c>
      <c r="D818" t="inlineStr">
        <is>
          <t>SKÅNE LÄN</t>
        </is>
      </c>
      <c r="E818" t="inlineStr">
        <is>
          <t>ÖSTRA GÖINGE</t>
        </is>
      </c>
      <c r="G818" t="n">
        <v>0.8</v>
      </c>
      <c r="H818" t="n">
        <v>0</v>
      </c>
      <c r="I818" t="n">
        <v>0</v>
      </c>
      <c r="J818" t="n">
        <v>0</v>
      </c>
      <c r="K818" t="n">
        <v>0</v>
      </c>
      <c r="L818" t="n">
        <v>0</v>
      </c>
      <c r="M818" t="n">
        <v>0</v>
      </c>
      <c r="N818" t="n">
        <v>0</v>
      </c>
      <c r="O818" t="n">
        <v>0</v>
      </c>
      <c r="P818" t="n">
        <v>0</v>
      </c>
      <c r="Q818" t="n">
        <v>0</v>
      </c>
      <c r="R818" s="2" t="inlineStr"/>
    </row>
    <row r="819" ht="15" customHeight="1">
      <c r="A819" t="inlineStr">
        <is>
          <t>A 52090-2019</t>
        </is>
      </c>
      <c r="B819" s="1" t="n">
        <v>43742</v>
      </c>
      <c r="C819" s="1" t="n">
        <v>45796</v>
      </c>
      <c r="D819" t="inlineStr">
        <is>
          <t>SKÅNE LÄN</t>
        </is>
      </c>
      <c r="E819" t="inlineStr">
        <is>
          <t>ÖSTRA GÖINGE</t>
        </is>
      </c>
      <c r="G819" t="n">
        <v>7.3</v>
      </c>
      <c r="H819" t="n">
        <v>0</v>
      </c>
      <c r="I819" t="n">
        <v>0</v>
      </c>
      <c r="J819" t="n">
        <v>0</v>
      </c>
      <c r="K819" t="n">
        <v>0</v>
      </c>
      <c r="L819" t="n">
        <v>0</v>
      </c>
      <c r="M819" t="n">
        <v>0</v>
      </c>
      <c r="N819" t="n">
        <v>0</v>
      </c>
      <c r="O819" t="n">
        <v>0</v>
      </c>
      <c r="P819" t="n">
        <v>0</v>
      </c>
      <c r="Q819" t="n">
        <v>0</v>
      </c>
      <c r="R819" s="2" t="inlineStr"/>
    </row>
    <row r="820" ht="15" customHeight="1">
      <c r="A820" t="inlineStr">
        <is>
          <t>A 52080-2019</t>
        </is>
      </c>
      <c r="B820" s="1" t="n">
        <v>43742</v>
      </c>
      <c r="C820" s="1" t="n">
        <v>45796</v>
      </c>
      <c r="D820" t="inlineStr">
        <is>
          <t>SKÅNE LÄN</t>
        </is>
      </c>
      <c r="E820" t="inlineStr">
        <is>
          <t>ÖSTRA GÖINGE</t>
        </is>
      </c>
      <c r="G820" t="n">
        <v>4.6</v>
      </c>
      <c r="H820" t="n">
        <v>0</v>
      </c>
      <c r="I820" t="n">
        <v>0</v>
      </c>
      <c r="J820" t="n">
        <v>0</v>
      </c>
      <c r="K820" t="n">
        <v>0</v>
      </c>
      <c r="L820" t="n">
        <v>0</v>
      </c>
      <c r="M820" t="n">
        <v>0</v>
      </c>
      <c r="N820" t="n">
        <v>0</v>
      </c>
      <c r="O820" t="n">
        <v>0</v>
      </c>
      <c r="P820" t="n">
        <v>0</v>
      </c>
      <c r="Q820" t="n">
        <v>0</v>
      </c>
      <c r="R820" s="2" t="inlineStr"/>
    </row>
    <row r="821" ht="15" customHeight="1">
      <c r="A821" t="inlineStr">
        <is>
          <t>A 52073-2019</t>
        </is>
      </c>
      <c r="B821" s="1" t="n">
        <v>43742</v>
      </c>
      <c r="C821" s="1" t="n">
        <v>45796</v>
      </c>
      <c r="D821" t="inlineStr">
        <is>
          <t>SKÅNE LÄN</t>
        </is>
      </c>
      <c r="E821" t="inlineStr">
        <is>
          <t>ÖSTRA GÖINGE</t>
        </is>
      </c>
      <c r="G821" t="n">
        <v>1.5</v>
      </c>
      <c r="H821" t="n">
        <v>0</v>
      </c>
      <c r="I821" t="n">
        <v>0</v>
      </c>
      <c r="J821" t="n">
        <v>0</v>
      </c>
      <c r="K821" t="n">
        <v>0</v>
      </c>
      <c r="L821" t="n">
        <v>0</v>
      </c>
      <c r="M821" t="n">
        <v>0</v>
      </c>
      <c r="N821" t="n">
        <v>0</v>
      </c>
      <c r="O821" t="n">
        <v>0</v>
      </c>
      <c r="P821" t="n">
        <v>0</v>
      </c>
      <c r="Q821" t="n">
        <v>0</v>
      </c>
      <c r="R821" s="2" t="inlineStr"/>
    </row>
    <row r="822" ht="15" customHeight="1">
      <c r="A822" t="inlineStr">
        <is>
          <t>A 51982-2019</t>
        </is>
      </c>
      <c r="B822" s="1" t="n">
        <v>43742</v>
      </c>
      <c r="C822" s="1" t="n">
        <v>45796</v>
      </c>
      <c r="D822" t="inlineStr">
        <is>
          <t>SKÅNE LÄN</t>
        </is>
      </c>
      <c r="E822" t="inlineStr">
        <is>
          <t>OSBY</t>
        </is>
      </c>
      <c r="G822" t="n">
        <v>0.8</v>
      </c>
      <c r="H822" t="n">
        <v>0</v>
      </c>
      <c r="I822" t="n">
        <v>0</v>
      </c>
      <c r="J822" t="n">
        <v>0</v>
      </c>
      <c r="K822" t="n">
        <v>0</v>
      </c>
      <c r="L822" t="n">
        <v>0</v>
      </c>
      <c r="M822" t="n">
        <v>0</v>
      </c>
      <c r="N822" t="n">
        <v>0</v>
      </c>
      <c r="O822" t="n">
        <v>0</v>
      </c>
      <c r="P822" t="n">
        <v>0</v>
      </c>
      <c r="Q822" t="n">
        <v>0</v>
      </c>
      <c r="R822" s="2" t="inlineStr"/>
    </row>
    <row r="823" ht="15" customHeight="1">
      <c r="A823" t="inlineStr">
        <is>
          <t>A 52097-2019</t>
        </is>
      </c>
      <c r="B823" s="1" t="n">
        <v>43742</v>
      </c>
      <c r="C823" s="1" t="n">
        <v>45796</v>
      </c>
      <c r="D823" t="inlineStr">
        <is>
          <t>SKÅNE LÄN</t>
        </is>
      </c>
      <c r="E823" t="inlineStr">
        <is>
          <t>ÖSTRA GÖINGE</t>
        </is>
      </c>
      <c r="G823" t="n">
        <v>14.2</v>
      </c>
      <c r="H823" t="n">
        <v>0</v>
      </c>
      <c r="I823" t="n">
        <v>0</v>
      </c>
      <c r="J823" t="n">
        <v>0</v>
      </c>
      <c r="K823" t="n">
        <v>0</v>
      </c>
      <c r="L823" t="n">
        <v>0</v>
      </c>
      <c r="M823" t="n">
        <v>0</v>
      </c>
      <c r="N823" t="n">
        <v>0</v>
      </c>
      <c r="O823" t="n">
        <v>0</v>
      </c>
      <c r="P823" t="n">
        <v>0</v>
      </c>
      <c r="Q823" t="n">
        <v>0</v>
      </c>
      <c r="R823" s="2" t="inlineStr"/>
    </row>
    <row r="824" ht="15" customHeight="1">
      <c r="A824" t="inlineStr">
        <is>
          <t>A 51988-2019</t>
        </is>
      </c>
      <c r="B824" s="1" t="n">
        <v>43742</v>
      </c>
      <c r="C824" s="1" t="n">
        <v>45796</v>
      </c>
      <c r="D824" t="inlineStr">
        <is>
          <t>SKÅNE LÄN</t>
        </is>
      </c>
      <c r="E824" t="inlineStr">
        <is>
          <t>OSBY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52110-2019</t>
        </is>
      </c>
      <c r="B825" s="1" t="n">
        <v>43742</v>
      </c>
      <c r="C825" s="1" t="n">
        <v>45796</v>
      </c>
      <c r="D825" t="inlineStr">
        <is>
          <t>SKÅNE LÄN</t>
        </is>
      </c>
      <c r="E825" t="inlineStr">
        <is>
          <t>ÖSTRA GÖINGE</t>
        </is>
      </c>
      <c r="G825" t="n">
        <v>5.9</v>
      </c>
      <c r="H825" t="n">
        <v>0</v>
      </c>
      <c r="I825" t="n">
        <v>0</v>
      </c>
      <c r="J825" t="n">
        <v>0</v>
      </c>
      <c r="K825" t="n">
        <v>0</v>
      </c>
      <c r="L825" t="n">
        <v>0</v>
      </c>
      <c r="M825" t="n">
        <v>0</v>
      </c>
      <c r="N825" t="n">
        <v>0</v>
      </c>
      <c r="O825" t="n">
        <v>0</v>
      </c>
      <c r="P825" t="n">
        <v>0</v>
      </c>
      <c r="Q825" t="n">
        <v>0</v>
      </c>
      <c r="R825" s="2" t="inlineStr"/>
    </row>
    <row r="826" ht="15" customHeight="1">
      <c r="A826" t="inlineStr">
        <is>
          <t>A 52531-2019</t>
        </is>
      </c>
      <c r="B826" s="1" t="n">
        <v>43745</v>
      </c>
      <c r="C826" s="1" t="n">
        <v>45796</v>
      </c>
      <c r="D826" t="inlineStr">
        <is>
          <t>SKÅNE LÄN</t>
        </is>
      </c>
      <c r="E826" t="inlineStr">
        <is>
          <t>ÖRKELLJUNGA</t>
        </is>
      </c>
      <c r="G826" t="n">
        <v>0.6</v>
      </c>
      <c r="H826" t="n">
        <v>0</v>
      </c>
      <c r="I826" t="n">
        <v>0</v>
      </c>
      <c r="J826" t="n">
        <v>0</v>
      </c>
      <c r="K826" t="n">
        <v>0</v>
      </c>
      <c r="L826" t="n">
        <v>0</v>
      </c>
      <c r="M826" t="n">
        <v>0</v>
      </c>
      <c r="N826" t="n">
        <v>0</v>
      </c>
      <c r="O826" t="n">
        <v>0</v>
      </c>
      <c r="P826" t="n">
        <v>0</v>
      </c>
      <c r="Q826" t="n">
        <v>0</v>
      </c>
      <c r="R826" s="2" t="inlineStr"/>
    </row>
    <row r="827" ht="15" customHeight="1">
      <c r="A827" t="inlineStr">
        <is>
          <t>A 52896-2019</t>
        </is>
      </c>
      <c r="B827" s="1" t="n">
        <v>43746</v>
      </c>
      <c r="C827" s="1" t="n">
        <v>45796</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52997-2019</t>
        </is>
      </c>
      <c r="B828" s="1" t="n">
        <v>43747</v>
      </c>
      <c r="C828" s="1" t="n">
        <v>45796</v>
      </c>
      <c r="D828" t="inlineStr">
        <is>
          <t>SKÅNE LÄN</t>
        </is>
      </c>
      <c r="E828" t="inlineStr">
        <is>
          <t>KRISTIANSTAD</t>
        </is>
      </c>
      <c r="F828" t="inlineStr">
        <is>
          <t>Sveaskog</t>
        </is>
      </c>
      <c r="G828" t="n">
        <v>5</v>
      </c>
      <c r="H828" t="n">
        <v>0</v>
      </c>
      <c r="I828" t="n">
        <v>0</v>
      </c>
      <c r="J828" t="n">
        <v>0</v>
      </c>
      <c r="K828" t="n">
        <v>0</v>
      </c>
      <c r="L828" t="n">
        <v>0</v>
      </c>
      <c r="M828" t="n">
        <v>0</v>
      </c>
      <c r="N828" t="n">
        <v>0</v>
      </c>
      <c r="O828" t="n">
        <v>0</v>
      </c>
      <c r="P828" t="n">
        <v>0</v>
      </c>
      <c r="Q828" t="n">
        <v>0</v>
      </c>
      <c r="R828" s="2" t="inlineStr"/>
    </row>
    <row r="829" ht="15" customHeight="1">
      <c r="A829" t="inlineStr">
        <is>
          <t>A 52978-2019</t>
        </is>
      </c>
      <c r="B829" s="1" t="n">
        <v>43747</v>
      </c>
      <c r="C829" s="1" t="n">
        <v>45796</v>
      </c>
      <c r="D829" t="inlineStr">
        <is>
          <t>SKÅNE LÄN</t>
        </is>
      </c>
      <c r="E829" t="inlineStr">
        <is>
          <t>KRISTIANSTAD</t>
        </is>
      </c>
      <c r="F829" t="inlineStr">
        <is>
          <t>Övriga Aktiebolag</t>
        </is>
      </c>
      <c r="G829" t="n">
        <v>10.5</v>
      </c>
      <c r="H829" t="n">
        <v>0</v>
      </c>
      <c r="I829" t="n">
        <v>0</v>
      </c>
      <c r="J829" t="n">
        <v>0</v>
      </c>
      <c r="K829" t="n">
        <v>0</v>
      </c>
      <c r="L829" t="n">
        <v>0</v>
      </c>
      <c r="M829" t="n">
        <v>0</v>
      </c>
      <c r="N829" t="n">
        <v>0</v>
      </c>
      <c r="O829" t="n">
        <v>0</v>
      </c>
      <c r="P829" t="n">
        <v>0</v>
      </c>
      <c r="Q829" t="n">
        <v>0</v>
      </c>
      <c r="R829" s="2" t="inlineStr"/>
    </row>
    <row r="830" ht="15" customHeight="1">
      <c r="A830" t="inlineStr">
        <is>
          <t>A 53072-2019</t>
        </is>
      </c>
      <c r="B830" s="1" t="n">
        <v>43747</v>
      </c>
      <c r="C830" s="1" t="n">
        <v>45796</v>
      </c>
      <c r="D830" t="inlineStr">
        <is>
          <t>SKÅNE LÄN</t>
        </is>
      </c>
      <c r="E830" t="inlineStr">
        <is>
          <t>HÖRBY</t>
        </is>
      </c>
      <c r="F830" t="inlineStr">
        <is>
          <t>Kyrkan</t>
        </is>
      </c>
      <c r="G830" t="n">
        <v>3.4</v>
      </c>
      <c r="H830" t="n">
        <v>0</v>
      </c>
      <c r="I830" t="n">
        <v>0</v>
      </c>
      <c r="J830" t="n">
        <v>0</v>
      </c>
      <c r="K830" t="n">
        <v>0</v>
      </c>
      <c r="L830" t="n">
        <v>0</v>
      </c>
      <c r="M830" t="n">
        <v>0</v>
      </c>
      <c r="N830" t="n">
        <v>0</v>
      </c>
      <c r="O830" t="n">
        <v>0</v>
      </c>
      <c r="P830" t="n">
        <v>0</v>
      </c>
      <c r="Q830" t="n">
        <v>0</v>
      </c>
      <c r="R830" s="2" t="inlineStr"/>
    </row>
    <row r="831" ht="15" customHeight="1">
      <c r="A831" t="inlineStr">
        <is>
          <t>A 53298-2019</t>
        </is>
      </c>
      <c r="B831" s="1" t="n">
        <v>43748</v>
      </c>
      <c r="C831" s="1" t="n">
        <v>45796</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53196-2019</t>
        </is>
      </c>
      <c r="B832" s="1" t="n">
        <v>43748</v>
      </c>
      <c r="C832" s="1" t="n">
        <v>45796</v>
      </c>
      <c r="D832" t="inlineStr">
        <is>
          <t>SKÅNE LÄN</t>
        </is>
      </c>
      <c r="E832" t="inlineStr">
        <is>
          <t>HELSINGBORG</t>
        </is>
      </c>
      <c r="G832" t="n">
        <v>1.6</v>
      </c>
      <c r="H832" t="n">
        <v>0</v>
      </c>
      <c r="I832" t="n">
        <v>0</v>
      </c>
      <c r="J832" t="n">
        <v>0</v>
      </c>
      <c r="K832" t="n">
        <v>0</v>
      </c>
      <c r="L832" t="n">
        <v>0</v>
      </c>
      <c r="M832" t="n">
        <v>0</v>
      </c>
      <c r="N832" t="n">
        <v>0</v>
      </c>
      <c r="O832" t="n">
        <v>0</v>
      </c>
      <c r="P832" t="n">
        <v>0</v>
      </c>
      <c r="Q832" t="n">
        <v>0</v>
      </c>
      <c r="R832" s="2" t="inlineStr"/>
    </row>
    <row r="833" ht="15" customHeight="1">
      <c r="A833" t="inlineStr">
        <is>
          <t>A 53242-2019</t>
        </is>
      </c>
      <c r="B833" s="1" t="n">
        <v>43748</v>
      </c>
      <c r="C833" s="1" t="n">
        <v>45796</v>
      </c>
      <c r="D833" t="inlineStr">
        <is>
          <t>SKÅNE LÄN</t>
        </is>
      </c>
      <c r="E833" t="inlineStr">
        <is>
          <t>ÖRKELLJUNGA</t>
        </is>
      </c>
      <c r="G833" t="n">
        <v>2.5</v>
      </c>
      <c r="H833" t="n">
        <v>0</v>
      </c>
      <c r="I833" t="n">
        <v>0</v>
      </c>
      <c r="J833" t="n">
        <v>0</v>
      </c>
      <c r="K833" t="n">
        <v>0</v>
      </c>
      <c r="L833" t="n">
        <v>0</v>
      </c>
      <c r="M833" t="n">
        <v>0</v>
      </c>
      <c r="N833" t="n">
        <v>0</v>
      </c>
      <c r="O833" t="n">
        <v>0</v>
      </c>
      <c r="P833" t="n">
        <v>0</v>
      </c>
      <c r="Q833" t="n">
        <v>0</v>
      </c>
      <c r="R833" s="2" t="inlineStr"/>
    </row>
    <row r="834" ht="15" customHeight="1">
      <c r="A834" t="inlineStr">
        <is>
          <t>A 53310-2019</t>
        </is>
      </c>
      <c r="B834" s="1" t="n">
        <v>43748</v>
      </c>
      <c r="C834" s="1" t="n">
        <v>45796</v>
      </c>
      <c r="D834" t="inlineStr">
        <is>
          <t>SKÅNE LÄN</t>
        </is>
      </c>
      <c r="E834" t="inlineStr">
        <is>
          <t>PERSTORP</t>
        </is>
      </c>
      <c r="G834" t="n">
        <v>0.8</v>
      </c>
      <c r="H834" t="n">
        <v>0</v>
      </c>
      <c r="I834" t="n">
        <v>0</v>
      </c>
      <c r="J834" t="n">
        <v>0</v>
      </c>
      <c r="K834" t="n">
        <v>0</v>
      </c>
      <c r="L834" t="n">
        <v>0</v>
      </c>
      <c r="M834" t="n">
        <v>0</v>
      </c>
      <c r="N834" t="n">
        <v>0</v>
      </c>
      <c r="O834" t="n">
        <v>0</v>
      </c>
      <c r="P834" t="n">
        <v>0</v>
      </c>
      <c r="Q834" t="n">
        <v>0</v>
      </c>
      <c r="R834" s="2" t="inlineStr"/>
    </row>
    <row r="835" ht="15" customHeight="1">
      <c r="A835" t="inlineStr">
        <is>
          <t>A 54750-2019</t>
        </is>
      </c>
      <c r="B835" s="1" t="n">
        <v>43748</v>
      </c>
      <c r="C835" s="1" t="n">
        <v>45796</v>
      </c>
      <c r="D835" t="inlineStr">
        <is>
          <t>SKÅNE LÄN</t>
        </is>
      </c>
      <c r="E835" t="inlineStr">
        <is>
          <t>ÖSTRA GÖINGE</t>
        </is>
      </c>
      <c r="G835" t="n">
        <v>1.8</v>
      </c>
      <c r="H835" t="n">
        <v>0</v>
      </c>
      <c r="I835" t="n">
        <v>0</v>
      </c>
      <c r="J835" t="n">
        <v>0</v>
      </c>
      <c r="K835" t="n">
        <v>0</v>
      </c>
      <c r="L835" t="n">
        <v>0</v>
      </c>
      <c r="M835" t="n">
        <v>0</v>
      </c>
      <c r="N835" t="n">
        <v>0</v>
      </c>
      <c r="O835" t="n">
        <v>0</v>
      </c>
      <c r="P835" t="n">
        <v>0</v>
      </c>
      <c r="Q835" t="n">
        <v>0</v>
      </c>
      <c r="R835" s="2" t="inlineStr"/>
    </row>
    <row r="836" ht="15" customHeight="1">
      <c r="A836" t="inlineStr">
        <is>
          <t>A 54745-2019</t>
        </is>
      </c>
      <c r="B836" s="1" t="n">
        <v>43749</v>
      </c>
      <c r="C836" s="1" t="n">
        <v>45796</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54092-2019</t>
        </is>
      </c>
      <c r="B837" s="1" t="n">
        <v>43752</v>
      </c>
      <c r="C837" s="1" t="n">
        <v>45796</v>
      </c>
      <c r="D837" t="inlineStr">
        <is>
          <t>SKÅNE LÄN</t>
        </is>
      </c>
      <c r="E837" t="inlineStr">
        <is>
          <t>PERSTORP</t>
        </is>
      </c>
      <c r="G837" t="n">
        <v>0.9</v>
      </c>
      <c r="H837" t="n">
        <v>0</v>
      </c>
      <c r="I837" t="n">
        <v>0</v>
      </c>
      <c r="J837" t="n">
        <v>0</v>
      </c>
      <c r="K837" t="n">
        <v>0</v>
      </c>
      <c r="L837" t="n">
        <v>0</v>
      </c>
      <c r="M837" t="n">
        <v>0</v>
      </c>
      <c r="N837" t="n">
        <v>0</v>
      </c>
      <c r="O837" t="n">
        <v>0</v>
      </c>
      <c r="P837" t="n">
        <v>0</v>
      </c>
      <c r="Q837" t="n">
        <v>0</v>
      </c>
      <c r="R837" s="2" t="inlineStr"/>
    </row>
    <row r="838" ht="15" customHeight="1">
      <c r="A838" t="inlineStr">
        <is>
          <t>A 55155-2019</t>
        </is>
      </c>
      <c r="B838" s="1" t="n">
        <v>43752</v>
      </c>
      <c r="C838" s="1" t="n">
        <v>45796</v>
      </c>
      <c r="D838" t="inlineStr">
        <is>
          <t>SKÅNE LÄN</t>
        </is>
      </c>
      <c r="E838" t="inlineStr">
        <is>
          <t>HÄSSLEHOLM</t>
        </is>
      </c>
      <c r="F838" t="inlineStr">
        <is>
          <t>Övriga Aktiebolag</t>
        </is>
      </c>
      <c r="G838" t="n">
        <v>2</v>
      </c>
      <c r="H838" t="n">
        <v>0</v>
      </c>
      <c r="I838" t="n">
        <v>0</v>
      </c>
      <c r="J838" t="n">
        <v>0</v>
      </c>
      <c r="K838" t="n">
        <v>0</v>
      </c>
      <c r="L838" t="n">
        <v>0</v>
      </c>
      <c r="M838" t="n">
        <v>0</v>
      </c>
      <c r="N838" t="n">
        <v>0</v>
      </c>
      <c r="O838" t="n">
        <v>0</v>
      </c>
      <c r="P838" t="n">
        <v>0</v>
      </c>
      <c r="Q838" t="n">
        <v>0</v>
      </c>
      <c r="R838" s="2" t="inlineStr"/>
    </row>
    <row r="839" ht="15" customHeight="1">
      <c r="A839" t="inlineStr">
        <is>
          <t>A 54334-2019</t>
        </is>
      </c>
      <c r="B839" s="1" t="n">
        <v>43753</v>
      </c>
      <c r="C839" s="1" t="n">
        <v>45796</v>
      </c>
      <c r="D839" t="inlineStr">
        <is>
          <t>SKÅNE LÄN</t>
        </is>
      </c>
      <c r="E839" t="inlineStr">
        <is>
          <t>BROMÖLLA</t>
        </is>
      </c>
      <c r="G839" t="n">
        <v>1.4</v>
      </c>
      <c r="H839" t="n">
        <v>0</v>
      </c>
      <c r="I839" t="n">
        <v>0</v>
      </c>
      <c r="J839" t="n">
        <v>0</v>
      </c>
      <c r="K839" t="n">
        <v>0</v>
      </c>
      <c r="L839" t="n">
        <v>0</v>
      </c>
      <c r="M839" t="n">
        <v>0</v>
      </c>
      <c r="N839" t="n">
        <v>0</v>
      </c>
      <c r="O839" t="n">
        <v>0</v>
      </c>
      <c r="P839" t="n">
        <v>0</v>
      </c>
      <c r="Q839" t="n">
        <v>0</v>
      </c>
      <c r="R839" s="2" t="inlineStr"/>
    </row>
    <row r="840" ht="15" customHeight="1">
      <c r="A840" t="inlineStr">
        <is>
          <t>A 54270-2019</t>
        </is>
      </c>
      <c r="B840" s="1" t="n">
        <v>43753</v>
      </c>
      <c r="C840" s="1" t="n">
        <v>45796</v>
      </c>
      <c r="D840" t="inlineStr">
        <is>
          <t>SKÅNE LÄN</t>
        </is>
      </c>
      <c r="E840" t="inlineStr">
        <is>
          <t>OSBY</t>
        </is>
      </c>
      <c r="G840" t="n">
        <v>2.1</v>
      </c>
      <c r="H840" t="n">
        <v>0</v>
      </c>
      <c r="I840" t="n">
        <v>0</v>
      </c>
      <c r="J840" t="n">
        <v>0</v>
      </c>
      <c r="K840" t="n">
        <v>0</v>
      </c>
      <c r="L840" t="n">
        <v>0</v>
      </c>
      <c r="M840" t="n">
        <v>0</v>
      </c>
      <c r="N840" t="n">
        <v>0</v>
      </c>
      <c r="O840" t="n">
        <v>0</v>
      </c>
      <c r="P840" t="n">
        <v>0</v>
      </c>
      <c r="Q840" t="n">
        <v>0</v>
      </c>
      <c r="R840" s="2" t="inlineStr"/>
    </row>
    <row r="841" ht="15" customHeight="1">
      <c r="A841" t="inlineStr">
        <is>
          <t>A 54592-2019</t>
        </is>
      </c>
      <c r="B841" s="1" t="n">
        <v>43754</v>
      </c>
      <c r="C841" s="1" t="n">
        <v>45796</v>
      </c>
      <c r="D841" t="inlineStr">
        <is>
          <t>SKÅNE LÄN</t>
        </is>
      </c>
      <c r="E841" t="inlineStr">
        <is>
          <t>ÖSTRA GÖINGE</t>
        </is>
      </c>
      <c r="G841" t="n">
        <v>3.5</v>
      </c>
      <c r="H841" t="n">
        <v>0</v>
      </c>
      <c r="I841" t="n">
        <v>0</v>
      </c>
      <c r="J841" t="n">
        <v>0</v>
      </c>
      <c r="K841" t="n">
        <v>0</v>
      </c>
      <c r="L841" t="n">
        <v>0</v>
      </c>
      <c r="M841" t="n">
        <v>0</v>
      </c>
      <c r="N841" t="n">
        <v>0</v>
      </c>
      <c r="O841" t="n">
        <v>0</v>
      </c>
      <c r="P841" t="n">
        <v>0</v>
      </c>
      <c r="Q841" t="n">
        <v>0</v>
      </c>
      <c r="R841" s="2" t="inlineStr"/>
    </row>
    <row r="842" ht="15" customHeight="1">
      <c r="A842" t="inlineStr">
        <is>
          <t>A 54662-2019</t>
        </is>
      </c>
      <c r="B842" s="1" t="n">
        <v>43754</v>
      </c>
      <c r="C842" s="1" t="n">
        <v>45796</v>
      </c>
      <c r="D842" t="inlineStr">
        <is>
          <t>SKÅNE LÄN</t>
        </is>
      </c>
      <c r="E842" t="inlineStr">
        <is>
          <t>ÖRKELLJUNGA</t>
        </is>
      </c>
      <c r="G842" t="n">
        <v>1.8</v>
      </c>
      <c r="H842" t="n">
        <v>0</v>
      </c>
      <c r="I842" t="n">
        <v>0</v>
      </c>
      <c r="J842" t="n">
        <v>0</v>
      </c>
      <c r="K842" t="n">
        <v>0</v>
      </c>
      <c r="L842" t="n">
        <v>0</v>
      </c>
      <c r="M842" t="n">
        <v>0</v>
      </c>
      <c r="N842" t="n">
        <v>0</v>
      </c>
      <c r="O842" t="n">
        <v>0</v>
      </c>
      <c r="P842" t="n">
        <v>0</v>
      </c>
      <c r="Q842" t="n">
        <v>0</v>
      </c>
      <c r="R842" s="2" t="inlineStr"/>
    </row>
    <row r="843" ht="15" customHeight="1">
      <c r="A843" t="inlineStr">
        <is>
          <t>A 54601-2019</t>
        </is>
      </c>
      <c r="B843" s="1" t="n">
        <v>43754</v>
      </c>
      <c r="C843" s="1" t="n">
        <v>45796</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56224-2019</t>
        </is>
      </c>
      <c r="B844" s="1" t="n">
        <v>43755</v>
      </c>
      <c r="C844" s="1" t="n">
        <v>45796</v>
      </c>
      <c r="D844" t="inlineStr">
        <is>
          <t>SKÅNE LÄN</t>
        </is>
      </c>
      <c r="E844" t="inlineStr">
        <is>
          <t>KÄVLINGE</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56220-2019</t>
        </is>
      </c>
      <c r="B845" s="1" t="n">
        <v>43755</v>
      </c>
      <c r="C845" s="1" t="n">
        <v>45796</v>
      </c>
      <c r="D845" t="inlineStr">
        <is>
          <t>SKÅNE LÄN</t>
        </is>
      </c>
      <c r="E845" t="inlineStr">
        <is>
          <t>KÄVLINGE</t>
        </is>
      </c>
      <c r="F845" t="inlineStr">
        <is>
          <t>Övriga Aktiebolag</t>
        </is>
      </c>
      <c r="G845" t="n">
        <v>3.4</v>
      </c>
      <c r="H845" t="n">
        <v>0</v>
      </c>
      <c r="I845" t="n">
        <v>0</v>
      </c>
      <c r="J845" t="n">
        <v>0</v>
      </c>
      <c r="K845" t="n">
        <v>0</v>
      </c>
      <c r="L845" t="n">
        <v>0</v>
      </c>
      <c r="M845" t="n">
        <v>0</v>
      </c>
      <c r="N845" t="n">
        <v>0</v>
      </c>
      <c r="O845" t="n">
        <v>0</v>
      </c>
      <c r="P845" t="n">
        <v>0</v>
      </c>
      <c r="Q845" t="n">
        <v>0</v>
      </c>
      <c r="R845" s="2" t="inlineStr"/>
    </row>
    <row r="846" ht="15" customHeight="1">
      <c r="A846" t="inlineStr">
        <is>
          <t>A 55167-2019</t>
        </is>
      </c>
      <c r="B846" s="1" t="n">
        <v>43756</v>
      </c>
      <c r="C846" s="1" t="n">
        <v>45796</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55087-2019</t>
        </is>
      </c>
      <c r="B847" s="1" t="n">
        <v>43756</v>
      </c>
      <c r="C847" s="1" t="n">
        <v>45796</v>
      </c>
      <c r="D847" t="inlineStr">
        <is>
          <t>SKÅNE LÄN</t>
        </is>
      </c>
      <c r="E847" t="inlineStr">
        <is>
          <t>HÄSSLEHOLM</t>
        </is>
      </c>
      <c r="F847" t="inlineStr">
        <is>
          <t>Kommuner</t>
        </is>
      </c>
      <c r="G847" t="n">
        <v>2</v>
      </c>
      <c r="H847" t="n">
        <v>0</v>
      </c>
      <c r="I847" t="n">
        <v>0</v>
      </c>
      <c r="J847" t="n">
        <v>0</v>
      </c>
      <c r="K847" t="n">
        <v>0</v>
      </c>
      <c r="L847" t="n">
        <v>0</v>
      </c>
      <c r="M847" t="n">
        <v>0</v>
      </c>
      <c r="N847" t="n">
        <v>0</v>
      </c>
      <c r="O847" t="n">
        <v>0</v>
      </c>
      <c r="P847" t="n">
        <v>0</v>
      </c>
      <c r="Q847" t="n">
        <v>0</v>
      </c>
      <c r="R847" s="2" t="inlineStr"/>
    </row>
    <row r="848" ht="15" customHeight="1">
      <c r="A848" t="inlineStr">
        <is>
          <t>A 55410-2019</t>
        </is>
      </c>
      <c r="B848" s="1" t="n">
        <v>43758</v>
      </c>
      <c r="C848" s="1" t="n">
        <v>45796</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55761-2019</t>
        </is>
      </c>
      <c r="B849" s="1" t="n">
        <v>43759</v>
      </c>
      <c r="C849" s="1" t="n">
        <v>45796</v>
      </c>
      <c r="D849" t="inlineStr">
        <is>
          <t>SKÅNE LÄN</t>
        </is>
      </c>
      <c r="E849" t="inlineStr">
        <is>
          <t>HÄSSLEHOLM</t>
        </is>
      </c>
      <c r="F849" t="inlineStr">
        <is>
          <t>Kommuner</t>
        </is>
      </c>
      <c r="G849" t="n">
        <v>7.7</v>
      </c>
      <c r="H849" t="n">
        <v>0</v>
      </c>
      <c r="I849" t="n">
        <v>0</v>
      </c>
      <c r="J849" t="n">
        <v>0</v>
      </c>
      <c r="K849" t="n">
        <v>0</v>
      </c>
      <c r="L849" t="n">
        <v>0</v>
      </c>
      <c r="M849" t="n">
        <v>0</v>
      </c>
      <c r="N849" t="n">
        <v>0</v>
      </c>
      <c r="O849" t="n">
        <v>0</v>
      </c>
      <c r="P849" t="n">
        <v>0</v>
      </c>
      <c r="Q849" t="n">
        <v>0</v>
      </c>
      <c r="R849" s="2" t="inlineStr"/>
    </row>
    <row r="850" ht="15" customHeight="1">
      <c r="A850" t="inlineStr">
        <is>
          <t>A 55984-2019</t>
        </is>
      </c>
      <c r="B850" s="1" t="n">
        <v>43759</v>
      </c>
      <c r="C850" s="1" t="n">
        <v>45796</v>
      </c>
      <c r="D850" t="inlineStr">
        <is>
          <t>SKÅNE LÄN</t>
        </is>
      </c>
      <c r="E850" t="inlineStr">
        <is>
          <t>HÄSSLEHOLM</t>
        </is>
      </c>
      <c r="F850" t="inlineStr">
        <is>
          <t>Kommuner</t>
        </is>
      </c>
      <c r="G850" t="n">
        <v>21.9</v>
      </c>
      <c r="H850" t="n">
        <v>0</v>
      </c>
      <c r="I850" t="n">
        <v>0</v>
      </c>
      <c r="J850" t="n">
        <v>0</v>
      </c>
      <c r="K850" t="n">
        <v>0</v>
      </c>
      <c r="L850" t="n">
        <v>0</v>
      </c>
      <c r="M850" t="n">
        <v>0</v>
      </c>
      <c r="N850" t="n">
        <v>0</v>
      </c>
      <c r="O850" t="n">
        <v>0</v>
      </c>
      <c r="P850" t="n">
        <v>0</v>
      </c>
      <c r="Q850" t="n">
        <v>0</v>
      </c>
      <c r="R850" s="2" t="inlineStr"/>
    </row>
    <row r="851" ht="15" customHeight="1">
      <c r="A851" t="inlineStr">
        <is>
          <t>A 55631-2019</t>
        </is>
      </c>
      <c r="B851" s="1" t="n">
        <v>43760</v>
      </c>
      <c r="C851" s="1" t="n">
        <v>45796</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55654-2019</t>
        </is>
      </c>
      <c r="B852" s="1" t="n">
        <v>43760</v>
      </c>
      <c r="C852" s="1" t="n">
        <v>45796</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55669-2019</t>
        </is>
      </c>
      <c r="B853" s="1" t="n">
        <v>43760</v>
      </c>
      <c r="C853" s="1" t="n">
        <v>45796</v>
      </c>
      <c r="D853" t="inlineStr">
        <is>
          <t>SKÅNE LÄN</t>
        </is>
      </c>
      <c r="E853" t="inlineStr">
        <is>
          <t>PERSTORP</t>
        </is>
      </c>
      <c r="G853" t="n">
        <v>2.7</v>
      </c>
      <c r="H853" t="n">
        <v>0</v>
      </c>
      <c r="I853" t="n">
        <v>0</v>
      </c>
      <c r="J853" t="n">
        <v>0</v>
      </c>
      <c r="K853" t="n">
        <v>0</v>
      </c>
      <c r="L853" t="n">
        <v>0</v>
      </c>
      <c r="M853" t="n">
        <v>0</v>
      </c>
      <c r="N853" t="n">
        <v>0</v>
      </c>
      <c r="O853" t="n">
        <v>0</v>
      </c>
      <c r="P853" t="n">
        <v>0</v>
      </c>
      <c r="Q853" t="n">
        <v>0</v>
      </c>
      <c r="R853" s="2" t="inlineStr"/>
    </row>
    <row r="854" ht="15" customHeight="1">
      <c r="A854" t="inlineStr">
        <is>
          <t>A 55995-2019</t>
        </is>
      </c>
      <c r="B854" s="1" t="n">
        <v>43761</v>
      </c>
      <c r="C854" s="1" t="n">
        <v>45796</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56138-2019</t>
        </is>
      </c>
      <c r="B855" s="1" t="n">
        <v>43761</v>
      </c>
      <c r="C855" s="1" t="n">
        <v>45796</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56211-2019</t>
        </is>
      </c>
      <c r="B856" s="1" t="n">
        <v>43761</v>
      </c>
      <c r="C856" s="1" t="n">
        <v>45796</v>
      </c>
      <c r="D856" t="inlineStr">
        <is>
          <t>SKÅNE LÄN</t>
        </is>
      </c>
      <c r="E856" t="inlineStr">
        <is>
          <t>ÖSTRA GÖINGE</t>
        </is>
      </c>
      <c r="G856" t="n">
        <v>3.2</v>
      </c>
      <c r="H856" t="n">
        <v>0</v>
      </c>
      <c r="I856" t="n">
        <v>0</v>
      </c>
      <c r="J856" t="n">
        <v>0</v>
      </c>
      <c r="K856" t="n">
        <v>0</v>
      </c>
      <c r="L856" t="n">
        <v>0</v>
      </c>
      <c r="M856" t="n">
        <v>0</v>
      </c>
      <c r="N856" t="n">
        <v>0</v>
      </c>
      <c r="O856" t="n">
        <v>0</v>
      </c>
      <c r="P856" t="n">
        <v>0</v>
      </c>
      <c r="Q856" t="n">
        <v>0</v>
      </c>
      <c r="R856" s="2" t="inlineStr"/>
    </row>
    <row r="857" ht="15" customHeight="1">
      <c r="A857" t="inlineStr">
        <is>
          <t>A 57614-2019</t>
        </is>
      </c>
      <c r="B857" s="1" t="n">
        <v>43761</v>
      </c>
      <c r="C857" s="1" t="n">
        <v>45796</v>
      </c>
      <c r="D857" t="inlineStr">
        <is>
          <t>SKÅNE LÄN</t>
        </is>
      </c>
      <c r="E857" t="inlineStr">
        <is>
          <t>SVALÖV</t>
        </is>
      </c>
      <c r="G857" t="n">
        <v>0.6</v>
      </c>
      <c r="H857" t="n">
        <v>0</v>
      </c>
      <c r="I857" t="n">
        <v>0</v>
      </c>
      <c r="J857" t="n">
        <v>0</v>
      </c>
      <c r="K857" t="n">
        <v>0</v>
      </c>
      <c r="L857" t="n">
        <v>0</v>
      </c>
      <c r="M857" t="n">
        <v>0</v>
      </c>
      <c r="N857" t="n">
        <v>0</v>
      </c>
      <c r="O857" t="n">
        <v>0</v>
      </c>
      <c r="P857" t="n">
        <v>0</v>
      </c>
      <c r="Q857" t="n">
        <v>0</v>
      </c>
      <c r="R857" s="2" t="inlineStr"/>
    </row>
    <row r="858" ht="15" customHeight="1">
      <c r="A858" t="inlineStr">
        <is>
          <t>A 56330-2019</t>
        </is>
      </c>
      <c r="B858" s="1" t="n">
        <v>43762</v>
      </c>
      <c r="C858" s="1" t="n">
        <v>45796</v>
      </c>
      <c r="D858" t="inlineStr">
        <is>
          <t>SKÅNE LÄN</t>
        </is>
      </c>
      <c r="E858" t="inlineStr">
        <is>
          <t>KLIPPAN</t>
        </is>
      </c>
      <c r="G858" t="n">
        <v>1.4</v>
      </c>
      <c r="H858" t="n">
        <v>0</v>
      </c>
      <c r="I858" t="n">
        <v>0</v>
      </c>
      <c r="J858" t="n">
        <v>0</v>
      </c>
      <c r="K858" t="n">
        <v>0</v>
      </c>
      <c r="L858" t="n">
        <v>0</v>
      </c>
      <c r="M858" t="n">
        <v>0</v>
      </c>
      <c r="N858" t="n">
        <v>0</v>
      </c>
      <c r="O858" t="n">
        <v>0</v>
      </c>
      <c r="P858" t="n">
        <v>0</v>
      </c>
      <c r="Q858" t="n">
        <v>0</v>
      </c>
      <c r="R858" s="2" t="inlineStr"/>
    </row>
    <row r="859" ht="15" customHeight="1">
      <c r="A859" t="inlineStr">
        <is>
          <t>A 56248-2019</t>
        </is>
      </c>
      <c r="B859" s="1" t="n">
        <v>43762</v>
      </c>
      <c r="C859" s="1" t="n">
        <v>45796</v>
      </c>
      <c r="D859" t="inlineStr">
        <is>
          <t>SKÅNE LÄN</t>
        </is>
      </c>
      <c r="E859" t="inlineStr">
        <is>
          <t>ÖRKELLJUNGA</t>
        </is>
      </c>
      <c r="G859" t="n">
        <v>2.1</v>
      </c>
      <c r="H859" t="n">
        <v>0</v>
      </c>
      <c r="I859" t="n">
        <v>0</v>
      </c>
      <c r="J859" t="n">
        <v>0</v>
      </c>
      <c r="K859" t="n">
        <v>0</v>
      </c>
      <c r="L859" t="n">
        <v>0</v>
      </c>
      <c r="M859" t="n">
        <v>0</v>
      </c>
      <c r="N859" t="n">
        <v>0</v>
      </c>
      <c r="O859" t="n">
        <v>0</v>
      </c>
      <c r="P859" t="n">
        <v>0</v>
      </c>
      <c r="Q859" t="n">
        <v>0</v>
      </c>
      <c r="R859" s="2" t="inlineStr"/>
    </row>
    <row r="860" ht="15" customHeight="1">
      <c r="A860" t="inlineStr">
        <is>
          <t>A 56451-2019</t>
        </is>
      </c>
      <c r="B860" s="1" t="n">
        <v>43762</v>
      </c>
      <c r="C860" s="1" t="n">
        <v>45796</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56473-2019</t>
        </is>
      </c>
      <c r="B861" s="1" t="n">
        <v>43762</v>
      </c>
      <c r="C861" s="1" t="n">
        <v>45796</v>
      </c>
      <c r="D861" t="inlineStr">
        <is>
          <t>SKÅNE LÄN</t>
        </is>
      </c>
      <c r="E861" t="inlineStr">
        <is>
          <t>KLIPPAN</t>
        </is>
      </c>
      <c r="G861" t="n">
        <v>2.2</v>
      </c>
      <c r="H861" t="n">
        <v>0</v>
      </c>
      <c r="I861" t="n">
        <v>0</v>
      </c>
      <c r="J861" t="n">
        <v>0</v>
      </c>
      <c r="K861" t="n">
        <v>0</v>
      </c>
      <c r="L861" t="n">
        <v>0</v>
      </c>
      <c r="M861" t="n">
        <v>0</v>
      </c>
      <c r="N861" t="n">
        <v>0</v>
      </c>
      <c r="O861" t="n">
        <v>0</v>
      </c>
      <c r="P861" t="n">
        <v>0</v>
      </c>
      <c r="Q861" t="n">
        <v>0</v>
      </c>
      <c r="R861" s="2" t="inlineStr"/>
    </row>
    <row r="862" ht="15" customHeight="1">
      <c r="A862" t="inlineStr">
        <is>
          <t>A 57178-2019</t>
        </is>
      </c>
      <c r="B862" s="1" t="n">
        <v>43766</v>
      </c>
      <c r="C862" s="1" t="n">
        <v>45796</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57176-2019</t>
        </is>
      </c>
      <c r="B863" s="1" t="n">
        <v>43766</v>
      </c>
      <c r="C863" s="1" t="n">
        <v>45796</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58525-2019</t>
        </is>
      </c>
      <c r="B864" s="1" t="n">
        <v>43766</v>
      </c>
      <c r="C864" s="1" t="n">
        <v>45796</v>
      </c>
      <c r="D864" t="inlineStr">
        <is>
          <t>SKÅNE LÄN</t>
        </is>
      </c>
      <c r="E864" t="inlineStr">
        <is>
          <t>HÄSSLEHOLM</t>
        </is>
      </c>
      <c r="G864" t="n">
        <v>2.8</v>
      </c>
      <c r="H864" t="n">
        <v>0</v>
      </c>
      <c r="I864" t="n">
        <v>0</v>
      </c>
      <c r="J864" t="n">
        <v>0</v>
      </c>
      <c r="K864" t="n">
        <v>0</v>
      </c>
      <c r="L864" t="n">
        <v>0</v>
      </c>
      <c r="M864" t="n">
        <v>0</v>
      </c>
      <c r="N864" t="n">
        <v>0</v>
      </c>
      <c r="O864" t="n">
        <v>0</v>
      </c>
      <c r="P864" t="n">
        <v>0</v>
      </c>
      <c r="Q864" t="n">
        <v>0</v>
      </c>
      <c r="R864" s="2" t="inlineStr"/>
    </row>
    <row r="865" ht="15" customHeight="1">
      <c r="A865" t="inlineStr">
        <is>
          <t>A 57153-2019</t>
        </is>
      </c>
      <c r="B865" s="1" t="n">
        <v>43766</v>
      </c>
      <c r="C865" s="1" t="n">
        <v>45796</v>
      </c>
      <c r="D865" t="inlineStr">
        <is>
          <t>SKÅNE LÄN</t>
        </is>
      </c>
      <c r="E865" t="inlineStr">
        <is>
          <t>SJÖBO</t>
        </is>
      </c>
      <c r="G865" t="n">
        <v>1.3</v>
      </c>
      <c r="H865" t="n">
        <v>0</v>
      </c>
      <c r="I865" t="n">
        <v>0</v>
      </c>
      <c r="J865" t="n">
        <v>0</v>
      </c>
      <c r="K865" t="n">
        <v>0</v>
      </c>
      <c r="L865" t="n">
        <v>0</v>
      </c>
      <c r="M865" t="n">
        <v>0</v>
      </c>
      <c r="N865" t="n">
        <v>0</v>
      </c>
      <c r="O865" t="n">
        <v>0</v>
      </c>
      <c r="P865" t="n">
        <v>0</v>
      </c>
      <c r="Q865" t="n">
        <v>0</v>
      </c>
      <c r="R865" s="2" t="inlineStr"/>
    </row>
    <row r="866" ht="15" customHeight="1">
      <c r="A866" t="inlineStr">
        <is>
          <t>A 56856-2019</t>
        </is>
      </c>
      <c r="B866" s="1" t="n">
        <v>43766</v>
      </c>
      <c r="C866" s="1" t="n">
        <v>45796</v>
      </c>
      <c r="D866" t="inlineStr">
        <is>
          <t>SKÅNE LÄN</t>
        </is>
      </c>
      <c r="E866" t="inlineStr">
        <is>
          <t>SVEDALA</t>
        </is>
      </c>
      <c r="F866" t="inlineStr">
        <is>
          <t>Kommuner</t>
        </is>
      </c>
      <c r="G866" t="n">
        <v>6.9</v>
      </c>
      <c r="H866" t="n">
        <v>0</v>
      </c>
      <c r="I866" t="n">
        <v>0</v>
      </c>
      <c r="J866" t="n">
        <v>0</v>
      </c>
      <c r="K866" t="n">
        <v>0</v>
      </c>
      <c r="L866" t="n">
        <v>0</v>
      </c>
      <c r="M866" t="n">
        <v>0</v>
      </c>
      <c r="N866" t="n">
        <v>0</v>
      </c>
      <c r="O866" t="n">
        <v>0</v>
      </c>
      <c r="P866" t="n">
        <v>0</v>
      </c>
      <c r="Q866" t="n">
        <v>0</v>
      </c>
      <c r="R866" s="2" t="inlineStr"/>
    </row>
    <row r="867" ht="15" customHeight="1">
      <c r="A867" t="inlineStr">
        <is>
          <t>A 57203-2019</t>
        </is>
      </c>
      <c r="B867" s="1" t="n">
        <v>43767</v>
      </c>
      <c r="C867" s="1" t="n">
        <v>45796</v>
      </c>
      <c r="D867" t="inlineStr">
        <is>
          <t>SKÅNE LÄN</t>
        </is>
      </c>
      <c r="E867" t="inlineStr">
        <is>
          <t>OSBY</t>
        </is>
      </c>
      <c r="F867" t="inlineStr">
        <is>
          <t>Naturvårdsverket</t>
        </is>
      </c>
      <c r="G867" t="n">
        <v>2.2</v>
      </c>
      <c r="H867" t="n">
        <v>0</v>
      </c>
      <c r="I867" t="n">
        <v>0</v>
      </c>
      <c r="J867" t="n">
        <v>0</v>
      </c>
      <c r="K867" t="n">
        <v>0</v>
      </c>
      <c r="L867" t="n">
        <v>0</v>
      </c>
      <c r="M867" t="n">
        <v>0</v>
      </c>
      <c r="N867" t="n">
        <v>0</v>
      </c>
      <c r="O867" t="n">
        <v>0</v>
      </c>
      <c r="P867" t="n">
        <v>0</v>
      </c>
      <c r="Q867" t="n">
        <v>0</v>
      </c>
      <c r="R867" s="2" t="inlineStr"/>
    </row>
    <row r="868" ht="15" customHeight="1">
      <c r="A868" t="inlineStr">
        <is>
          <t>A 57402-2019</t>
        </is>
      </c>
      <c r="B868" s="1" t="n">
        <v>43767</v>
      </c>
      <c r="C868" s="1" t="n">
        <v>45796</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57191-2019</t>
        </is>
      </c>
      <c r="B869" s="1" t="n">
        <v>43767</v>
      </c>
      <c r="C869" s="1" t="n">
        <v>45796</v>
      </c>
      <c r="D869" t="inlineStr">
        <is>
          <t>SKÅNE LÄN</t>
        </is>
      </c>
      <c r="E869" t="inlineStr">
        <is>
          <t>OSBY</t>
        </is>
      </c>
      <c r="G869" t="n">
        <v>2.1</v>
      </c>
      <c r="H869" t="n">
        <v>0</v>
      </c>
      <c r="I869" t="n">
        <v>0</v>
      </c>
      <c r="J869" t="n">
        <v>0</v>
      </c>
      <c r="K869" t="n">
        <v>0</v>
      </c>
      <c r="L869" t="n">
        <v>0</v>
      </c>
      <c r="M869" t="n">
        <v>0</v>
      </c>
      <c r="N869" t="n">
        <v>0</v>
      </c>
      <c r="O869" t="n">
        <v>0</v>
      </c>
      <c r="P869" t="n">
        <v>0</v>
      </c>
      <c r="Q869" t="n">
        <v>0</v>
      </c>
      <c r="R869" s="2" t="inlineStr"/>
    </row>
    <row r="870" ht="15" customHeight="1">
      <c r="A870" t="inlineStr">
        <is>
          <t>A 58818-2019</t>
        </is>
      </c>
      <c r="B870" s="1" t="n">
        <v>43768</v>
      </c>
      <c r="C870" s="1" t="n">
        <v>45796</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58723-2019</t>
        </is>
      </c>
      <c r="B871" s="1" t="n">
        <v>43768</v>
      </c>
      <c r="C871" s="1" t="n">
        <v>45796</v>
      </c>
      <c r="D871" t="inlineStr">
        <is>
          <t>SKÅNE LÄN</t>
        </is>
      </c>
      <c r="E871" t="inlineStr">
        <is>
          <t>KLIPPAN</t>
        </is>
      </c>
      <c r="G871" t="n">
        <v>0.5</v>
      </c>
      <c r="H871" t="n">
        <v>0</v>
      </c>
      <c r="I871" t="n">
        <v>0</v>
      </c>
      <c r="J871" t="n">
        <v>0</v>
      </c>
      <c r="K871" t="n">
        <v>0</v>
      </c>
      <c r="L871" t="n">
        <v>0</v>
      </c>
      <c r="M871" t="n">
        <v>0</v>
      </c>
      <c r="N871" t="n">
        <v>0</v>
      </c>
      <c r="O871" t="n">
        <v>0</v>
      </c>
      <c r="P871" t="n">
        <v>0</v>
      </c>
      <c r="Q871" t="n">
        <v>0</v>
      </c>
      <c r="R871" s="2" t="inlineStr"/>
    </row>
    <row r="872" ht="15" customHeight="1">
      <c r="A872" t="inlineStr">
        <is>
          <t>A 58840-2019</t>
        </is>
      </c>
      <c r="B872" s="1" t="n">
        <v>43768</v>
      </c>
      <c r="C872" s="1" t="n">
        <v>45796</v>
      </c>
      <c r="D872" t="inlineStr">
        <is>
          <t>SKÅNE LÄN</t>
        </is>
      </c>
      <c r="E872" t="inlineStr">
        <is>
          <t>HÄSSLEHOLM</t>
        </is>
      </c>
      <c r="G872" t="n">
        <v>2.4</v>
      </c>
      <c r="H872" t="n">
        <v>0</v>
      </c>
      <c r="I872" t="n">
        <v>0</v>
      </c>
      <c r="J872" t="n">
        <v>0</v>
      </c>
      <c r="K872" t="n">
        <v>0</v>
      </c>
      <c r="L872" t="n">
        <v>0</v>
      </c>
      <c r="M872" t="n">
        <v>0</v>
      </c>
      <c r="N872" t="n">
        <v>0</v>
      </c>
      <c r="O872" t="n">
        <v>0</v>
      </c>
      <c r="P872" t="n">
        <v>0</v>
      </c>
      <c r="Q872" t="n">
        <v>0</v>
      </c>
      <c r="R872" s="2" t="inlineStr"/>
    </row>
    <row r="873" ht="15" customHeight="1">
      <c r="A873" t="inlineStr">
        <is>
          <t>A 58989-2019</t>
        </is>
      </c>
      <c r="B873" s="1" t="n">
        <v>43769</v>
      </c>
      <c r="C873" s="1" t="n">
        <v>45796</v>
      </c>
      <c r="D873" t="inlineStr">
        <is>
          <t>SKÅNE LÄN</t>
        </is>
      </c>
      <c r="E873" t="inlineStr">
        <is>
          <t>ÖSTRA GÖINGE</t>
        </is>
      </c>
      <c r="G873" t="n">
        <v>1.1</v>
      </c>
      <c r="H873" t="n">
        <v>0</v>
      </c>
      <c r="I873" t="n">
        <v>0</v>
      </c>
      <c r="J873" t="n">
        <v>0</v>
      </c>
      <c r="K873" t="n">
        <v>0</v>
      </c>
      <c r="L873" t="n">
        <v>0</v>
      </c>
      <c r="M873" t="n">
        <v>0</v>
      </c>
      <c r="N873" t="n">
        <v>0</v>
      </c>
      <c r="O873" t="n">
        <v>0</v>
      </c>
      <c r="P873" t="n">
        <v>0</v>
      </c>
      <c r="Q873" t="n">
        <v>0</v>
      </c>
      <c r="R873" s="2" t="inlineStr"/>
    </row>
    <row r="874" ht="15" customHeight="1">
      <c r="A874" t="inlineStr">
        <is>
          <t>A 58023-2019</t>
        </is>
      </c>
      <c r="B874" s="1" t="n">
        <v>43769</v>
      </c>
      <c r="C874" s="1" t="n">
        <v>45796</v>
      </c>
      <c r="D874" t="inlineStr">
        <is>
          <t>SKÅNE LÄN</t>
        </is>
      </c>
      <c r="E874" t="inlineStr">
        <is>
          <t>OSBY</t>
        </is>
      </c>
      <c r="G874" t="n">
        <v>2.4</v>
      </c>
      <c r="H874" t="n">
        <v>0</v>
      </c>
      <c r="I874" t="n">
        <v>0</v>
      </c>
      <c r="J874" t="n">
        <v>0</v>
      </c>
      <c r="K874" t="n">
        <v>0</v>
      </c>
      <c r="L874" t="n">
        <v>0</v>
      </c>
      <c r="M874" t="n">
        <v>0</v>
      </c>
      <c r="N874" t="n">
        <v>0</v>
      </c>
      <c r="O874" t="n">
        <v>0</v>
      </c>
      <c r="P874" t="n">
        <v>0</v>
      </c>
      <c r="Q874" t="n">
        <v>0</v>
      </c>
      <c r="R874" s="2" t="inlineStr"/>
    </row>
    <row r="875" ht="15" customHeight="1">
      <c r="A875" t="inlineStr">
        <is>
          <t>A 58070-2019</t>
        </is>
      </c>
      <c r="B875" s="1" t="n">
        <v>43769</v>
      </c>
      <c r="C875" s="1" t="n">
        <v>45796</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58979-2019</t>
        </is>
      </c>
      <c r="B876" s="1" t="n">
        <v>43769</v>
      </c>
      <c r="C876" s="1" t="n">
        <v>45796</v>
      </c>
      <c r="D876" t="inlineStr">
        <is>
          <t>SKÅNE LÄN</t>
        </is>
      </c>
      <c r="E876" t="inlineStr">
        <is>
          <t>ÖSTRA GÖINGE</t>
        </is>
      </c>
      <c r="G876" t="n">
        <v>1.3</v>
      </c>
      <c r="H876" t="n">
        <v>0</v>
      </c>
      <c r="I876" t="n">
        <v>0</v>
      </c>
      <c r="J876" t="n">
        <v>0</v>
      </c>
      <c r="K876" t="n">
        <v>0</v>
      </c>
      <c r="L876" t="n">
        <v>0</v>
      </c>
      <c r="M876" t="n">
        <v>0</v>
      </c>
      <c r="N876" t="n">
        <v>0</v>
      </c>
      <c r="O876" t="n">
        <v>0</v>
      </c>
      <c r="P876" t="n">
        <v>0</v>
      </c>
      <c r="Q876" t="n">
        <v>0</v>
      </c>
      <c r="R876" s="2" t="inlineStr"/>
    </row>
    <row r="877" ht="15" customHeight="1">
      <c r="A877" t="inlineStr">
        <is>
          <t>A 58202-2019</t>
        </is>
      </c>
      <c r="B877" s="1" t="n">
        <v>43770</v>
      </c>
      <c r="C877" s="1" t="n">
        <v>45796</v>
      </c>
      <c r="D877" t="inlineStr">
        <is>
          <t>SKÅNE LÄN</t>
        </is>
      </c>
      <c r="E877" t="inlineStr">
        <is>
          <t>SIMRISHAMN</t>
        </is>
      </c>
      <c r="G877" t="n">
        <v>1.4</v>
      </c>
      <c r="H877" t="n">
        <v>0</v>
      </c>
      <c r="I877" t="n">
        <v>0</v>
      </c>
      <c r="J877" t="n">
        <v>0</v>
      </c>
      <c r="K877" t="n">
        <v>0</v>
      </c>
      <c r="L877" t="n">
        <v>0</v>
      </c>
      <c r="M877" t="n">
        <v>0</v>
      </c>
      <c r="N877" t="n">
        <v>0</v>
      </c>
      <c r="O877" t="n">
        <v>0</v>
      </c>
      <c r="P877" t="n">
        <v>0</v>
      </c>
      <c r="Q877" t="n">
        <v>0</v>
      </c>
      <c r="R877" s="2" t="inlineStr"/>
    </row>
    <row r="878" ht="15" customHeight="1">
      <c r="A878" t="inlineStr">
        <is>
          <t>A 58367-2019</t>
        </is>
      </c>
      <c r="B878" s="1" t="n">
        <v>43770</v>
      </c>
      <c r="C878" s="1" t="n">
        <v>45796</v>
      </c>
      <c r="D878" t="inlineStr">
        <is>
          <t>SKÅNE LÄN</t>
        </is>
      </c>
      <c r="E878" t="inlineStr">
        <is>
          <t>ÖSTRA GÖINGE</t>
        </is>
      </c>
      <c r="G878" t="n">
        <v>0.8</v>
      </c>
      <c r="H878" t="n">
        <v>0</v>
      </c>
      <c r="I878" t="n">
        <v>0</v>
      </c>
      <c r="J878" t="n">
        <v>0</v>
      </c>
      <c r="K878" t="n">
        <v>0</v>
      </c>
      <c r="L878" t="n">
        <v>0</v>
      </c>
      <c r="M878" t="n">
        <v>0</v>
      </c>
      <c r="N878" t="n">
        <v>0</v>
      </c>
      <c r="O878" t="n">
        <v>0</v>
      </c>
      <c r="P878" t="n">
        <v>0</v>
      </c>
      <c r="Q878" t="n">
        <v>0</v>
      </c>
      <c r="R878" s="2" t="inlineStr"/>
    </row>
    <row r="879" ht="15" customHeight="1">
      <c r="A879" t="inlineStr">
        <is>
          <t>A 59351-2019</t>
        </is>
      </c>
      <c r="B879" s="1" t="n">
        <v>43770</v>
      </c>
      <c r="C879" s="1" t="n">
        <v>45796</v>
      </c>
      <c r="D879" t="inlineStr">
        <is>
          <t>SKÅNE LÄN</t>
        </is>
      </c>
      <c r="E879" t="inlineStr">
        <is>
          <t>PERSTORP</t>
        </is>
      </c>
      <c r="G879" t="n">
        <v>0.6</v>
      </c>
      <c r="H879" t="n">
        <v>0</v>
      </c>
      <c r="I879" t="n">
        <v>0</v>
      </c>
      <c r="J879" t="n">
        <v>0</v>
      </c>
      <c r="K879" t="n">
        <v>0</v>
      </c>
      <c r="L879" t="n">
        <v>0</v>
      </c>
      <c r="M879" t="n">
        <v>0</v>
      </c>
      <c r="N879" t="n">
        <v>0</v>
      </c>
      <c r="O879" t="n">
        <v>0</v>
      </c>
      <c r="P879" t="n">
        <v>0</v>
      </c>
      <c r="Q879" t="n">
        <v>0</v>
      </c>
      <c r="R879" s="2" t="inlineStr"/>
    </row>
    <row r="880" ht="15" customHeight="1">
      <c r="A880" t="inlineStr">
        <is>
          <t>A 58508-2019</t>
        </is>
      </c>
      <c r="B880" s="1" t="n">
        <v>43773</v>
      </c>
      <c r="C880" s="1" t="n">
        <v>45796</v>
      </c>
      <c r="D880" t="inlineStr">
        <is>
          <t>SKÅNE LÄN</t>
        </is>
      </c>
      <c r="E880" t="inlineStr">
        <is>
          <t>OSBY</t>
        </is>
      </c>
      <c r="G880" t="n">
        <v>0.5</v>
      </c>
      <c r="H880" t="n">
        <v>0</v>
      </c>
      <c r="I880" t="n">
        <v>0</v>
      </c>
      <c r="J880" t="n">
        <v>0</v>
      </c>
      <c r="K880" t="n">
        <v>0</v>
      </c>
      <c r="L880" t="n">
        <v>0</v>
      </c>
      <c r="M880" t="n">
        <v>0</v>
      </c>
      <c r="N880" t="n">
        <v>0</v>
      </c>
      <c r="O880" t="n">
        <v>0</v>
      </c>
      <c r="P880" t="n">
        <v>0</v>
      </c>
      <c r="Q880" t="n">
        <v>0</v>
      </c>
      <c r="R880" s="2" t="inlineStr"/>
    </row>
    <row r="881" ht="15" customHeight="1">
      <c r="A881" t="inlineStr">
        <is>
          <t>A 58885-2019</t>
        </is>
      </c>
      <c r="B881" s="1" t="n">
        <v>43773</v>
      </c>
      <c r="C881" s="1" t="n">
        <v>45796</v>
      </c>
      <c r="D881" t="inlineStr">
        <is>
          <t>SKÅNE LÄN</t>
        </is>
      </c>
      <c r="E881" t="inlineStr">
        <is>
          <t>SIMRISHAMN</t>
        </is>
      </c>
      <c r="G881" t="n">
        <v>4.7</v>
      </c>
      <c r="H881" t="n">
        <v>0</v>
      </c>
      <c r="I881" t="n">
        <v>0</v>
      </c>
      <c r="J881" t="n">
        <v>0</v>
      </c>
      <c r="K881" t="n">
        <v>0</v>
      </c>
      <c r="L881" t="n">
        <v>0</v>
      </c>
      <c r="M881" t="n">
        <v>0</v>
      </c>
      <c r="N881" t="n">
        <v>0</v>
      </c>
      <c r="O881" t="n">
        <v>0</v>
      </c>
      <c r="P881" t="n">
        <v>0</v>
      </c>
      <c r="Q881" t="n">
        <v>0</v>
      </c>
      <c r="R881" s="2" t="inlineStr"/>
    </row>
    <row r="882" ht="15" customHeight="1">
      <c r="A882" t="inlineStr">
        <is>
          <t>A 59293-2019</t>
        </is>
      </c>
      <c r="B882" s="1" t="n">
        <v>43773</v>
      </c>
      <c r="C882" s="1" t="n">
        <v>45796</v>
      </c>
      <c r="D882" t="inlineStr">
        <is>
          <t>SKÅNE LÄN</t>
        </is>
      </c>
      <c r="E882" t="inlineStr">
        <is>
          <t>KRISTIANSTAD</t>
        </is>
      </c>
      <c r="G882" t="n">
        <v>1.7</v>
      </c>
      <c r="H882" t="n">
        <v>0</v>
      </c>
      <c r="I882" t="n">
        <v>0</v>
      </c>
      <c r="J882" t="n">
        <v>0</v>
      </c>
      <c r="K882" t="n">
        <v>0</v>
      </c>
      <c r="L882" t="n">
        <v>0</v>
      </c>
      <c r="M882" t="n">
        <v>0</v>
      </c>
      <c r="N882" t="n">
        <v>0</v>
      </c>
      <c r="O882" t="n">
        <v>0</v>
      </c>
      <c r="P882" t="n">
        <v>0</v>
      </c>
      <c r="Q882" t="n">
        <v>0</v>
      </c>
      <c r="R882" s="2" t="inlineStr"/>
    </row>
    <row r="883" ht="15" customHeight="1">
      <c r="A883" t="inlineStr">
        <is>
          <t>A 58677-2019</t>
        </is>
      </c>
      <c r="B883" s="1" t="n">
        <v>43773</v>
      </c>
      <c r="C883" s="1" t="n">
        <v>45796</v>
      </c>
      <c r="D883" t="inlineStr">
        <is>
          <t>SKÅNE LÄN</t>
        </is>
      </c>
      <c r="E883" t="inlineStr">
        <is>
          <t>ÖSTRA GÖINGE</t>
        </is>
      </c>
      <c r="G883" t="n">
        <v>2.4</v>
      </c>
      <c r="H883" t="n">
        <v>0</v>
      </c>
      <c r="I883" t="n">
        <v>0</v>
      </c>
      <c r="J883" t="n">
        <v>0</v>
      </c>
      <c r="K883" t="n">
        <v>0</v>
      </c>
      <c r="L883" t="n">
        <v>0</v>
      </c>
      <c r="M883" t="n">
        <v>0</v>
      </c>
      <c r="N883" t="n">
        <v>0</v>
      </c>
      <c r="O883" t="n">
        <v>0</v>
      </c>
      <c r="P883" t="n">
        <v>0</v>
      </c>
      <c r="Q883" t="n">
        <v>0</v>
      </c>
      <c r="R883" s="2" t="inlineStr"/>
    </row>
    <row r="884" ht="15" customHeight="1">
      <c r="A884" t="inlineStr">
        <is>
          <t>A 58889-2019</t>
        </is>
      </c>
      <c r="B884" s="1" t="n">
        <v>43774</v>
      </c>
      <c r="C884" s="1" t="n">
        <v>45796</v>
      </c>
      <c r="D884" t="inlineStr">
        <is>
          <t>SKÅNE LÄN</t>
        </is>
      </c>
      <c r="E884" t="inlineStr">
        <is>
          <t>HÄSSLEHOLM</t>
        </is>
      </c>
      <c r="G884" t="n">
        <v>2.3</v>
      </c>
      <c r="H884" t="n">
        <v>0</v>
      </c>
      <c r="I884" t="n">
        <v>0</v>
      </c>
      <c r="J884" t="n">
        <v>0</v>
      </c>
      <c r="K884" t="n">
        <v>0</v>
      </c>
      <c r="L884" t="n">
        <v>0</v>
      </c>
      <c r="M884" t="n">
        <v>0</v>
      </c>
      <c r="N884" t="n">
        <v>0</v>
      </c>
      <c r="O884" t="n">
        <v>0</v>
      </c>
      <c r="P884" t="n">
        <v>0</v>
      </c>
      <c r="Q884" t="n">
        <v>0</v>
      </c>
      <c r="R884" s="2" t="inlineStr"/>
    </row>
    <row r="885" ht="15" customHeight="1">
      <c r="A885" t="inlineStr">
        <is>
          <t>A 59641-2019</t>
        </is>
      </c>
      <c r="B885" s="1" t="n">
        <v>43774</v>
      </c>
      <c r="C885" s="1" t="n">
        <v>45796</v>
      </c>
      <c r="D885" t="inlineStr">
        <is>
          <t>SKÅNE LÄN</t>
        </is>
      </c>
      <c r="E885" t="inlineStr">
        <is>
          <t>ÖSTRA GÖINGE</t>
        </is>
      </c>
      <c r="G885" t="n">
        <v>2.3</v>
      </c>
      <c r="H885" t="n">
        <v>0</v>
      </c>
      <c r="I885" t="n">
        <v>0</v>
      </c>
      <c r="J885" t="n">
        <v>0</v>
      </c>
      <c r="K885" t="n">
        <v>0</v>
      </c>
      <c r="L885" t="n">
        <v>0</v>
      </c>
      <c r="M885" t="n">
        <v>0</v>
      </c>
      <c r="N885" t="n">
        <v>0</v>
      </c>
      <c r="O885" t="n">
        <v>0</v>
      </c>
      <c r="P885" t="n">
        <v>0</v>
      </c>
      <c r="Q885" t="n">
        <v>0</v>
      </c>
      <c r="R885" s="2" t="inlineStr"/>
    </row>
    <row r="886" ht="15" customHeight="1">
      <c r="A886" t="inlineStr">
        <is>
          <t>A 59615-2019</t>
        </is>
      </c>
      <c r="B886" s="1" t="n">
        <v>43774</v>
      </c>
      <c r="C886" s="1" t="n">
        <v>45796</v>
      </c>
      <c r="D886" t="inlineStr">
        <is>
          <t>SKÅNE LÄN</t>
        </is>
      </c>
      <c r="E886" t="inlineStr">
        <is>
          <t>ÖSTRA GÖINGE</t>
        </is>
      </c>
      <c r="G886" t="n">
        <v>0.6</v>
      </c>
      <c r="H886" t="n">
        <v>0</v>
      </c>
      <c r="I886" t="n">
        <v>0</v>
      </c>
      <c r="J886" t="n">
        <v>0</v>
      </c>
      <c r="K886" t="n">
        <v>0</v>
      </c>
      <c r="L886" t="n">
        <v>0</v>
      </c>
      <c r="M886" t="n">
        <v>0</v>
      </c>
      <c r="N886" t="n">
        <v>0</v>
      </c>
      <c r="O886" t="n">
        <v>0</v>
      </c>
      <c r="P886" t="n">
        <v>0</v>
      </c>
      <c r="Q886" t="n">
        <v>0</v>
      </c>
      <c r="R886" s="2" t="inlineStr"/>
    </row>
    <row r="887" ht="15" customHeight="1">
      <c r="A887" t="inlineStr">
        <is>
          <t>A 59877-2019</t>
        </is>
      </c>
      <c r="B887" s="1" t="n">
        <v>43775</v>
      </c>
      <c r="C887" s="1" t="n">
        <v>45796</v>
      </c>
      <c r="D887" t="inlineStr">
        <is>
          <t>SKÅNE LÄN</t>
        </is>
      </c>
      <c r="E887" t="inlineStr">
        <is>
          <t>PERSTORP</t>
        </is>
      </c>
      <c r="G887" t="n">
        <v>4.9</v>
      </c>
      <c r="H887" t="n">
        <v>0</v>
      </c>
      <c r="I887" t="n">
        <v>0</v>
      </c>
      <c r="J887" t="n">
        <v>0</v>
      </c>
      <c r="K887" t="n">
        <v>0</v>
      </c>
      <c r="L887" t="n">
        <v>0</v>
      </c>
      <c r="M887" t="n">
        <v>0</v>
      </c>
      <c r="N887" t="n">
        <v>0</v>
      </c>
      <c r="O887" t="n">
        <v>0</v>
      </c>
      <c r="P887" t="n">
        <v>0</v>
      </c>
      <c r="Q887" t="n">
        <v>0</v>
      </c>
      <c r="R887" s="2" t="inlineStr"/>
    </row>
    <row r="888" ht="15" customHeight="1">
      <c r="A888" t="inlineStr">
        <is>
          <t>A 59946-2019</t>
        </is>
      </c>
      <c r="B888" s="1" t="n">
        <v>43775</v>
      </c>
      <c r="C888" s="1" t="n">
        <v>45796</v>
      </c>
      <c r="D888" t="inlineStr">
        <is>
          <t>SKÅNE LÄN</t>
        </is>
      </c>
      <c r="E888" t="inlineStr">
        <is>
          <t>KRISTIANSTAD</t>
        </is>
      </c>
      <c r="G888" t="n">
        <v>2.9</v>
      </c>
      <c r="H888" t="n">
        <v>0</v>
      </c>
      <c r="I888" t="n">
        <v>0</v>
      </c>
      <c r="J888" t="n">
        <v>0</v>
      </c>
      <c r="K888" t="n">
        <v>0</v>
      </c>
      <c r="L888" t="n">
        <v>0</v>
      </c>
      <c r="M888" t="n">
        <v>0</v>
      </c>
      <c r="N888" t="n">
        <v>0</v>
      </c>
      <c r="O888" t="n">
        <v>0</v>
      </c>
      <c r="P888" t="n">
        <v>0</v>
      </c>
      <c r="Q888" t="n">
        <v>0</v>
      </c>
      <c r="R888" s="2" t="inlineStr"/>
    </row>
    <row r="889" ht="15" customHeight="1">
      <c r="A889" t="inlineStr">
        <is>
          <t>A 59740-2019</t>
        </is>
      </c>
      <c r="B889" s="1" t="n">
        <v>43776</v>
      </c>
      <c r="C889" s="1" t="n">
        <v>45796</v>
      </c>
      <c r="D889" t="inlineStr">
        <is>
          <t>SKÅNE LÄN</t>
        </is>
      </c>
      <c r="E889" t="inlineStr">
        <is>
          <t>BROMÖLLA</t>
        </is>
      </c>
      <c r="G889" t="n">
        <v>2.5</v>
      </c>
      <c r="H889" t="n">
        <v>0</v>
      </c>
      <c r="I889" t="n">
        <v>0</v>
      </c>
      <c r="J889" t="n">
        <v>0</v>
      </c>
      <c r="K889" t="n">
        <v>0</v>
      </c>
      <c r="L889" t="n">
        <v>0</v>
      </c>
      <c r="M889" t="n">
        <v>0</v>
      </c>
      <c r="N889" t="n">
        <v>0</v>
      </c>
      <c r="O889" t="n">
        <v>0</v>
      </c>
      <c r="P889" t="n">
        <v>0</v>
      </c>
      <c r="Q889" t="n">
        <v>0</v>
      </c>
      <c r="R889" s="2" t="inlineStr"/>
    </row>
    <row r="890" ht="15" customHeight="1">
      <c r="A890" t="inlineStr">
        <is>
          <t>A 59828-2019</t>
        </is>
      </c>
      <c r="B890" s="1" t="n">
        <v>43777</v>
      </c>
      <c r="C890" s="1" t="n">
        <v>45796</v>
      </c>
      <c r="D890" t="inlineStr">
        <is>
          <t>SKÅNE LÄN</t>
        </is>
      </c>
      <c r="E890" t="inlineStr">
        <is>
          <t>HÄSSLEHOLM</t>
        </is>
      </c>
      <c r="G890" t="n">
        <v>4.1</v>
      </c>
      <c r="H890" t="n">
        <v>0</v>
      </c>
      <c r="I890" t="n">
        <v>0</v>
      </c>
      <c r="J890" t="n">
        <v>0</v>
      </c>
      <c r="K890" t="n">
        <v>0</v>
      </c>
      <c r="L890" t="n">
        <v>0</v>
      </c>
      <c r="M890" t="n">
        <v>0</v>
      </c>
      <c r="N890" t="n">
        <v>0</v>
      </c>
      <c r="O890" t="n">
        <v>0</v>
      </c>
      <c r="P890" t="n">
        <v>0</v>
      </c>
      <c r="Q890" t="n">
        <v>0</v>
      </c>
      <c r="R890" s="2" t="inlineStr"/>
    </row>
    <row r="891" ht="15" customHeight="1">
      <c r="A891" t="inlineStr">
        <is>
          <t>A 59818-2019</t>
        </is>
      </c>
      <c r="B891" s="1" t="n">
        <v>43777</v>
      </c>
      <c r="C891" s="1" t="n">
        <v>45796</v>
      </c>
      <c r="D891" t="inlineStr">
        <is>
          <t>SKÅNE LÄN</t>
        </is>
      </c>
      <c r="E891" t="inlineStr">
        <is>
          <t>ÖRKELLJUNGA</t>
        </is>
      </c>
      <c r="G891" t="n">
        <v>2.4</v>
      </c>
      <c r="H891" t="n">
        <v>0</v>
      </c>
      <c r="I891" t="n">
        <v>0</v>
      </c>
      <c r="J891" t="n">
        <v>0</v>
      </c>
      <c r="K891" t="n">
        <v>0</v>
      </c>
      <c r="L891" t="n">
        <v>0</v>
      </c>
      <c r="M891" t="n">
        <v>0</v>
      </c>
      <c r="N891" t="n">
        <v>0</v>
      </c>
      <c r="O891" t="n">
        <v>0</v>
      </c>
      <c r="P891" t="n">
        <v>0</v>
      </c>
      <c r="Q891" t="n">
        <v>0</v>
      </c>
      <c r="R891" s="2" t="inlineStr"/>
    </row>
    <row r="892" ht="15" customHeight="1">
      <c r="A892" t="inlineStr">
        <is>
          <t>A 60102-2019</t>
        </is>
      </c>
      <c r="B892" s="1" t="n">
        <v>43777</v>
      </c>
      <c r="C892" s="1" t="n">
        <v>45796</v>
      </c>
      <c r="D892" t="inlineStr">
        <is>
          <t>SKÅNE LÄN</t>
        </is>
      </c>
      <c r="E892" t="inlineStr">
        <is>
          <t>PERSTORP</t>
        </is>
      </c>
      <c r="G892" t="n">
        <v>3.9</v>
      </c>
      <c r="H892" t="n">
        <v>0</v>
      </c>
      <c r="I892" t="n">
        <v>0</v>
      </c>
      <c r="J892" t="n">
        <v>0</v>
      </c>
      <c r="K892" t="n">
        <v>0</v>
      </c>
      <c r="L892" t="n">
        <v>0</v>
      </c>
      <c r="M892" t="n">
        <v>0</v>
      </c>
      <c r="N892" t="n">
        <v>0</v>
      </c>
      <c r="O892" t="n">
        <v>0</v>
      </c>
      <c r="P892" t="n">
        <v>0</v>
      </c>
      <c r="Q892" t="n">
        <v>0</v>
      </c>
      <c r="R892" s="2" t="inlineStr"/>
    </row>
    <row r="893" ht="15" customHeight="1">
      <c r="A893" t="inlineStr">
        <is>
          <t>A 60486-2019</t>
        </is>
      </c>
      <c r="B893" s="1" t="n">
        <v>43780</v>
      </c>
      <c r="C893" s="1" t="n">
        <v>45796</v>
      </c>
      <c r="D893" t="inlineStr">
        <is>
          <t>SKÅNE LÄN</t>
        </is>
      </c>
      <c r="E893" t="inlineStr">
        <is>
          <t>ÖRKELLJUNGA</t>
        </is>
      </c>
      <c r="G893" t="n">
        <v>3.4</v>
      </c>
      <c r="H893" t="n">
        <v>0</v>
      </c>
      <c r="I893" t="n">
        <v>0</v>
      </c>
      <c r="J893" t="n">
        <v>0</v>
      </c>
      <c r="K893" t="n">
        <v>0</v>
      </c>
      <c r="L893" t="n">
        <v>0</v>
      </c>
      <c r="M893" t="n">
        <v>0</v>
      </c>
      <c r="N893" t="n">
        <v>0</v>
      </c>
      <c r="O893" t="n">
        <v>0</v>
      </c>
      <c r="P893" t="n">
        <v>0</v>
      </c>
      <c r="Q893" t="n">
        <v>0</v>
      </c>
      <c r="R893" s="2" t="inlineStr"/>
    </row>
    <row r="894" ht="15" customHeight="1">
      <c r="A894" t="inlineStr">
        <is>
          <t>A 60938-2019</t>
        </is>
      </c>
      <c r="B894" s="1" t="n">
        <v>43780</v>
      </c>
      <c r="C894" s="1" t="n">
        <v>45796</v>
      </c>
      <c r="D894" t="inlineStr">
        <is>
          <t>SKÅNE LÄN</t>
        </is>
      </c>
      <c r="E894" t="inlineStr">
        <is>
          <t>BROMÖLLA</t>
        </is>
      </c>
      <c r="G894" t="n">
        <v>5.1</v>
      </c>
      <c r="H894" t="n">
        <v>0</v>
      </c>
      <c r="I894" t="n">
        <v>0</v>
      </c>
      <c r="J894" t="n">
        <v>0</v>
      </c>
      <c r="K894" t="n">
        <v>0</v>
      </c>
      <c r="L894" t="n">
        <v>0</v>
      </c>
      <c r="M894" t="n">
        <v>0</v>
      </c>
      <c r="N894" t="n">
        <v>0</v>
      </c>
      <c r="O894" t="n">
        <v>0</v>
      </c>
      <c r="P894" t="n">
        <v>0</v>
      </c>
      <c r="Q894" t="n">
        <v>0</v>
      </c>
      <c r="R894" s="2" t="inlineStr"/>
    </row>
    <row r="895" ht="15" customHeight="1">
      <c r="A895" t="inlineStr">
        <is>
          <t>A 61949-2019</t>
        </is>
      </c>
      <c r="B895" s="1" t="n">
        <v>43781</v>
      </c>
      <c r="C895" s="1" t="n">
        <v>45796</v>
      </c>
      <c r="D895" t="inlineStr">
        <is>
          <t>SKÅNE LÄN</t>
        </is>
      </c>
      <c r="E895" t="inlineStr">
        <is>
          <t>HÖÖR</t>
        </is>
      </c>
      <c r="G895" t="n">
        <v>1.7</v>
      </c>
      <c r="H895" t="n">
        <v>0</v>
      </c>
      <c r="I895" t="n">
        <v>0</v>
      </c>
      <c r="J895" t="n">
        <v>0</v>
      </c>
      <c r="K895" t="n">
        <v>0</v>
      </c>
      <c r="L895" t="n">
        <v>0</v>
      </c>
      <c r="M895" t="n">
        <v>0</v>
      </c>
      <c r="N895" t="n">
        <v>0</v>
      </c>
      <c r="O895" t="n">
        <v>0</v>
      </c>
      <c r="P895" t="n">
        <v>0</v>
      </c>
      <c r="Q895" t="n">
        <v>0</v>
      </c>
      <c r="R895" s="2" t="inlineStr"/>
    </row>
    <row r="896" ht="15" customHeight="1">
      <c r="A896" t="inlineStr">
        <is>
          <t>A 61926-2019</t>
        </is>
      </c>
      <c r="B896" s="1" t="n">
        <v>43781</v>
      </c>
      <c r="C896" s="1" t="n">
        <v>45796</v>
      </c>
      <c r="D896" t="inlineStr">
        <is>
          <t>SKÅNE LÄN</t>
        </is>
      </c>
      <c r="E896" t="inlineStr">
        <is>
          <t>OSBY</t>
        </is>
      </c>
      <c r="G896" t="n">
        <v>2</v>
      </c>
      <c r="H896" t="n">
        <v>0</v>
      </c>
      <c r="I896" t="n">
        <v>0</v>
      </c>
      <c r="J896" t="n">
        <v>0</v>
      </c>
      <c r="K896" t="n">
        <v>0</v>
      </c>
      <c r="L896" t="n">
        <v>0</v>
      </c>
      <c r="M896" t="n">
        <v>0</v>
      </c>
      <c r="N896" t="n">
        <v>0</v>
      </c>
      <c r="O896" t="n">
        <v>0</v>
      </c>
      <c r="P896" t="n">
        <v>0</v>
      </c>
      <c r="Q896" t="n">
        <v>0</v>
      </c>
      <c r="R896" s="2" t="inlineStr"/>
    </row>
    <row r="897" ht="15" customHeight="1">
      <c r="A897" t="inlineStr">
        <is>
          <t>A 61490-2019</t>
        </is>
      </c>
      <c r="B897" s="1" t="n">
        <v>43783</v>
      </c>
      <c r="C897" s="1" t="n">
        <v>45796</v>
      </c>
      <c r="D897" t="inlineStr">
        <is>
          <t>SKÅNE LÄN</t>
        </is>
      </c>
      <c r="E897" t="inlineStr">
        <is>
          <t>ÖRKELLJUNGA</t>
        </is>
      </c>
      <c r="G897" t="n">
        <v>1.2</v>
      </c>
      <c r="H897" t="n">
        <v>0</v>
      </c>
      <c r="I897" t="n">
        <v>0</v>
      </c>
      <c r="J897" t="n">
        <v>0</v>
      </c>
      <c r="K897" t="n">
        <v>0</v>
      </c>
      <c r="L897" t="n">
        <v>0</v>
      </c>
      <c r="M897" t="n">
        <v>0</v>
      </c>
      <c r="N897" t="n">
        <v>0</v>
      </c>
      <c r="O897" t="n">
        <v>0</v>
      </c>
      <c r="P897" t="n">
        <v>0</v>
      </c>
      <c r="Q897" t="n">
        <v>0</v>
      </c>
      <c r="R897" s="2" t="inlineStr"/>
    </row>
    <row r="898" ht="15" customHeight="1">
      <c r="A898" t="inlineStr">
        <is>
          <t>A 61487-2019</t>
        </is>
      </c>
      <c r="B898" s="1" t="n">
        <v>43783</v>
      </c>
      <c r="C898" s="1" t="n">
        <v>45796</v>
      </c>
      <c r="D898" t="inlineStr">
        <is>
          <t>SKÅNE LÄN</t>
        </is>
      </c>
      <c r="E898" t="inlineStr">
        <is>
          <t>ÖRKELLJUNGA</t>
        </is>
      </c>
      <c r="G898" t="n">
        <v>5.1</v>
      </c>
      <c r="H898" t="n">
        <v>0</v>
      </c>
      <c r="I898" t="n">
        <v>0</v>
      </c>
      <c r="J898" t="n">
        <v>0</v>
      </c>
      <c r="K898" t="n">
        <v>0</v>
      </c>
      <c r="L898" t="n">
        <v>0</v>
      </c>
      <c r="M898" t="n">
        <v>0</v>
      </c>
      <c r="N898" t="n">
        <v>0</v>
      </c>
      <c r="O898" t="n">
        <v>0</v>
      </c>
      <c r="P898" t="n">
        <v>0</v>
      </c>
      <c r="Q898" t="n">
        <v>0</v>
      </c>
      <c r="R898" s="2" t="inlineStr"/>
    </row>
    <row r="899" ht="15" customHeight="1">
      <c r="A899" t="inlineStr">
        <is>
          <t>A 61565-2019</t>
        </is>
      </c>
      <c r="B899" s="1" t="n">
        <v>43784</v>
      </c>
      <c r="C899" s="1" t="n">
        <v>45796</v>
      </c>
      <c r="D899" t="inlineStr">
        <is>
          <t>SKÅNE LÄN</t>
        </is>
      </c>
      <c r="E899" t="inlineStr">
        <is>
          <t>OSBY</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61572-2019</t>
        </is>
      </c>
      <c r="B900" s="1" t="n">
        <v>43784</v>
      </c>
      <c r="C900" s="1" t="n">
        <v>45796</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61664-2019</t>
        </is>
      </c>
      <c r="B901" s="1" t="n">
        <v>43784</v>
      </c>
      <c r="C901" s="1" t="n">
        <v>45796</v>
      </c>
      <c r="D901" t="inlineStr">
        <is>
          <t>SKÅNE LÄN</t>
        </is>
      </c>
      <c r="E901" t="inlineStr">
        <is>
          <t>HÄSSLEHOLM</t>
        </is>
      </c>
      <c r="G901" t="n">
        <v>4.4</v>
      </c>
      <c r="H901" t="n">
        <v>0</v>
      </c>
      <c r="I901" t="n">
        <v>0</v>
      </c>
      <c r="J901" t="n">
        <v>0</v>
      </c>
      <c r="K901" t="n">
        <v>0</v>
      </c>
      <c r="L901" t="n">
        <v>0</v>
      </c>
      <c r="M901" t="n">
        <v>0</v>
      </c>
      <c r="N901" t="n">
        <v>0</v>
      </c>
      <c r="O901" t="n">
        <v>0</v>
      </c>
      <c r="P901" t="n">
        <v>0</v>
      </c>
      <c r="Q901" t="n">
        <v>0</v>
      </c>
      <c r="R901" s="2" t="inlineStr"/>
    </row>
    <row r="902" ht="15" customHeight="1">
      <c r="A902" t="inlineStr">
        <is>
          <t>A 61567-2019</t>
        </is>
      </c>
      <c r="B902" s="1" t="n">
        <v>43784</v>
      </c>
      <c r="C902" s="1" t="n">
        <v>45796</v>
      </c>
      <c r="D902" t="inlineStr">
        <is>
          <t>SKÅNE LÄN</t>
        </is>
      </c>
      <c r="E902" t="inlineStr">
        <is>
          <t>OSBY</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61665-2019</t>
        </is>
      </c>
      <c r="B903" s="1" t="n">
        <v>43784</v>
      </c>
      <c r="C903" s="1" t="n">
        <v>45796</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62459-2019</t>
        </is>
      </c>
      <c r="B904" s="1" t="n">
        <v>43788</v>
      </c>
      <c r="C904" s="1" t="n">
        <v>45796</v>
      </c>
      <c r="D904" t="inlineStr">
        <is>
          <t>SKÅNE LÄN</t>
        </is>
      </c>
      <c r="E904" t="inlineStr">
        <is>
          <t>HÖÖR</t>
        </is>
      </c>
      <c r="G904" t="n">
        <v>1.8</v>
      </c>
      <c r="H904" t="n">
        <v>0</v>
      </c>
      <c r="I904" t="n">
        <v>0</v>
      </c>
      <c r="J904" t="n">
        <v>0</v>
      </c>
      <c r="K904" t="n">
        <v>0</v>
      </c>
      <c r="L904" t="n">
        <v>0</v>
      </c>
      <c r="M904" t="n">
        <v>0</v>
      </c>
      <c r="N904" t="n">
        <v>0</v>
      </c>
      <c r="O904" t="n">
        <v>0</v>
      </c>
      <c r="P904" t="n">
        <v>0</v>
      </c>
      <c r="Q904" t="n">
        <v>0</v>
      </c>
      <c r="R904" s="2" t="inlineStr"/>
    </row>
    <row r="905" ht="15" customHeight="1">
      <c r="A905" t="inlineStr">
        <is>
          <t>A 62669-2019</t>
        </is>
      </c>
      <c r="B905" s="1" t="n">
        <v>43789</v>
      </c>
      <c r="C905" s="1" t="n">
        <v>45796</v>
      </c>
      <c r="D905" t="inlineStr">
        <is>
          <t>SKÅNE LÄN</t>
        </is>
      </c>
      <c r="E905" t="inlineStr">
        <is>
          <t>KLIPPAN</t>
        </is>
      </c>
      <c r="G905" t="n">
        <v>0.7</v>
      </c>
      <c r="H905" t="n">
        <v>0</v>
      </c>
      <c r="I905" t="n">
        <v>0</v>
      </c>
      <c r="J905" t="n">
        <v>0</v>
      </c>
      <c r="K905" t="n">
        <v>0</v>
      </c>
      <c r="L905" t="n">
        <v>0</v>
      </c>
      <c r="M905" t="n">
        <v>0</v>
      </c>
      <c r="N905" t="n">
        <v>0</v>
      </c>
      <c r="O905" t="n">
        <v>0</v>
      </c>
      <c r="P905" t="n">
        <v>0</v>
      </c>
      <c r="Q905" t="n">
        <v>0</v>
      </c>
      <c r="R905" s="2" t="inlineStr"/>
    </row>
    <row r="906" ht="15" customHeight="1">
      <c r="A906" t="inlineStr">
        <is>
          <t>A 62947-2019</t>
        </is>
      </c>
      <c r="B906" s="1" t="n">
        <v>43790</v>
      </c>
      <c r="C906" s="1" t="n">
        <v>45796</v>
      </c>
      <c r="D906" t="inlineStr">
        <is>
          <t>SKÅNE LÄN</t>
        </is>
      </c>
      <c r="E906" t="inlineStr">
        <is>
          <t>ÖRKELLJUNGA</t>
        </is>
      </c>
      <c r="G906" t="n">
        <v>0.7</v>
      </c>
      <c r="H906" t="n">
        <v>0</v>
      </c>
      <c r="I906" t="n">
        <v>0</v>
      </c>
      <c r="J906" t="n">
        <v>0</v>
      </c>
      <c r="K906" t="n">
        <v>0</v>
      </c>
      <c r="L906" t="n">
        <v>0</v>
      </c>
      <c r="M906" t="n">
        <v>0</v>
      </c>
      <c r="N906" t="n">
        <v>0</v>
      </c>
      <c r="O906" t="n">
        <v>0</v>
      </c>
      <c r="P906" t="n">
        <v>0</v>
      </c>
      <c r="Q906" t="n">
        <v>0</v>
      </c>
      <c r="R906" s="2" t="inlineStr"/>
    </row>
    <row r="907" ht="15" customHeight="1">
      <c r="A907" t="inlineStr">
        <is>
          <t>A 62981-2019</t>
        </is>
      </c>
      <c r="B907" s="1" t="n">
        <v>43790</v>
      </c>
      <c r="C907" s="1" t="n">
        <v>45796</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62978-2019</t>
        </is>
      </c>
      <c r="B908" s="1" t="n">
        <v>43790</v>
      </c>
      <c r="C908" s="1" t="n">
        <v>45796</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62994-2019</t>
        </is>
      </c>
      <c r="B909" s="1" t="n">
        <v>43790</v>
      </c>
      <c r="C909" s="1" t="n">
        <v>45796</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62997-2019</t>
        </is>
      </c>
      <c r="B910" s="1" t="n">
        <v>43790</v>
      </c>
      <c r="C910" s="1" t="n">
        <v>45796</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62784-2019</t>
        </is>
      </c>
      <c r="B911" s="1" t="n">
        <v>43790</v>
      </c>
      <c r="C911" s="1" t="n">
        <v>45796</v>
      </c>
      <c r="D911" t="inlineStr">
        <is>
          <t>SKÅNE LÄN</t>
        </is>
      </c>
      <c r="E911" t="inlineStr">
        <is>
          <t>ÖRKELLJUNGA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63073-2019</t>
        </is>
      </c>
      <c r="B912" s="1" t="n">
        <v>43791</v>
      </c>
      <c r="C912" s="1" t="n">
        <v>45796</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63031-2019</t>
        </is>
      </c>
      <c r="B913" s="1" t="n">
        <v>43791</v>
      </c>
      <c r="C913" s="1" t="n">
        <v>45796</v>
      </c>
      <c r="D913" t="inlineStr">
        <is>
          <t>SKÅNE LÄN</t>
        </is>
      </c>
      <c r="E913" t="inlineStr">
        <is>
          <t>OSBY</t>
        </is>
      </c>
      <c r="G913" t="n">
        <v>0.2</v>
      </c>
      <c r="H913" t="n">
        <v>0</v>
      </c>
      <c r="I913" t="n">
        <v>0</v>
      </c>
      <c r="J913" t="n">
        <v>0</v>
      </c>
      <c r="K913" t="n">
        <v>0</v>
      </c>
      <c r="L913" t="n">
        <v>0</v>
      </c>
      <c r="M913" t="n">
        <v>0</v>
      </c>
      <c r="N913" t="n">
        <v>0</v>
      </c>
      <c r="O913" t="n">
        <v>0</v>
      </c>
      <c r="P913" t="n">
        <v>0</v>
      </c>
      <c r="Q913" t="n">
        <v>0</v>
      </c>
      <c r="R913" s="2" t="inlineStr"/>
    </row>
    <row r="914" ht="15" customHeight="1">
      <c r="A914" t="inlineStr">
        <is>
          <t>A 64766-2019</t>
        </is>
      </c>
      <c r="B914" s="1" t="n">
        <v>43795</v>
      </c>
      <c r="C914" s="1" t="n">
        <v>45796</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64957-2019</t>
        </is>
      </c>
      <c r="B915" s="1" t="n">
        <v>43795</v>
      </c>
      <c r="C915" s="1" t="n">
        <v>45796</v>
      </c>
      <c r="D915" t="inlineStr">
        <is>
          <t>SKÅNE LÄN</t>
        </is>
      </c>
      <c r="E915" t="inlineStr">
        <is>
          <t>KRISTIANSTAD</t>
        </is>
      </c>
      <c r="G915" t="n">
        <v>2.6</v>
      </c>
      <c r="H915" t="n">
        <v>0</v>
      </c>
      <c r="I915" t="n">
        <v>0</v>
      </c>
      <c r="J915" t="n">
        <v>0</v>
      </c>
      <c r="K915" t="n">
        <v>0</v>
      </c>
      <c r="L915" t="n">
        <v>0</v>
      </c>
      <c r="M915" t="n">
        <v>0</v>
      </c>
      <c r="N915" t="n">
        <v>0</v>
      </c>
      <c r="O915" t="n">
        <v>0</v>
      </c>
      <c r="P915" t="n">
        <v>0</v>
      </c>
      <c r="Q915" t="n">
        <v>0</v>
      </c>
      <c r="R915" s="2" t="inlineStr"/>
    </row>
    <row r="916" ht="15" customHeight="1">
      <c r="A916" t="inlineStr">
        <is>
          <t>A 63710-2019</t>
        </is>
      </c>
      <c r="B916" s="1" t="n">
        <v>43795</v>
      </c>
      <c r="C916" s="1" t="n">
        <v>45796</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65240-2019</t>
        </is>
      </c>
      <c r="B917" s="1" t="n">
        <v>43797</v>
      </c>
      <c r="C917" s="1" t="n">
        <v>45796</v>
      </c>
      <c r="D917" t="inlineStr">
        <is>
          <t>SKÅNE LÄN</t>
        </is>
      </c>
      <c r="E917" t="inlineStr">
        <is>
          <t>KLIPPAN</t>
        </is>
      </c>
      <c r="G917" t="n">
        <v>0.4</v>
      </c>
      <c r="H917" t="n">
        <v>0</v>
      </c>
      <c r="I917" t="n">
        <v>0</v>
      </c>
      <c r="J917" t="n">
        <v>0</v>
      </c>
      <c r="K917" t="n">
        <v>0</v>
      </c>
      <c r="L917" t="n">
        <v>0</v>
      </c>
      <c r="M917" t="n">
        <v>0</v>
      </c>
      <c r="N917" t="n">
        <v>0</v>
      </c>
      <c r="O917" t="n">
        <v>0</v>
      </c>
      <c r="P917" t="n">
        <v>0</v>
      </c>
      <c r="Q917" t="n">
        <v>0</v>
      </c>
      <c r="R917" s="2" t="inlineStr"/>
    </row>
    <row r="918" ht="15" customHeight="1">
      <c r="A918" t="inlineStr">
        <is>
          <t>A 64629-2019</t>
        </is>
      </c>
      <c r="B918" s="1" t="n">
        <v>43798</v>
      </c>
      <c r="C918" s="1" t="n">
        <v>45796</v>
      </c>
      <c r="D918" t="inlineStr">
        <is>
          <t>SKÅNE LÄN</t>
        </is>
      </c>
      <c r="E918" t="inlineStr">
        <is>
          <t>HÖRBY</t>
        </is>
      </c>
      <c r="G918" t="n">
        <v>7</v>
      </c>
      <c r="H918" t="n">
        <v>0</v>
      </c>
      <c r="I918" t="n">
        <v>0</v>
      </c>
      <c r="J918" t="n">
        <v>0</v>
      </c>
      <c r="K918" t="n">
        <v>0</v>
      </c>
      <c r="L918" t="n">
        <v>0</v>
      </c>
      <c r="M918" t="n">
        <v>0</v>
      </c>
      <c r="N918" t="n">
        <v>0</v>
      </c>
      <c r="O918" t="n">
        <v>0</v>
      </c>
      <c r="P918" t="n">
        <v>0</v>
      </c>
      <c r="Q918" t="n">
        <v>0</v>
      </c>
      <c r="R918" s="2" t="inlineStr"/>
    </row>
    <row r="919" ht="15" customHeight="1">
      <c r="A919" t="inlineStr">
        <is>
          <t>A 64498-2019</t>
        </is>
      </c>
      <c r="B919" s="1" t="n">
        <v>43798</v>
      </c>
      <c r="C919" s="1" t="n">
        <v>45796</v>
      </c>
      <c r="D919" t="inlineStr">
        <is>
          <t>SKÅNE LÄN</t>
        </is>
      </c>
      <c r="E919" t="inlineStr">
        <is>
          <t>OSBY</t>
        </is>
      </c>
      <c r="G919" t="n">
        <v>1.4</v>
      </c>
      <c r="H919" t="n">
        <v>0</v>
      </c>
      <c r="I919" t="n">
        <v>0</v>
      </c>
      <c r="J919" t="n">
        <v>0</v>
      </c>
      <c r="K919" t="n">
        <v>0</v>
      </c>
      <c r="L919" t="n">
        <v>0</v>
      </c>
      <c r="M919" t="n">
        <v>0</v>
      </c>
      <c r="N919" t="n">
        <v>0</v>
      </c>
      <c r="O919" t="n">
        <v>0</v>
      </c>
      <c r="P919" t="n">
        <v>0</v>
      </c>
      <c r="Q919" t="n">
        <v>0</v>
      </c>
      <c r="R919" s="2" t="inlineStr"/>
    </row>
    <row r="920" ht="15" customHeight="1">
      <c r="A920" t="inlineStr">
        <is>
          <t>A 64755-2019</t>
        </is>
      </c>
      <c r="B920" s="1" t="n">
        <v>43801</v>
      </c>
      <c r="C920" s="1" t="n">
        <v>45796</v>
      </c>
      <c r="D920" t="inlineStr">
        <is>
          <t>SKÅNE LÄN</t>
        </is>
      </c>
      <c r="E920" t="inlineStr">
        <is>
          <t>ÄNGELHOLM</t>
        </is>
      </c>
      <c r="G920" t="n">
        <v>0.5</v>
      </c>
      <c r="H920" t="n">
        <v>0</v>
      </c>
      <c r="I920" t="n">
        <v>0</v>
      </c>
      <c r="J920" t="n">
        <v>0</v>
      </c>
      <c r="K920" t="n">
        <v>0</v>
      </c>
      <c r="L920" t="n">
        <v>0</v>
      </c>
      <c r="M920" t="n">
        <v>0</v>
      </c>
      <c r="N920" t="n">
        <v>0</v>
      </c>
      <c r="O920" t="n">
        <v>0</v>
      </c>
      <c r="P920" t="n">
        <v>0</v>
      </c>
      <c r="Q920" t="n">
        <v>0</v>
      </c>
      <c r="R920" s="2" t="inlineStr"/>
    </row>
    <row r="921" ht="15" customHeight="1">
      <c r="A921" t="inlineStr">
        <is>
          <t>A 64949-2019</t>
        </is>
      </c>
      <c r="B921" s="1" t="n">
        <v>43801</v>
      </c>
      <c r="C921" s="1" t="n">
        <v>45796</v>
      </c>
      <c r="D921" t="inlineStr">
        <is>
          <t>SKÅNE LÄN</t>
        </is>
      </c>
      <c r="E921" t="inlineStr">
        <is>
          <t>KRISTIANSTAD</t>
        </is>
      </c>
      <c r="G921" t="n">
        <v>2.5</v>
      </c>
      <c r="H921" t="n">
        <v>0</v>
      </c>
      <c r="I921" t="n">
        <v>0</v>
      </c>
      <c r="J921" t="n">
        <v>0</v>
      </c>
      <c r="K921" t="n">
        <v>0</v>
      </c>
      <c r="L921" t="n">
        <v>0</v>
      </c>
      <c r="M921" t="n">
        <v>0</v>
      </c>
      <c r="N921" t="n">
        <v>0</v>
      </c>
      <c r="O921" t="n">
        <v>0</v>
      </c>
      <c r="P921" t="n">
        <v>0</v>
      </c>
      <c r="Q921" t="n">
        <v>0</v>
      </c>
      <c r="R921" s="2" t="inlineStr"/>
    </row>
    <row r="922" ht="15" customHeight="1">
      <c r="A922" t="inlineStr">
        <is>
          <t>A 65086-2019</t>
        </is>
      </c>
      <c r="B922" s="1" t="n">
        <v>43802</v>
      </c>
      <c r="C922" s="1" t="n">
        <v>45796</v>
      </c>
      <c r="D922" t="inlineStr">
        <is>
          <t>SKÅNE LÄN</t>
        </is>
      </c>
      <c r="E922" t="inlineStr">
        <is>
          <t>PERSTORP</t>
        </is>
      </c>
      <c r="G922" t="n">
        <v>2.5</v>
      </c>
      <c r="H922" t="n">
        <v>0</v>
      </c>
      <c r="I922" t="n">
        <v>0</v>
      </c>
      <c r="J922" t="n">
        <v>0</v>
      </c>
      <c r="K922" t="n">
        <v>0</v>
      </c>
      <c r="L922" t="n">
        <v>0</v>
      </c>
      <c r="M922" t="n">
        <v>0</v>
      </c>
      <c r="N922" t="n">
        <v>0</v>
      </c>
      <c r="O922" t="n">
        <v>0</v>
      </c>
      <c r="P922" t="n">
        <v>0</v>
      </c>
      <c r="Q922" t="n">
        <v>0</v>
      </c>
      <c r="R922" s="2" t="inlineStr"/>
    </row>
    <row r="923" ht="15" customHeight="1">
      <c r="A923" t="inlineStr">
        <is>
          <t>A 65603-2019</t>
        </is>
      </c>
      <c r="B923" s="1" t="n">
        <v>43804</v>
      </c>
      <c r="C923" s="1" t="n">
        <v>45796</v>
      </c>
      <c r="D923" t="inlineStr">
        <is>
          <t>SKÅNE LÄN</t>
        </is>
      </c>
      <c r="E923" t="inlineStr">
        <is>
          <t>KRISTIANSTAD</t>
        </is>
      </c>
      <c r="G923" t="n">
        <v>3.3</v>
      </c>
      <c r="H923" t="n">
        <v>0</v>
      </c>
      <c r="I923" t="n">
        <v>0</v>
      </c>
      <c r="J923" t="n">
        <v>0</v>
      </c>
      <c r="K923" t="n">
        <v>0</v>
      </c>
      <c r="L923" t="n">
        <v>0</v>
      </c>
      <c r="M923" t="n">
        <v>0</v>
      </c>
      <c r="N923" t="n">
        <v>0</v>
      </c>
      <c r="O923" t="n">
        <v>0</v>
      </c>
      <c r="P923" t="n">
        <v>0</v>
      </c>
      <c r="Q923" t="n">
        <v>0</v>
      </c>
      <c r="R923" s="2" t="inlineStr"/>
    </row>
    <row r="924" ht="15" customHeight="1">
      <c r="A924" t="inlineStr">
        <is>
          <t>A 65672-2019</t>
        </is>
      </c>
      <c r="B924" s="1" t="n">
        <v>43804</v>
      </c>
      <c r="C924" s="1" t="n">
        <v>45796</v>
      </c>
      <c r="D924" t="inlineStr">
        <is>
          <t>SKÅNE LÄN</t>
        </is>
      </c>
      <c r="E924" t="inlineStr">
        <is>
          <t>KLIPPAN</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65777-2019</t>
        </is>
      </c>
      <c r="B925" s="1" t="n">
        <v>43804</v>
      </c>
      <c r="C925" s="1" t="n">
        <v>45796</v>
      </c>
      <c r="D925" t="inlineStr">
        <is>
          <t>SKÅNE LÄN</t>
        </is>
      </c>
      <c r="E925" t="inlineStr">
        <is>
          <t>PERSTORP</t>
        </is>
      </c>
      <c r="G925" t="n">
        <v>0.9</v>
      </c>
      <c r="H925" t="n">
        <v>0</v>
      </c>
      <c r="I925" t="n">
        <v>0</v>
      </c>
      <c r="J925" t="n">
        <v>0</v>
      </c>
      <c r="K925" t="n">
        <v>0</v>
      </c>
      <c r="L925" t="n">
        <v>0</v>
      </c>
      <c r="M925" t="n">
        <v>0</v>
      </c>
      <c r="N925" t="n">
        <v>0</v>
      </c>
      <c r="O925" t="n">
        <v>0</v>
      </c>
      <c r="P925" t="n">
        <v>0</v>
      </c>
      <c r="Q925" t="n">
        <v>0</v>
      </c>
      <c r="R925" s="2" t="inlineStr"/>
    </row>
    <row r="926" ht="15" customHeight="1">
      <c r="A926" t="inlineStr">
        <is>
          <t>A 66782-2019</t>
        </is>
      </c>
      <c r="B926" s="1" t="n">
        <v>43804</v>
      </c>
      <c r="C926" s="1" t="n">
        <v>45796</v>
      </c>
      <c r="D926" t="inlineStr">
        <is>
          <t>SKÅNE LÄN</t>
        </is>
      </c>
      <c r="E926" t="inlineStr">
        <is>
          <t>KRISTIANSTAD</t>
        </is>
      </c>
      <c r="G926" t="n">
        <v>1.4</v>
      </c>
      <c r="H926" t="n">
        <v>0</v>
      </c>
      <c r="I926" t="n">
        <v>0</v>
      </c>
      <c r="J926" t="n">
        <v>0</v>
      </c>
      <c r="K926" t="n">
        <v>0</v>
      </c>
      <c r="L926" t="n">
        <v>0</v>
      </c>
      <c r="M926" t="n">
        <v>0</v>
      </c>
      <c r="N926" t="n">
        <v>0</v>
      </c>
      <c r="O926" t="n">
        <v>0</v>
      </c>
      <c r="P926" t="n">
        <v>0</v>
      </c>
      <c r="Q926" t="n">
        <v>0</v>
      </c>
      <c r="R926" s="2" t="inlineStr"/>
    </row>
    <row r="927" ht="15" customHeight="1">
      <c r="A927" t="inlineStr">
        <is>
          <t>A 65778-2019</t>
        </is>
      </c>
      <c r="B927" s="1" t="n">
        <v>43804</v>
      </c>
      <c r="C927" s="1" t="n">
        <v>45796</v>
      </c>
      <c r="D927" t="inlineStr">
        <is>
          <t>SKÅNE LÄN</t>
        </is>
      </c>
      <c r="E927" t="inlineStr">
        <is>
          <t>PERSTORP</t>
        </is>
      </c>
      <c r="G927" t="n">
        <v>2.2</v>
      </c>
      <c r="H927" t="n">
        <v>0</v>
      </c>
      <c r="I927" t="n">
        <v>0</v>
      </c>
      <c r="J927" t="n">
        <v>0</v>
      </c>
      <c r="K927" t="n">
        <v>0</v>
      </c>
      <c r="L927" t="n">
        <v>0</v>
      </c>
      <c r="M927" t="n">
        <v>0</v>
      </c>
      <c r="N927" t="n">
        <v>0</v>
      </c>
      <c r="O927" t="n">
        <v>0</v>
      </c>
      <c r="P927" t="n">
        <v>0</v>
      </c>
      <c r="Q927" t="n">
        <v>0</v>
      </c>
      <c r="R927" s="2" t="inlineStr"/>
    </row>
    <row r="928" ht="15" customHeight="1">
      <c r="A928" t="inlineStr">
        <is>
          <t>A 66885-2019</t>
        </is>
      </c>
      <c r="B928" s="1" t="n">
        <v>43805</v>
      </c>
      <c r="C928" s="1" t="n">
        <v>45796</v>
      </c>
      <c r="D928" t="inlineStr">
        <is>
          <t>SKÅNE LÄN</t>
        </is>
      </c>
      <c r="E928" t="inlineStr">
        <is>
          <t>HÄSSLEHOLM</t>
        </is>
      </c>
      <c r="F928" t="inlineStr">
        <is>
          <t>Övriga Aktiebolag</t>
        </is>
      </c>
      <c r="G928" t="n">
        <v>1</v>
      </c>
      <c r="H928" t="n">
        <v>0</v>
      </c>
      <c r="I928" t="n">
        <v>0</v>
      </c>
      <c r="J928" t="n">
        <v>0</v>
      </c>
      <c r="K928" t="n">
        <v>0</v>
      </c>
      <c r="L928" t="n">
        <v>0</v>
      </c>
      <c r="M928" t="n">
        <v>0</v>
      </c>
      <c r="N928" t="n">
        <v>0</v>
      </c>
      <c r="O928" t="n">
        <v>0</v>
      </c>
      <c r="P928" t="n">
        <v>0</v>
      </c>
      <c r="Q928" t="n">
        <v>0</v>
      </c>
      <c r="R928" s="2" t="inlineStr"/>
    </row>
    <row r="929" ht="15" customHeight="1">
      <c r="A929" t="inlineStr">
        <is>
          <t>A 66060-2019</t>
        </is>
      </c>
      <c r="B929" s="1" t="n">
        <v>43806</v>
      </c>
      <c r="C929" s="1" t="n">
        <v>45796</v>
      </c>
      <c r="D929" t="inlineStr">
        <is>
          <t>SKÅNE LÄN</t>
        </is>
      </c>
      <c r="E929" t="inlineStr">
        <is>
          <t>HÖÖR</t>
        </is>
      </c>
      <c r="G929" t="n">
        <v>0.5</v>
      </c>
      <c r="H929" t="n">
        <v>0</v>
      </c>
      <c r="I929" t="n">
        <v>0</v>
      </c>
      <c r="J929" t="n">
        <v>0</v>
      </c>
      <c r="K929" t="n">
        <v>0</v>
      </c>
      <c r="L929" t="n">
        <v>0</v>
      </c>
      <c r="M929" t="n">
        <v>0</v>
      </c>
      <c r="N929" t="n">
        <v>0</v>
      </c>
      <c r="O929" t="n">
        <v>0</v>
      </c>
      <c r="P929" t="n">
        <v>0</v>
      </c>
      <c r="Q929" t="n">
        <v>0</v>
      </c>
      <c r="R929" s="2" t="inlineStr"/>
    </row>
    <row r="930" ht="15" customHeight="1">
      <c r="A930" t="inlineStr">
        <is>
          <t>A 66083-2019</t>
        </is>
      </c>
      <c r="B930" s="1" t="n">
        <v>43807</v>
      </c>
      <c r="C930" s="1" t="n">
        <v>45796</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66085-2019</t>
        </is>
      </c>
      <c r="B931" s="1" t="n">
        <v>43807</v>
      </c>
      <c r="C931" s="1" t="n">
        <v>45796</v>
      </c>
      <c r="D931" t="inlineStr">
        <is>
          <t>SKÅNE LÄN</t>
        </is>
      </c>
      <c r="E931" t="inlineStr">
        <is>
          <t>OSBY</t>
        </is>
      </c>
      <c r="G931" t="n">
        <v>1.1</v>
      </c>
      <c r="H931" t="n">
        <v>0</v>
      </c>
      <c r="I931" t="n">
        <v>0</v>
      </c>
      <c r="J931" t="n">
        <v>0</v>
      </c>
      <c r="K931" t="n">
        <v>0</v>
      </c>
      <c r="L931" t="n">
        <v>0</v>
      </c>
      <c r="M931" t="n">
        <v>0</v>
      </c>
      <c r="N931" t="n">
        <v>0</v>
      </c>
      <c r="O931" t="n">
        <v>0</v>
      </c>
      <c r="P931" t="n">
        <v>0</v>
      </c>
      <c r="Q931" t="n">
        <v>0</v>
      </c>
      <c r="R931" s="2" t="inlineStr"/>
    </row>
    <row r="932" ht="15" customHeight="1">
      <c r="A932" t="inlineStr">
        <is>
          <t>A 67241-2019</t>
        </is>
      </c>
      <c r="B932" s="1" t="n">
        <v>43808</v>
      </c>
      <c r="C932" s="1" t="n">
        <v>45796</v>
      </c>
      <c r="D932" t="inlineStr">
        <is>
          <t>SKÅNE LÄN</t>
        </is>
      </c>
      <c r="E932" t="inlineStr">
        <is>
          <t>PERSTORP</t>
        </is>
      </c>
      <c r="G932" t="n">
        <v>0.4</v>
      </c>
      <c r="H932" t="n">
        <v>0</v>
      </c>
      <c r="I932" t="n">
        <v>0</v>
      </c>
      <c r="J932" t="n">
        <v>0</v>
      </c>
      <c r="K932" t="n">
        <v>0</v>
      </c>
      <c r="L932" t="n">
        <v>0</v>
      </c>
      <c r="M932" t="n">
        <v>0</v>
      </c>
      <c r="N932" t="n">
        <v>0</v>
      </c>
      <c r="O932" t="n">
        <v>0</v>
      </c>
      <c r="P932" t="n">
        <v>0</v>
      </c>
      <c r="Q932" t="n">
        <v>0</v>
      </c>
      <c r="R932" s="2" t="inlineStr"/>
    </row>
    <row r="933" ht="15" customHeight="1">
      <c r="A933" t="inlineStr">
        <is>
          <t>A 67240-2019</t>
        </is>
      </c>
      <c r="B933" s="1" t="n">
        <v>43808</v>
      </c>
      <c r="C933" s="1" t="n">
        <v>45796</v>
      </c>
      <c r="D933" t="inlineStr">
        <is>
          <t>SKÅNE LÄN</t>
        </is>
      </c>
      <c r="E933" t="inlineStr">
        <is>
          <t>PERSTORP</t>
        </is>
      </c>
      <c r="G933" t="n">
        <v>2.8</v>
      </c>
      <c r="H933" t="n">
        <v>0</v>
      </c>
      <c r="I933" t="n">
        <v>0</v>
      </c>
      <c r="J933" t="n">
        <v>0</v>
      </c>
      <c r="K933" t="n">
        <v>0</v>
      </c>
      <c r="L933" t="n">
        <v>0</v>
      </c>
      <c r="M933" t="n">
        <v>0</v>
      </c>
      <c r="N933" t="n">
        <v>0</v>
      </c>
      <c r="O933" t="n">
        <v>0</v>
      </c>
      <c r="P933" t="n">
        <v>0</v>
      </c>
      <c r="Q933" t="n">
        <v>0</v>
      </c>
      <c r="R933" s="2" t="inlineStr"/>
    </row>
    <row r="934" ht="15" customHeight="1">
      <c r="A934" t="inlineStr">
        <is>
          <t>A 66428-2019</t>
        </is>
      </c>
      <c r="B934" s="1" t="n">
        <v>43809</v>
      </c>
      <c r="C934" s="1" t="n">
        <v>45796</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66662-2019</t>
        </is>
      </c>
      <c r="B935" s="1" t="n">
        <v>43809</v>
      </c>
      <c r="C935" s="1" t="n">
        <v>45796</v>
      </c>
      <c r="D935" t="inlineStr">
        <is>
          <t>SKÅNE LÄN</t>
        </is>
      </c>
      <c r="E935" t="inlineStr">
        <is>
          <t>HÄSSLEHOLM</t>
        </is>
      </c>
      <c r="G935" t="n">
        <v>9</v>
      </c>
      <c r="H935" t="n">
        <v>0</v>
      </c>
      <c r="I935" t="n">
        <v>0</v>
      </c>
      <c r="J935" t="n">
        <v>0</v>
      </c>
      <c r="K935" t="n">
        <v>0</v>
      </c>
      <c r="L935" t="n">
        <v>0</v>
      </c>
      <c r="M935" t="n">
        <v>0</v>
      </c>
      <c r="N935" t="n">
        <v>0</v>
      </c>
      <c r="O935" t="n">
        <v>0</v>
      </c>
      <c r="P935" t="n">
        <v>0</v>
      </c>
      <c r="Q935" t="n">
        <v>0</v>
      </c>
      <c r="R935" s="2" t="inlineStr"/>
    </row>
    <row r="936" ht="15" customHeight="1">
      <c r="A936" t="inlineStr">
        <is>
          <t>A 67739-2019</t>
        </is>
      </c>
      <c r="B936" s="1" t="n">
        <v>43810</v>
      </c>
      <c r="C936" s="1" t="n">
        <v>45796</v>
      </c>
      <c r="D936" t="inlineStr">
        <is>
          <t>SKÅNE LÄN</t>
        </is>
      </c>
      <c r="E936" t="inlineStr">
        <is>
          <t>ÄNGELHOLM</t>
        </is>
      </c>
      <c r="G936" t="n">
        <v>0.9</v>
      </c>
      <c r="H936" t="n">
        <v>0</v>
      </c>
      <c r="I936" t="n">
        <v>0</v>
      </c>
      <c r="J936" t="n">
        <v>0</v>
      </c>
      <c r="K936" t="n">
        <v>0</v>
      </c>
      <c r="L936" t="n">
        <v>0</v>
      </c>
      <c r="M936" t="n">
        <v>0</v>
      </c>
      <c r="N936" t="n">
        <v>0</v>
      </c>
      <c r="O936" t="n">
        <v>0</v>
      </c>
      <c r="P936" t="n">
        <v>0</v>
      </c>
      <c r="Q936" t="n">
        <v>0</v>
      </c>
      <c r="R936" s="2" t="inlineStr"/>
    </row>
    <row r="937" ht="15" customHeight="1">
      <c r="A937" t="inlineStr">
        <is>
          <t>A 67731-2019</t>
        </is>
      </c>
      <c r="B937" s="1" t="n">
        <v>43810</v>
      </c>
      <c r="C937" s="1" t="n">
        <v>45796</v>
      </c>
      <c r="D937" t="inlineStr">
        <is>
          <t>SKÅNE LÄN</t>
        </is>
      </c>
      <c r="E937" t="inlineStr">
        <is>
          <t>ÄNGELHOLM</t>
        </is>
      </c>
      <c r="G937" t="n">
        <v>5.3</v>
      </c>
      <c r="H937" t="n">
        <v>0</v>
      </c>
      <c r="I937" t="n">
        <v>0</v>
      </c>
      <c r="J937" t="n">
        <v>0</v>
      </c>
      <c r="K937" t="n">
        <v>0</v>
      </c>
      <c r="L937" t="n">
        <v>0</v>
      </c>
      <c r="M937" t="n">
        <v>0</v>
      </c>
      <c r="N937" t="n">
        <v>0</v>
      </c>
      <c r="O937" t="n">
        <v>0</v>
      </c>
      <c r="P937" t="n">
        <v>0</v>
      </c>
      <c r="Q937" t="n">
        <v>0</v>
      </c>
      <c r="R937" s="2" t="inlineStr"/>
    </row>
    <row r="938" ht="15" customHeight="1">
      <c r="A938" t="inlineStr">
        <is>
          <t>A 67756-2019</t>
        </is>
      </c>
      <c r="B938" s="1" t="n">
        <v>43810</v>
      </c>
      <c r="C938" s="1" t="n">
        <v>45796</v>
      </c>
      <c r="D938" t="inlineStr">
        <is>
          <t>SKÅNE LÄN</t>
        </is>
      </c>
      <c r="E938" t="inlineStr">
        <is>
          <t>HÄSSLEHOLM</t>
        </is>
      </c>
      <c r="G938" t="n">
        <v>4.2</v>
      </c>
      <c r="H938" t="n">
        <v>0</v>
      </c>
      <c r="I938" t="n">
        <v>0</v>
      </c>
      <c r="J938" t="n">
        <v>0</v>
      </c>
      <c r="K938" t="n">
        <v>0</v>
      </c>
      <c r="L938" t="n">
        <v>0</v>
      </c>
      <c r="M938" t="n">
        <v>0</v>
      </c>
      <c r="N938" t="n">
        <v>0</v>
      </c>
      <c r="O938" t="n">
        <v>0</v>
      </c>
      <c r="P938" t="n">
        <v>0</v>
      </c>
      <c r="Q938" t="n">
        <v>0</v>
      </c>
      <c r="R938" s="2" t="inlineStr"/>
    </row>
    <row r="939" ht="15" customHeight="1">
      <c r="A939" t="inlineStr">
        <is>
          <t>A 66943-2019</t>
        </is>
      </c>
      <c r="B939" s="1" t="n">
        <v>43810</v>
      </c>
      <c r="C939" s="1" t="n">
        <v>45796</v>
      </c>
      <c r="D939" t="inlineStr">
        <is>
          <t>SKÅNE LÄN</t>
        </is>
      </c>
      <c r="E939" t="inlineStr">
        <is>
          <t>ÖRKELLJUNGA</t>
        </is>
      </c>
      <c r="G939" t="n">
        <v>0.6</v>
      </c>
      <c r="H939" t="n">
        <v>0</v>
      </c>
      <c r="I939" t="n">
        <v>0</v>
      </c>
      <c r="J939" t="n">
        <v>0</v>
      </c>
      <c r="K939" t="n">
        <v>0</v>
      </c>
      <c r="L939" t="n">
        <v>0</v>
      </c>
      <c r="M939" t="n">
        <v>0</v>
      </c>
      <c r="N939" t="n">
        <v>0</v>
      </c>
      <c r="O939" t="n">
        <v>0</v>
      </c>
      <c r="P939" t="n">
        <v>0</v>
      </c>
      <c r="Q939" t="n">
        <v>0</v>
      </c>
      <c r="R939" s="2" t="inlineStr"/>
    </row>
    <row r="940" ht="15" customHeight="1">
      <c r="A940" t="inlineStr">
        <is>
          <t>A 66796-2019</t>
        </is>
      </c>
      <c r="B940" s="1" t="n">
        <v>43810</v>
      </c>
      <c r="C940" s="1" t="n">
        <v>45796</v>
      </c>
      <c r="D940" t="inlineStr">
        <is>
          <t>SKÅNE LÄN</t>
        </is>
      </c>
      <c r="E940" t="inlineStr">
        <is>
          <t>HÖÖR</t>
        </is>
      </c>
      <c r="G940" t="n">
        <v>3.6</v>
      </c>
      <c r="H940" t="n">
        <v>0</v>
      </c>
      <c r="I940" t="n">
        <v>0</v>
      </c>
      <c r="J940" t="n">
        <v>0</v>
      </c>
      <c r="K940" t="n">
        <v>0</v>
      </c>
      <c r="L940" t="n">
        <v>0</v>
      </c>
      <c r="M940" t="n">
        <v>0</v>
      </c>
      <c r="N940" t="n">
        <v>0</v>
      </c>
      <c r="O940" t="n">
        <v>0</v>
      </c>
      <c r="P940" t="n">
        <v>0</v>
      </c>
      <c r="Q940" t="n">
        <v>0</v>
      </c>
      <c r="R940" s="2" t="inlineStr"/>
    </row>
    <row r="941" ht="15" customHeight="1">
      <c r="A941" t="inlineStr">
        <is>
          <t>A 67050-2019</t>
        </is>
      </c>
      <c r="B941" s="1" t="n">
        <v>43811</v>
      </c>
      <c r="C941" s="1" t="n">
        <v>45796</v>
      </c>
      <c r="D941" t="inlineStr">
        <is>
          <t>SKÅNE LÄN</t>
        </is>
      </c>
      <c r="E941" t="inlineStr">
        <is>
          <t>ÖRKELLJUNGA</t>
        </is>
      </c>
      <c r="G941" t="n">
        <v>0.9</v>
      </c>
      <c r="H941" t="n">
        <v>0</v>
      </c>
      <c r="I941" t="n">
        <v>0</v>
      </c>
      <c r="J941" t="n">
        <v>0</v>
      </c>
      <c r="K941" t="n">
        <v>0</v>
      </c>
      <c r="L941" t="n">
        <v>0</v>
      </c>
      <c r="M941" t="n">
        <v>0</v>
      </c>
      <c r="N941" t="n">
        <v>0</v>
      </c>
      <c r="O941" t="n">
        <v>0</v>
      </c>
      <c r="P941" t="n">
        <v>0</v>
      </c>
      <c r="Q941" t="n">
        <v>0</v>
      </c>
      <c r="R941" s="2" t="inlineStr"/>
    </row>
    <row r="942" ht="15" customHeight="1">
      <c r="A942" t="inlineStr">
        <is>
          <t>A 67147-2019</t>
        </is>
      </c>
      <c r="B942" s="1" t="n">
        <v>43811</v>
      </c>
      <c r="C942" s="1" t="n">
        <v>45796</v>
      </c>
      <c r="D942" t="inlineStr">
        <is>
          <t>SKÅNE LÄN</t>
        </is>
      </c>
      <c r="E942" t="inlineStr">
        <is>
          <t>KRISTIANSTAD</t>
        </is>
      </c>
      <c r="G942" t="n">
        <v>2.7</v>
      </c>
      <c r="H942" t="n">
        <v>0</v>
      </c>
      <c r="I942" t="n">
        <v>0</v>
      </c>
      <c r="J942" t="n">
        <v>0</v>
      </c>
      <c r="K942" t="n">
        <v>0</v>
      </c>
      <c r="L942" t="n">
        <v>0</v>
      </c>
      <c r="M942" t="n">
        <v>0</v>
      </c>
      <c r="N942" t="n">
        <v>0</v>
      </c>
      <c r="O942" t="n">
        <v>0</v>
      </c>
      <c r="P942" t="n">
        <v>0</v>
      </c>
      <c r="Q942" t="n">
        <v>0</v>
      </c>
      <c r="R942" s="2" t="inlineStr"/>
    </row>
    <row r="943" ht="15" customHeight="1">
      <c r="A943" t="inlineStr">
        <is>
          <t>A 67195-2019</t>
        </is>
      </c>
      <c r="B943" s="1" t="n">
        <v>43811</v>
      </c>
      <c r="C943" s="1" t="n">
        <v>45796</v>
      </c>
      <c r="D943" t="inlineStr">
        <is>
          <t>SKÅNE LÄN</t>
        </is>
      </c>
      <c r="E943" t="inlineStr">
        <is>
          <t>KRISTIANSTAD</t>
        </is>
      </c>
      <c r="G943" t="n">
        <v>17.9</v>
      </c>
      <c r="H943" t="n">
        <v>0</v>
      </c>
      <c r="I943" t="n">
        <v>0</v>
      </c>
      <c r="J943" t="n">
        <v>0</v>
      </c>
      <c r="K943" t="n">
        <v>0</v>
      </c>
      <c r="L943" t="n">
        <v>0</v>
      </c>
      <c r="M943" t="n">
        <v>0</v>
      </c>
      <c r="N943" t="n">
        <v>0</v>
      </c>
      <c r="O943" t="n">
        <v>0</v>
      </c>
      <c r="P943" t="n">
        <v>0</v>
      </c>
      <c r="Q943" t="n">
        <v>0</v>
      </c>
      <c r="R943" s="2" t="inlineStr"/>
    </row>
    <row r="944" ht="15" customHeight="1">
      <c r="A944" t="inlineStr">
        <is>
          <t>A 67048-2019</t>
        </is>
      </c>
      <c r="B944" s="1" t="n">
        <v>43811</v>
      </c>
      <c r="C944" s="1" t="n">
        <v>45796</v>
      </c>
      <c r="D944" t="inlineStr">
        <is>
          <t>SKÅNE LÄN</t>
        </is>
      </c>
      <c r="E944" t="inlineStr">
        <is>
          <t>ÖRKELLJUNGA</t>
        </is>
      </c>
      <c r="G944" t="n">
        <v>0.8</v>
      </c>
      <c r="H944" t="n">
        <v>0</v>
      </c>
      <c r="I944" t="n">
        <v>0</v>
      </c>
      <c r="J944" t="n">
        <v>0</v>
      </c>
      <c r="K944" t="n">
        <v>0</v>
      </c>
      <c r="L944" t="n">
        <v>0</v>
      </c>
      <c r="M944" t="n">
        <v>0</v>
      </c>
      <c r="N944" t="n">
        <v>0</v>
      </c>
      <c r="O944" t="n">
        <v>0</v>
      </c>
      <c r="P944" t="n">
        <v>0</v>
      </c>
      <c r="Q944" t="n">
        <v>0</v>
      </c>
      <c r="R944" s="2" t="inlineStr"/>
    </row>
    <row r="945" ht="15" customHeight="1">
      <c r="A945" t="inlineStr">
        <is>
          <t>A 68546-2019</t>
        </is>
      </c>
      <c r="B945" s="1" t="n">
        <v>43811</v>
      </c>
      <c r="C945" s="1" t="n">
        <v>45796</v>
      </c>
      <c r="D945" t="inlineStr">
        <is>
          <t>SKÅNE LÄN</t>
        </is>
      </c>
      <c r="E945" t="inlineStr">
        <is>
          <t>HÄSSLEHOLM</t>
        </is>
      </c>
      <c r="G945" t="n">
        <v>3.2</v>
      </c>
      <c r="H945" t="n">
        <v>0</v>
      </c>
      <c r="I945" t="n">
        <v>0</v>
      </c>
      <c r="J945" t="n">
        <v>0</v>
      </c>
      <c r="K945" t="n">
        <v>0</v>
      </c>
      <c r="L945" t="n">
        <v>0</v>
      </c>
      <c r="M945" t="n">
        <v>0</v>
      </c>
      <c r="N945" t="n">
        <v>0</v>
      </c>
      <c r="O945" t="n">
        <v>0</v>
      </c>
      <c r="P945" t="n">
        <v>0</v>
      </c>
      <c r="Q945" t="n">
        <v>0</v>
      </c>
      <c r="R945" s="2" t="inlineStr"/>
    </row>
    <row r="946" ht="15" customHeight="1">
      <c r="A946" t="inlineStr">
        <is>
          <t>A 68517-2019</t>
        </is>
      </c>
      <c r="B946" s="1" t="n">
        <v>43811</v>
      </c>
      <c r="C946" s="1" t="n">
        <v>45796</v>
      </c>
      <c r="D946" t="inlineStr">
        <is>
          <t>SKÅNE LÄN</t>
        </is>
      </c>
      <c r="E946" t="inlineStr">
        <is>
          <t>SVALÖV</t>
        </is>
      </c>
      <c r="G946" t="n">
        <v>3.8</v>
      </c>
      <c r="H946" t="n">
        <v>0</v>
      </c>
      <c r="I946" t="n">
        <v>0</v>
      </c>
      <c r="J946" t="n">
        <v>0</v>
      </c>
      <c r="K946" t="n">
        <v>0</v>
      </c>
      <c r="L946" t="n">
        <v>0</v>
      </c>
      <c r="M946" t="n">
        <v>0</v>
      </c>
      <c r="N946" t="n">
        <v>0</v>
      </c>
      <c r="O946" t="n">
        <v>0</v>
      </c>
      <c r="P946" t="n">
        <v>0</v>
      </c>
      <c r="Q946" t="n">
        <v>0</v>
      </c>
      <c r="R946" s="2" t="inlineStr"/>
    </row>
    <row r="947" ht="15" customHeight="1">
      <c r="A947" t="inlineStr">
        <is>
          <t>A 67347-2019</t>
        </is>
      </c>
      <c r="B947" s="1" t="n">
        <v>43812</v>
      </c>
      <c r="C947" s="1" t="n">
        <v>45796</v>
      </c>
      <c r="D947" t="inlineStr">
        <is>
          <t>SKÅNE LÄN</t>
        </is>
      </c>
      <c r="E947" t="inlineStr">
        <is>
          <t>KRISTIANSTAD</t>
        </is>
      </c>
      <c r="G947" t="n">
        <v>1.3</v>
      </c>
      <c r="H947" t="n">
        <v>0</v>
      </c>
      <c r="I947" t="n">
        <v>0</v>
      </c>
      <c r="J947" t="n">
        <v>0</v>
      </c>
      <c r="K947" t="n">
        <v>0</v>
      </c>
      <c r="L947" t="n">
        <v>0</v>
      </c>
      <c r="M947" t="n">
        <v>0</v>
      </c>
      <c r="N947" t="n">
        <v>0</v>
      </c>
      <c r="O947" t="n">
        <v>0</v>
      </c>
      <c r="P947" t="n">
        <v>0</v>
      </c>
      <c r="Q947" t="n">
        <v>0</v>
      </c>
      <c r="R947" s="2" t="inlineStr"/>
    </row>
    <row r="948" ht="15" customHeight="1">
      <c r="A948" t="inlineStr">
        <is>
          <t>A 68676-2019</t>
        </is>
      </c>
      <c r="B948" s="1" t="n">
        <v>43815</v>
      </c>
      <c r="C948" s="1" t="n">
        <v>45796</v>
      </c>
      <c r="D948" t="inlineStr">
        <is>
          <t>SKÅNE LÄN</t>
        </is>
      </c>
      <c r="E948" t="inlineStr">
        <is>
          <t>PERSTORP</t>
        </is>
      </c>
      <c r="G948" t="n">
        <v>2.5</v>
      </c>
      <c r="H948" t="n">
        <v>0</v>
      </c>
      <c r="I948" t="n">
        <v>0</v>
      </c>
      <c r="J948" t="n">
        <v>0</v>
      </c>
      <c r="K948" t="n">
        <v>0</v>
      </c>
      <c r="L948" t="n">
        <v>0</v>
      </c>
      <c r="M948" t="n">
        <v>0</v>
      </c>
      <c r="N948" t="n">
        <v>0</v>
      </c>
      <c r="O948" t="n">
        <v>0</v>
      </c>
      <c r="P948" t="n">
        <v>0</v>
      </c>
      <c r="Q948" t="n">
        <v>0</v>
      </c>
      <c r="R948" s="2" t="inlineStr"/>
    </row>
    <row r="949" ht="15" customHeight="1">
      <c r="A949" t="inlineStr">
        <is>
          <t>A 68817-2019</t>
        </is>
      </c>
      <c r="B949" s="1" t="n">
        <v>43815</v>
      </c>
      <c r="C949" s="1" t="n">
        <v>45796</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67970-2019</t>
        </is>
      </c>
      <c r="B950" s="1" t="n">
        <v>43816</v>
      </c>
      <c r="C950" s="1" t="n">
        <v>45796</v>
      </c>
      <c r="D950" t="inlineStr">
        <is>
          <t>SKÅNE LÄN</t>
        </is>
      </c>
      <c r="E950" t="inlineStr">
        <is>
          <t>KRISTIANSTAD</t>
        </is>
      </c>
      <c r="G950" t="n">
        <v>5.8</v>
      </c>
      <c r="H950" t="n">
        <v>0</v>
      </c>
      <c r="I950" t="n">
        <v>0</v>
      </c>
      <c r="J950" t="n">
        <v>0</v>
      </c>
      <c r="K950" t="n">
        <v>0</v>
      </c>
      <c r="L950" t="n">
        <v>0</v>
      </c>
      <c r="M950" t="n">
        <v>0</v>
      </c>
      <c r="N950" t="n">
        <v>0</v>
      </c>
      <c r="O950" t="n">
        <v>0</v>
      </c>
      <c r="P950" t="n">
        <v>0</v>
      </c>
      <c r="Q950" t="n">
        <v>0</v>
      </c>
      <c r="R950" s="2" t="inlineStr"/>
    </row>
    <row r="951" ht="15" customHeight="1">
      <c r="A951" t="inlineStr">
        <is>
          <t>A 67882-2019</t>
        </is>
      </c>
      <c r="B951" s="1" t="n">
        <v>43816</v>
      </c>
      <c r="C951" s="1" t="n">
        <v>45796</v>
      </c>
      <c r="D951" t="inlineStr">
        <is>
          <t>SKÅNE LÄN</t>
        </is>
      </c>
      <c r="E951" t="inlineStr">
        <is>
          <t>HÖRBY</t>
        </is>
      </c>
      <c r="G951" t="n">
        <v>1.6</v>
      </c>
      <c r="H951" t="n">
        <v>0</v>
      </c>
      <c r="I951" t="n">
        <v>0</v>
      </c>
      <c r="J951" t="n">
        <v>0</v>
      </c>
      <c r="K951" t="n">
        <v>0</v>
      </c>
      <c r="L951" t="n">
        <v>0</v>
      </c>
      <c r="M951" t="n">
        <v>0</v>
      </c>
      <c r="N951" t="n">
        <v>0</v>
      </c>
      <c r="O951" t="n">
        <v>0</v>
      </c>
      <c r="P951" t="n">
        <v>0</v>
      </c>
      <c r="Q951" t="n">
        <v>0</v>
      </c>
      <c r="R951" s="2" t="inlineStr"/>
    </row>
    <row r="952" ht="15" customHeight="1">
      <c r="A952" t="inlineStr">
        <is>
          <t>A 68668-2019</t>
        </is>
      </c>
      <c r="B952" s="1" t="n">
        <v>43816</v>
      </c>
      <c r="C952" s="1" t="n">
        <v>45796</v>
      </c>
      <c r="D952" t="inlineStr">
        <is>
          <t>SKÅNE LÄN</t>
        </is>
      </c>
      <c r="E952" t="inlineStr">
        <is>
          <t>KLIPPAN</t>
        </is>
      </c>
      <c r="G952" t="n">
        <v>5</v>
      </c>
      <c r="H952" t="n">
        <v>0</v>
      </c>
      <c r="I952" t="n">
        <v>0</v>
      </c>
      <c r="J952" t="n">
        <v>0</v>
      </c>
      <c r="K952" t="n">
        <v>0</v>
      </c>
      <c r="L952" t="n">
        <v>0</v>
      </c>
      <c r="M952" t="n">
        <v>0</v>
      </c>
      <c r="N952" t="n">
        <v>0</v>
      </c>
      <c r="O952" t="n">
        <v>0</v>
      </c>
      <c r="P952" t="n">
        <v>0</v>
      </c>
      <c r="Q952" t="n">
        <v>0</v>
      </c>
      <c r="R952" s="2" t="inlineStr"/>
    </row>
    <row r="953" ht="15" customHeight="1">
      <c r="A953" t="inlineStr">
        <is>
          <t>A 318-2020</t>
        </is>
      </c>
      <c r="B953" s="1" t="n">
        <v>43816</v>
      </c>
      <c r="C953" s="1" t="n">
        <v>45796</v>
      </c>
      <c r="D953" t="inlineStr">
        <is>
          <t>SKÅNE LÄN</t>
        </is>
      </c>
      <c r="E953" t="inlineStr">
        <is>
          <t>KLIPPAN</t>
        </is>
      </c>
      <c r="G953" t="n">
        <v>0.7</v>
      </c>
      <c r="H953" t="n">
        <v>0</v>
      </c>
      <c r="I953" t="n">
        <v>0</v>
      </c>
      <c r="J953" t="n">
        <v>0</v>
      </c>
      <c r="K953" t="n">
        <v>0</v>
      </c>
      <c r="L953" t="n">
        <v>0</v>
      </c>
      <c r="M953" t="n">
        <v>0</v>
      </c>
      <c r="N953" t="n">
        <v>0</v>
      </c>
      <c r="O953" t="n">
        <v>0</v>
      </c>
      <c r="P953" t="n">
        <v>0</v>
      </c>
      <c r="Q953" t="n">
        <v>0</v>
      </c>
      <c r="R953" s="2" t="inlineStr"/>
    </row>
    <row r="954" ht="15" customHeight="1">
      <c r="A954" t="inlineStr">
        <is>
          <t>A 436-2020</t>
        </is>
      </c>
      <c r="B954" s="1" t="n">
        <v>43816</v>
      </c>
      <c r="C954" s="1" t="n">
        <v>45796</v>
      </c>
      <c r="D954" t="inlineStr">
        <is>
          <t>SKÅNE LÄN</t>
        </is>
      </c>
      <c r="E954" t="inlineStr">
        <is>
          <t>ESLÖV</t>
        </is>
      </c>
      <c r="G954" t="n">
        <v>0.6</v>
      </c>
      <c r="H954" t="n">
        <v>0</v>
      </c>
      <c r="I954" t="n">
        <v>0</v>
      </c>
      <c r="J954" t="n">
        <v>0</v>
      </c>
      <c r="K954" t="n">
        <v>0</v>
      </c>
      <c r="L954" t="n">
        <v>0</v>
      </c>
      <c r="M954" t="n">
        <v>0</v>
      </c>
      <c r="N954" t="n">
        <v>0</v>
      </c>
      <c r="O954" t="n">
        <v>0</v>
      </c>
      <c r="P954" t="n">
        <v>0</v>
      </c>
      <c r="Q954" t="n">
        <v>0</v>
      </c>
      <c r="R954" s="2" t="inlineStr"/>
    </row>
    <row r="955" ht="15" customHeight="1">
      <c r="A955" t="inlineStr">
        <is>
          <t>A 68071-2019</t>
        </is>
      </c>
      <c r="B955" s="1" t="n">
        <v>43816</v>
      </c>
      <c r="C955" s="1" t="n">
        <v>45796</v>
      </c>
      <c r="D955" t="inlineStr">
        <is>
          <t>SKÅNE LÄN</t>
        </is>
      </c>
      <c r="E955" t="inlineStr">
        <is>
          <t>SJÖBO</t>
        </is>
      </c>
      <c r="G955" t="n">
        <v>1.1</v>
      </c>
      <c r="H955" t="n">
        <v>0</v>
      </c>
      <c r="I955" t="n">
        <v>0</v>
      </c>
      <c r="J955" t="n">
        <v>0</v>
      </c>
      <c r="K955" t="n">
        <v>0</v>
      </c>
      <c r="L955" t="n">
        <v>0</v>
      </c>
      <c r="M955" t="n">
        <v>0</v>
      </c>
      <c r="N955" t="n">
        <v>0</v>
      </c>
      <c r="O955" t="n">
        <v>0</v>
      </c>
      <c r="P955" t="n">
        <v>0</v>
      </c>
      <c r="Q955" t="n">
        <v>0</v>
      </c>
      <c r="R955" s="2" t="inlineStr"/>
    </row>
    <row r="956" ht="15" customHeight="1">
      <c r="A956" t="inlineStr">
        <is>
          <t>A 68070-2019</t>
        </is>
      </c>
      <c r="B956" s="1" t="n">
        <v>43816</v>
      </c>
      <c r="C956" s="1" t="n">
        <v>45796</v>
      </c>
      <c r="D956" t="inlineStr">
        <is>
          <t>SKÅNE LÄN</t>
        </is>
      </c>
      <c r="E956" t="inlineStr">
        <is>
          <t>SJÖBO</t>
        </is>
      </c>
      <c r="G956" t="n">
        <v>1.9</v>
      </c>
      <c r="H956" t="n">
        <v>0</v>
      </c>
      <c r="I956" t="n">
        <v>0</v>
      </c>
      <c r="J956" t="n">
        <v>0</v>
      </c>
      <c r="K956" t="n">
        <v>0</v>
      </c>
      <c r="L956" t="n">
        <v>0</v>
      </c>
      <c r="M956" t="n">
        <v>0</v>
      </c>
      <c r="N956" t="n">
        <v>0</v>
      </c>
      <c r="O956" t="n">
        <v>0</v>
      </c>
      <c r="P956" t="n">
        <v>0</v>
      </c>
      <c r="Q956" t="n">
        <v>0</v>
      </c>
      <c r="R956" s="2" t="inlineStr"/>
    </row>
    <row r="957" ht="15" customHeight="1">
      <c r="A957" t="inlineStr">
        <is>
          <t>A 68072-2019</t>
        </is>
      </c>
      <c r="B957" s="1" t="n">
        <v>43816</v>
      </c>
      <c r="C957" s="1" t="n">
        <v>45796</v>
      </c>
      <c r="D957" t="inlineStr">
        <is>
          <t>SKÅNE LÄN</t>
        </is>
      </c>
      <c r="E957" t="inlineStr">
        <is>
          <t>SJÖBO</t>
        </is>
      </c>
      <c r="G957" t="n">
        <v>0.4</v>
      </c>
      <c r="H957" t="n">
        <v>0</v>
      </c>
      <c r="I957" t="n">
        <v>0</v>
      </c>
      <c r="J957" t="n">
        <v>0</v>
      </c>
      <c r="K957" t="n">
        <v>0</v>
      </c>
      <c r="L957" t="n">
        <v>0</v>
      </c>
      <c r="M957" t="n">
        <v>0</v>
      </c>
      <c r="N957" t="n">
        <v>0</v>
      </c>
      <c r="O957" t="n">
        <v>0</v>
      </c>
      <c r="P957" t="n">
        <v>0</v>
      </c>
      <c r="Q957" t="n">
        <v>0</v>
      </c>
      <c r="R957" s="2" t="inlineStr"/>
    </row>
    <row r="958" ht="15" customHeight="1">
      <c r="A958" t="inlineStr">
        <is>
          <t>A 67968-2019</t>
        </is>
      </c>
      <c r="B958" s="1" t="n">
        <v>43816</v>
      </c>
      <c r="C958" s="1" t="n">
        <v>45796</v>
      </c>
      <c r="D958" t="inlineStr">
        <is>
          <t>SKÅNE LÄN</t>
        </is>
      </c>
      <c r="E958" t="inlineStr">
        <is>
          <t>KRISTIANSTAD</t>
        </is>
      </c>
      <c r="F958" t="inlineStr">
        <is>
          <t>Övriga Aktiebolag</t>
        </is>
      </c>
      <c r="G958" t="n">
        <v>5.1</v>
      </c>
      <c r="H958" t="n">
        <v>0</v>
      </c>
      <c r="I958" t="n">
        <v>0</v>
      </c>
      <c r="J958" t="n">
        <v>0</v>
      </c>
      <c r="K958" t="n">
        <v>0</v>
      </c>
      <c r="L958" t="n">
        <v>0</v>
      </c>
      <c r="M958" t="n">
        <v>0</v>
      </c>
      <c r="N958" t="n">
        <v>0</v>
      </c>
      <c r="O958" t="n">
        <v>0</v>
      </c>
      <c r="P958" t="n">
        <v>0</v>
      </c>
      <c r="Q958" t="n">
        <v>0</v>
      </c>
      <c r="R958" s="2" t="inlineStr"/>
    </row>
    <row r="959" ht="15" customHeight="1">
      <c r="A959" t="inlineStr">
        <is>
          <t>A 68161-2019</t>
        </is>
      </c>
      <c r="B959" s="1" t="n">
        <v>43817</v>
      </c>
      <c r="C959" s="1" t="n">
        <v>45796</v>
      </c>
      <c r="D959" t="inlineStr">
        <is>
          <t>SKÅNE LÄN</t>
        </is>
      </c>
      <c r="E959" t="inlineStr">
        <is>
          <t>ÖSTRA GÖINGE</t>
        </is>
      </c>
      <c r="G959" t="n">
        <v>1.7</v>
      </c>
      <c r="H959" t="n">
        <v>0</v>
      </c>
      <c r="I959" t="n">
        <v>0</v>
      </c>
      <c r="J959" t="n">
        <v>0</v>
      </c>
      <c r="K959" t="n">
        <v>0</v>
      </c>
      <c r="L959" t="n">
        <v>0</v>
      </c>
      <c r="M959" t="n">
        <v>0</v>
      </c>
      <c r="N959" t="n">
        <v>0</v>
      </c>
      <c r="O959" t="n">
        <v>0</v>
      </c>
      <c r="P959" t="n">
        <v>0</v>
      </c>
      <c r="Q959" t="n">
        <v>0</v>
      </c>
      <c r="R959" s="2" t="inlineStr"/>
    </row>
    <row r="960" ht="15" customHeight="1">
      <c r="A960" t="inlineStr">
        <is>
          <t>A 435-2020</t>
        </is>
      </c>
      <c r="B960" s="1" t="n">
        <v>43817</v>
      </c>
      <c r="C960" s="1" t="n">
        <v>45796</v>
      </c>
      <c r="D960" t="inlineStr">
        <is>
          <t>SKÅNE LÄN</t>
        </is>
      </c>
      <c r="E960" t="inlineStr">
        <is>
          <t>KLIPPAN</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68219-2019</t>
        </is>
      </c>
      <c r="B961" s="1" t="n">
        <v>43817</v>
      </c>
      <c r="C961" s="1" t="n">
        <v>45796</v>
      </c>
      <c r="D961" t="inlineStr">
        <is>
          <t>SKÅNE LÄN</t>
        </is>
      </c>
      <c r="E961" t="inlineStr">
        <is>
          <t>OSBY</t>
        </is>
      </c>
      <c r="G961" t="n">
        <v>0.8</v>
      </c>
      <c r="H961" t="n">
        <v>0</v>
      </c>
      <c r="I961" t="n">
        <v>0</v>
      </c>
      <c r="J961" t="n">
        <v>0</v>
      </c>
      <c r="K961" t="n">
        <v>0</v>
      </c>
      <c r="L961" t="n">
        <v>0</v>
      </c>
      <c r="M961" t="n">
        <v>0</v>
      </c>
      <c r="N961" t="n">
        <v>0</v>
      </c>
      <c r="O961" t="n">
        <v>0</v>
      </c>
      <c r="P961" t="n">
        <v>0</v>
      </c>
      <c r="Q961" t="n">
        <v>0</v>
      </c>
      <c r="R961" s="2" t="inlineStr"/>
    </row>
    <row r="962" ht="15" customHeight="1">
      <c r="A962" t="inlineStr">
        <is>
          <t>A 842-2020</t>
        </is>
      </c>
      <c r="B962" s="1" t="n">
        <v>43818</v>
      </c>
      <c r="C962" s="1" t="n">
        <v>45796</v>
      </c>
      <c r="D962" t="inlineStr">
        <is>
          <t>SKÅNE LÄN</t>
        </is>
      </c>
      <c r="E962" t="inlineStr">
        <is>
          <t>KRISTIANSTAD</t>
        </is>
      </c>
      <c r="G962" t="n">
        <v>1.3</v>
      </c>
      <c r="H962" t="n">
        <v>0</v>
      </c>
      <c r="I962" t="n">
        <v>0</v>
      </c>
      <c r="J962" t="n">
        <v>0</v>
      </c>
      <c r="K962" t="n">
        <v>0</v>
      </c>
      <c r="L962" t="n">
        <v>0</v>
      </c>
      <c r="M962" t="n">
        <v>0</v>
      </c>
      <c r="N962" t="n">
        <v>0</v>
      </c>
      <c r="O962" t="n">
        <v>0</v>
      </c>
      <c r="P962" t="n">
        <v>0</v>
      </c>
      <c r="Q962" t="n">
        <v>0</v>
      </c>
      <c r="R962" s="2" t="inlineStr"/>
    </row>
    <row r="963" ht="15" customHeight="1">
      <c r="A963" t="inlineStr">
        <is>
          <t>A 851-2020</t>
        </is>
      </c>
      <c r="B963" s="1" t="n">
        <v>43818</v>
      </c>
      <c r="C963" s="1" t="n">
        <v>45796</v>
      </c>
      <c r="D963" t="inlineStr">
        <is>
          <t>SKÅNE LÄN</t>
        </is>
      </c>
      <c r="E963" t="inlineStr">
        <is>
          <t>KRISTIANSTAD</t>
        </is>
      </c>
      <c r="G963" t="n">
        <v>5.4</v>
      </c>
      <c r="H963" t="n">
        <v>0</v>
      </c>
      <c r="I963" t="n">
        <v>0</v>
      </c>
      <c r="J963" t="n">
        <v>0</v>
      </c>
      <c r="K963" t="n">
        <v>0</v>
      </c>
      <c r="L963" t="n">
        <v>0</v>
      </c>
      <c r="M963" t="n">
        <v>0</v>
      </c>
      <c r="N963" t="n">
        <v>0</v>
      </c>
      <c r="O963" t="n">
        <v>0</v>
      </c>
      <c r="P963" t="n">
        <v>0</v>
      </c>
      <c r="Q963" t="n">
        <v>0</v>
      </c>
      <c r="R963" s="2" t="inlineStr"/>
    </row>
    <row r="964" ht="15" customHeight="1">
      <c r="A964" t="inlineStr">
        <is>
          <t>A 68525-2019</t>
        </is>
      </c>
      <c r="B964" s="1" t="n">
        <v>43818</v>
      </c>
      <c r="C964" s="1" t="n">
        <v>45796</v>
      </c>
      <c r="D964" t="inlineStr">
        <is>
          <t>SKÅNE LÄN</t>
        </is>
      </c>
      <c r="E964" t="inlineStr">
        <is>
          <t>ÖSTRA GÖINGE</t>
        </is>
      </c>
      <c r="G964" t="n">
        <v>0.7</v>
      </c>
      <c r="H964" t="n">
        <v>0</v>
      </c>
      <c r="I964" t="n">
        <v>0</v>
      </c>
      <c r="J964" t="n">
        <v>0</v>
      </c>
      <c r="K964" t="n">
        <v>0</v>
      </c>
      <c r="L964" t="n">
        <v>0</v>
      </c>
      <c r="M964" t="n">
        <v>0</v>
      </c>
      <c r="N964" t="n">
        <v>0</v>
      </c>
      <c r="O964" t="n">
        <v>0</v>
      </c>
      <c r="P964" t="n">
        <v>0</v>
      </c>
      <c r="Q964" t="n">
        <v>0</v>
      </c>
      <c r="R964" s="2" t="inlineStr"/>
    </row>
    <row r="965" ht="15" customHeight="1">
      <c r="A965" t="inlineStr">
        <is>
          <t>A 68781-2019</t>
        </is>
      </c>
      <c r="B965" s="1" t="n">
        <v>43819</v>
      </c>
      <c r="C965" s="1" t="n">
        <v>45796</v>
      </c>
      <c r="D965" t="inlineStr">
        <is>
          <t>SKÅNE LÄN</t>
        </is>
      </c>
      <c r="E965" t="inlineStr">
        <is>
          <t>PERSTORP</t>
        </is>
      </c>
      <c r="G965" t="n">
        <v>3.1</v>
      </c>
      <c r="H965" t="n">
        <v>0</v>
      </c>
      <c r="I965" t="n">
        <v>0</v>
      </c>
      <c r="J965" t="n">
        <v>0</v>
      </c>
      <c r="K965" t="n">
        <v>0</v>
      </c>
      <c r="L965" t="n">
        <v>0</v>
      </c>
      <c r="M965" t="n">
        <v>0</v>
      </c>
      <c r="N965" t="n">
        <v>0</v>
      </c>
      <c r="O965" t="n">
        <v>0</v>
      </c>
      <c r="P965" t="n">
        <v>0</v>
      </c>
      <c r="Q965" t="n">
        <v>0</v>
      </c>
      <c r="R965" s="2" t="inlineStr"/>
    </row>
    <row r="966" ht="15" customHeight="1">
      <c r="A966" t="inlineStr">
        <is>
          <t>A 68761-2019</t>
        </is>
      </c>
      <c r="B966" s="1" t="n">
        <v>43819</v>
      </c>
      <c r="C966" s="1" t="n">
        <v>45796</v>
      </c>
      <c r="D966" t="inlineStr">
        <is>
          <t>SKÅNE LÄN</t>
        </is>
      </c>
      <c r="E966" t="inlineStr">
        <is>
          <t>PERSTORP</t>
        </is>
      </c>
      <c r="G966" t="n">
        <v>3.7</v>
      </c>
      <c r="H966" t="n">
        <v>0</v>
      </c>
      <c r="I966" t="n">
        <v>0</v>
      </c>
      <c r="J966" t="n">
        <v>0</v>
      </c>
      <c r="K966" t="n">
        <v>0</v>
      </c>
      <c r="L966" t="n">
        <v>0</v>
      </c>
      <c r="M966" t="n">
        <v>0</v>
      </c>
      <c r="N966" t="n">
        <v>0</v>
      </c>
      <c r="O966" t="n">
        <v>0</v>
      </c>
      <c r="P966" t="n">
        <v>0</v>
      </c>
      <c r="Q966" t="n">
        <v>0</v>
      </c>
      <c r="R966" s="2" t="inlineStr"/>
    </row>
    <row r="967" ht="15" customHeight="1">
      <c r="A967" t="inlineStr">
        <is>
          <t>A 68791-2019</t>
        </is>
      </c>
      <c r="B967" s="1" t="n">
        <v>43819</v>
      </c>
      <c r="C967" s="1" t="n">
        <v>45796</v>
      </c>
      <c r="D967" t="inlineStr">
        <is>
          <t>SKÅNE LÄN</t>
        </is>
      </c>
      <c r="E967" t="inlineStr">
        <is>
          <t>PERSTORP</t>
        </is>
      </c>
      <c r="G967" t="n">
        <v>2.4</v>
      </c>
      <c r="H967" t="n">
        <v>0</v>
      </c>
      <c r="I967" t="n">
        <v>0</v>
      </c>
      <c r="J967" t="n">
        <v>0</v>
      </c>
      <c r="K967" t="n">
        <v>0</v>
      </c>
      <c r="L967" t="n">
        <v>0</v>
      </c>
      <c r="M967" t="n">
        <v>0</v>
      </c>
      <c r="N967" t="n">
        <v>0</v>
      </c>
      <c r="O967" t="n">
        <v>0</v>
      </c>
      <c r="P967" t="n">
        <v>0</v>
      </c>
      <c r="Q967" t="n">
        <v>0</v>
      </c>
      <c r="R967" s="2" t="inlineStr"/>
    </row>
    <row r="968" ht="15" customHeight="1">
      <c r="A968" t="inlineStr">
        <is>
          <t>A 1379-2020</t>
        </is>
      </c>
      <c r="B968" s="1" t="n">
        <v>43822</v>
      </c>
      <c r="C968" s="1" t="n">
        <v>45796</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1315-2020</t>
        </is>
      </c>
      <c r="B969" s="1" t="n">
        <v>43822</v>
      </c>
      <c r="C969" s="1" t="n">
        <v>45796</v>
      </c>
      <c r="D969" t="inlineStr">
        <is>
          <t>SKÅNE LÄN</t>
        </is>
      </c>
      <c r="E969" t="inlineStr">
        <is>
          <t>SIMRISHAMN</t>
        </is>
      </c>
      <c r="G969" t="n">
        <v>2.7</v>
      </c>
      <c r="H969" t="n">
        <v>0</v>
      </c>
      <c r="I969" t="n">
        <v>0</v>
      </c>
      <c r="J969" t="n">
        <v>0</v>
      </c>
      <c r="K969" t="n">
        <v>0</v>
      </c>
      <c r="L969" t="n">
        <v>0</v>
      </c>
      <c r="M969" t="n">
        <v>0</v>
      </c>
      <c r="N969" t="n">
        <v>0</v>
      </c>
      <c r="O969" t="n">
        <v>0</v>
      </c>
      <c r="P969" t="n">
        <v>0</v>
      </c>
      <c r="Q969" t="n">
        <v>0</v>
      </c>
      <c r="R969" s="2" t="inlineStr"/>
    </row>
    <row r="970" ht="15" customHeight="1">
      <c r="A970" t="inlineStr">
        <is>
          <t>A 1382-2020</t>
        </is>
      </c>
      <c r="B970" s="1" t="n">
        <v>43822</v>
      </c>
      <c r="C970" s="1" t="n">
        <v>45796</v>
      </c>
      <c r="D970" t="inlineStr">
        <is>
          <t>SKÅNE LÄN</t>
        </is>
      </c>
      <c r="E970" t="inlineStr">
        <is>
          <t>OSBY</t>
        </is>
      </c>
      <c r="G970" t="n">
        <v>0.7</v>
      </c>
      <c r="H970" t="n">
        <v>0</v>
      </c>
      <c r="I970" t="n">
        <v>0</v>
      </c>
      <c r="J970" t="n">
        <v>0</v>
      </c>
      <c r="K970" t="n">
        <v>0</v>
      </c>
      <c r="L970" t="n">
        <v>0</v>
      </c>
      <c r="M970" t="n">
        <v>0</v>
      </c>
      <c r="N970" t="n">
        <v>0</v>
      </c>
      <c r="O970" t="n">
        <v>0</v>
      </c>
      <c r="P970" t="n">
        <v>0</v>
      </c>
      <c r="Q970" t="n">
        <v>0</v>
      </c>
      <c r="R970" s="2" t="inlineStr"/>
    </row>
    <row r="971" ht="15" customHeight="1">
      <c r="A971" t="inlineStr">
        <is>
          <t>A 1372-2020</t>
        </is>
      </c>
      <c r="B971" s="1" t="n">
        <v>43822</v>
      </c>
      <c r="C971" s="1" t="n">
        <v>45796</v>
      </c>
      <c r="D971" t="inlineStr">
        <is>
          <t>SKÅNE LÄN</t>
        </is>
      </c>
      <c r="E971" t="inlineStr">
        <is>
          <t>OSBY</t>
        </is>
      </c>
      <c r="G971" t="n">
        <v>0.5</v>
      </c>
      <c r="H971" t="n">
        <v>0</v>
      </c>
      <c r="I971" t="n">
        <v>0</v>
      </c>
      <c r="J971" t="n">
        <v>0</v>
      </c>
      <c r="K971" t="n">
        <v>0</v>
      </c>
      <c r="L971" t="n">
        <v>0</v>
      </c>
      <c r="M971" t="n">
        <v>0</v>
      </c>
      <c r="N971" t="n">
        <v>0</v>
      </c>
      <c r="O971" t="n">
        <v>0</v>
      </c>
      <c r="P971" t="n">
        <v>0</v>
      </c>
      <c r="Q971" t="n">
        <v>0</v>
      </c>
      <c r="R971" s="2" t="inlineStr"/>
    </row>
    <row r="972" ht="15" customHeight="1">
      <c r="A972" t="inlineStr">
        <is>
          <t>A 68977-2019</t>
        </is>
      </c>
      <c r="B972" s="1" t="n">
        <v>43824</v>
      </c>
      <c r="C972" s="1" t="n">
        <v>45796</v>
      </c>
      <c r="D972" t="inlineStr">
        <is>
          <t>SKÅNE LÄN</t>
        </is>
      </c>
      <c r="E972" t="inlineStr">
        <is>
          <t>ÖRKELLJUNGA</t>
        </is>
      </c>
      <c r="G972" t="n">
        <v>5.9</v>
      </c>
      <c r="H972" t="n">
        <v>0</v>
      </c>
      <c r="I972" t="n">
        <v>0</v>
      </c>
      <c r="J972" t="n">
        <v>0</v>
      </c>
      <c r="K972" t="n">
        <v>0</v>
      </c>
      <c r="L972" t="n">
        <v>0</v>
      </c>
      <c r="M972" t="n">
        <v>0</v>
      </c>
      <c r="N972" t="n">
        <v>0</v>
      </c>
      <c r="O972" t="n">
        <v>0</v>
      </c>
      <c r="P972" t="n">
        <v>0</v>
      </c>
      <c r="Q972" t="n">
        <v>0</v>
      </c>
      <c r="R972" s="2" t="inlineStr"/>
    </row>
    <row r="973" ht="15" customHeight="1">
      <c r="A973" t="inlineStr">
        <is>
          <t>A 69128-2019</t>
        </is>
      </c>
      <c r="B973" s="1" t="n">
        <v>43829</v>
      </c>
      <c r="C973" s="1" t="n">
        <v>45796</v>
      </c>
      <c r="D973" t="inlineStr">
        <is>
          <t>SKÅNE LÄN</t>
        </is>
      </c>
      <c r="E973" t="inlineStr">
        <is>
          <t>ÖSTRA GÖINGE</t>
        </is>
      </c>
      <c r="G973" t="n">
        <v>4.1</v>
      </c>
      <c r="H973" t="n">
        <v>0</v>
      </c>
      <c r="I973" t="n">
        <v>0</v>
      </c>
      <c r="J973" t="n">
        <v>0</v>
      </c>
      <c r="K973" t="n">
        <v>0</v>
      </c>
      <c r="L973" t="n">
        <v>0</v>
      </c>
      <c r="M973" t="n">
        <v>0</v>
      </c>
      <c r="N973" t="n">
        <v>0</v>
      </c>
      <c r="O973" t="n">
        <v>0</v>
      </c>
      <c r="P973" t="n">
        <v>0</v>
      </c>
      <c r="Q973" t="n">
        <v>0</v>
      </c>
      <c r="R973" s="2" t="inlineStr"/>
    </row>
    <row r="974" ht="15" customHeight="1">
      <c r="A974" t="inlineStr">
        <is>
          <t>A 247-2020</t>
        </is>
      </c>
      <c r="B974" s="1" t="n">
        <v>43835</v>
      </c>
      <c r="C974" s="1" t="n">
        <v>45796</v>
      </c>
      <c r="D974" t="inlineStr">
        <is>
          <t>SKÅNE LÄN</t>
        </is>
      </c>
      <c r="E974" t="inlineStr">
        <is>
          <t>SVALÖV</t>
        </is>
      </c>
      <c r="G974" t="n">
        <v>2</v>
      </c>
      <c r="H974" t="n">
        <v>0</v>
      </c>
      <c r="I974" t="n">
        <v>0</v>
      </c>
      <c r="J974" t="n">
        <v>0</v>
      </c>
      <c r="K974" t="n">
        <v>0</v>
      </c>
      <c r="L974" t="n">
        <v>0</v>
      </c>
      <c r="M974" t="n">
        <v>0</v>
      </c>
      <c r="N974" t="n">
        <v>0</v>
      </c>
      <c r="O974" t="n">
        <v>0</v>
      </c>
      <c r="P974" t="n">
        <v>0</v>
      </c>
      <c r="Q974" t="n">
        <v>0</v>
      </c>
      <c r="R974" s="2" t="inlineStr"/>
    </row>
    <row r="975" ht="15" customHeight="1">
      <c r="A975" t="inlineStr">
        <is>
          <t>A 1828-2020</t>
        </is>
      </c>
      <c r="B975" s="1" t="n">
        <v>43837</v>
      </c>
      <c r="C975" s="1" t="n">
        <v>45796</v>
      </c>
      <c r="D975" t="inlineStr">
        <is>
          <t>SKÅNE LÄN</t>
        </is>
      </c>
      <c r="E975" t="inlineStr">
        <is>
          <t>PERSTORP</t>
        </is>
      </c>
      <c r="G975" t="n">
        <v>1.5</v>
      </c>
      <c r="H975" t="n">
        <v>0</v>
      </c>
      <c r="I975" t="n">
        <v>0</v>
      </c>
      <c r="J975" t="n">
        <v>0</v>
      </c>
      <c r="K975" t="n">
        <v>0</v>
      </c>
      <c r="L975" t="n">
        <v>0</v>
      </c>
      <c r="M975" t="n">
        <v>0</v>
      </c>
      <c r="N975" t="n">
        <v>0</v>
      </c>
      <c r="O975" t="n">
        <v>0</v>
      </c>
      <c r="P975" t="n">
        <v>0</v>
      </c>
      <c r="Q975" t="n">
        <v>0</v>
      </c>
      <c r="R975" s="2" t="inlineStr"/>
    </row>
    <row r="976" ht="15" customHeight="1">
      <c r="A976" t="inlineStr">
        <is>
          <t>A 556-2020</t>
        </is>
      </c>
      <c r="B976" s="1" t="n">
        <v>43838</v>
      </c>
      <c r="C976" s="1" t="n">
        <v>45796</v>
      </c>
      <c r="D976" t="inlineStr">
        <is>
          <t>SKÅNE LÄN</t>
        </is>
      </c>
      <c r="E976" t="inlineStr">
        <is>
          <t>BROMÖLLA</t>
        </is>
      </c>
      <c r="G976" t="n">
        <v>5.3</v>
      </c>
      <c r="H976" t="n">
        <v>0</v>
      </c>
      <c r="I976" t="n">
        <v>0</v>
      </c>
      <c r="J976" t="n">
        <v>0</v>
      </c>
      <c r="K976" t="n">
        <v>0</v>
      </c>
      <c r="L976" t="n">
        <v>0</v>
      </c>
      <c r="M976" t="n">
        <v>0</v>
      </c>
      <c r="N976" t="n">
        <v>0</v>
      </c>
      <c r="O976" t="n">
        <v>0</v>
      </c>
      <c r="P976" t="n">
        <v>0</v>
      </c>
      <c r="Q976" t="n">
        <v>0</v>
      </c>
      <c r="R976" s="2" t="inlineStr"/>
    </row>
    <row r="977" ht="15" customHeight="1">
      <c r="A977" t="inlineStr">
        <is>
          <t>A 607-2020</t>
        </is>
      </c>
      <c r="B977" s="1" t="n">
        <v>43838</v>
      </c>
      <c r="C977" s="1" t="n">
        <v>45796</v>
      </c>
      <c r="D977" t="inlineStr">
        <is>
          <t>SKÅNE LÄN</t>
        </is>
      </c>
      <c r="E977" t="inlineStr">
        <is>
          <t>OSBY</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554-2020</t>
        </is>
      </c>
      <c r="B978" s="1" t="n">
        <v>43838</v>
      </c>
      <c r="C978" s="1" t="n">
        <v>45796</v>
      </c>
      <c r="D978" t="inlineStr">
        <is>
          <t>SKÅNE LÄN</t>
        </is>
      </c>
      <c r="E978" t="inlineStr">
        <is>
          <t>BROMÖLLA</t>
        </is>
      </c>
      <c r="G978" t="n">
        <v>1.1</v>
      </c>
      <c r="H978" t="n">
        <v>0</v>
      </c>
      <c r="I978" t="n">
        <v>0</v>
      </c>
      <c r="J978" t="n">
        <v>0</v>
      </c>
      <c r="K978" t="n">
        <v>0</v>
      </c>
      <c r="L978" t="n">
        <v>0</v>
      </c>
      <c r="M978" t="n">
        <v>0</v>
      </c>
      <c r="N978" t="n">
        <v>0</v>
      </c>
      <c r="O978" t="n">
        <v>0</v>
      </c>
      <c r="P978" t="n">
        <v>0</v>
      </c>
      <c r="Q978" t="n">
        <v>0</v>
      </c>
      <c r="R978" s="2" t="inlineStr"/>
    </row>
    <row r="979" ht="15" customHeight="1">
      <c r="A979" t="inlineStr">
        <is>
          <t>A 850-2020</t>
        </is>
      </c>
      <c r="B979" s="1" t="n">
        <v>43839</v>
      </c>
      <c r="C979" s="1" t="n">
        <v>45796</v>
      </c>
      <c r="D979" t="inlineStr">
        <is>
          <t>SKÅNE LÄN</t>
        </is>
      </c>
      <c r="E979" t="inlineStr">
        <is>
          <t>OSBY</t>
        </is>
      </c>
      <c r="F979" t="inlineStr">
        <is>
          <t>Kyrkan</t>
        </is>
      </c>
      <c r="G979" t="n">
        <v>1.2</v>
      </c>
      <c r="H979" t="n">
        <v>0</v>
      </c>
      <c r="I979" t="n">
        <v>0</v>
      </c>
      <c r="J979" t="n">
        <v>0</v>
      </c>
      <c r="K979" t="n">
        <v>0</v>
      </c>
      <c r="L979" t="n">
        <v>0</v>
      </c>
      <c r="M979" t="n">
        <v>0</v>
      </c>
      <c r="N979" t="n">
        <v>0</v>
      </c>
      <c r="O979" t="n">
        <v>0</v>
      </c>
      <c r="P979" t="n">
        <v>0</v>
      </c>
      <c r="Q979" t="n">
        <v>0</v>
      </c>
      <c r="R979" s="2" t="inlineStr"/>
    </row>
    <row r="980" ht="15" customHeight="1">
      <c r="A980" t="inlineStr">
        <is>
          <t>A 849-2020</t>
        </is>
      </c>
      <c r="B980" s="1" t="n">
        <v>43839</v>
      </c>
      <c r="C980" s="1" t="n">
        <v>45796</v>
      </c>
      <c r="D980" t="inlineStr">
        <is>
          <t>SKÅNE LÄN</t>
        </is>
      </c>
      <c r="E980" t="inlineStr">
        <is>
          <t>OSBY</t>
        </is>
      </c>
      <c r="F980" t="inlineStr">
        <is>
          <t>Kyrkan</t>
        </is>
      </c>
      <c r="G980" t="n">
        <v>1.5</v>
      </c>
      <c r="H980" t="n">
        <v>0</v>
      </c>
      <c r="I980" t="n">
        <v>0</v>
      </c>
      <c r="J980" t="n">
        <v>0</v>
      </c>
      <c r="K980" t="n">
        <v>0</v>
      </c>
      <c r="L980" t="n">
        <v>0</v>
      </c>
      <c r="M980" t="n">
        <v>0</v>
      </c>
      <c r="N980" t="n">
        <v>0</v>
      </c>
      <c r="O980" t="n">
        <v>0</v>
      </c>
      <c r="P980" t="n">
        <v>0</v>
      </c>
      <c r="Q980" t="n">
        <v>0</v>
      </c>
      <c r="R980" s="2" t="inlineStr"/>
    </row>
    <row r="981" ht="15" customHeight="1">
      <c r="A981" t="inlineStr">
        <is>
          <t>A 1081-2020</t>
        </is>
      </c>
      <c r="B981" s="1" t="n">
        <v>43840</v>
      </c>
      <c r="C981" s="1" t="n">
        <v>45796</v>
      </c>
      <c r="D981" t="inlineStr">
        <is>
          <t>SKÅNE LÄN</t>
        </is>
      </c>
      <c r="E981" t="inlineStr">
        <is>
          <t>ÖRKELLJUNGA</t>
        </is>
      </c>
      <c r="G981" t="n">
        <v>3.9</v>
      </c>
      <c r="H981" t="n">
        <v>0</v>
      </c>
      <c r="I981" t="n">
        <v>0</v>
      </c>
      <c r="J981" t="n">
        <v>0</v>
      </c>
      <c r="K981" t="n">
        <v>0</v>
      </c>
      <c r="L981" t="n">
        <v>0</v>
      </c>
      <c r="M981" t="n">
        <v>0</v>
      </c>
      <c r="N981" t="n">
        <v>0</v>
      </c>
      <c r="O981" t="n">
        <v>0</v>
      </c>
      <c r="P981" t="n">
        <v>0</v>
      </c>
      <c r="Q981" t="n">
        <v>0</v>
      </c>
      <c r="R981" s="2" t="inlineStr"/>
    </row>
    <row r="982" ht="15" customHeight="1">
      <c r="A982" t="inlineStr">
        <is>
          <t>A 1249-2020</t>
        </is>
      </c>
      <c r="B982" s="1" t="n">
        <v>43840</v>
      </c>
      <c r="C982" s="1" t="n">
        <v>45796</v>
      </c>
      <c r="D982" t="inlineStr">
        <is>
          <t>SKÅNE LÄN</t>
        </is>
      </c>
      <c r="E982" t="inlineStr">
        <is>
          <t>KRISTIANSTAD</t>
        </is>
      </c>
      <c r="G982" t="n">
        <v>2.1</v>
      </c>
      <c r="H982" t="n">
        <v>0</v>
      </c>
      <c r="I982" t="n">
        <v>0</v>
      </c>
      <c r="J982" t="n">
        <v>0</v>
      </c>
      <c r="K982" t="n">
        <v>0</v>
      </c>
      <c r="L982" t="n">
        <v>0</v>
      </c>
      <c r="M982" t="n">
        <v>0</v>
      </c>
      <c r="N982" t="n">
        <v>0</v>
      </c>
      <c r="O982" t="n">
        <v>0</v>
      </c>
      <c r="P982" t="n">
        <v>0</v>
      </c>
      <c r="Q982" t="n">
        <v>0</v>
      </c>
      <c r="R982" s="2" t="inlineStr"/>
    </row>
    <row r="983" ht="15" customHeight="1">
      <c r="A983" t="inlineStr">
        <is>
          <t>A 1391-2020</t>
        </is>
      </c>
      <c r="B983" s="1" t="n">
        <v>43843</v>
      </c>
      <c r="C983" s="1" t="n">
        <v>45796</v>
      </c>
      <c r="D983" t="inlineStr">
        <is>
          <t>SKÅNE LÄN</t>
        </is>
      </c>
      <c r="E983" t="inlineStr">
        <is>
          <t>SVALÖV</t>
        </is>
      </c>
      <c r="G983" t="n">
        <v>4.6</v>
      </c>
      <c r="H983" t="n">
        <v>0</v>
      </c>
      <c r="I983" t="n">
        <v>0</v>
      </c>
      <c r="J983" t="n">
        <v>0</v>
      </c>
      <c r="K983" t="n">
        <v>0</v>
      </c>
      <c r="L983" t="n">
        <v>0</v>
      </c>
      <c r="M983" t="n">
        <v>0</v>
      </c>
      <c r="N983" t="n">
        <v>0</v>
      </c>
      <c r="O983" t="n">
        <v>0</v>
      </c>
      <c r="P983" t="n">
        <v>0</v>
      </c>
      <c r="Q983" t="n">
        <v>0</v>
      </c>
      <c r="R983" s="2" t="inlineStr"/>
    </row>
    <row r="984" ht="15" customHeight="1">
      <c r="A984" t="inlineStr">
        <is>
          <t>A 1413-2020</t>
        </is>
      </c>
      <c r="B984" s="1" t="n">
        <v>43843</v>
      </c>
      <c r="C984" s="1" t="n">
        <v>45796</v>
      </c>
      <c r="D984" t="inlineStr">
        <is>
          <t>SKÅNE LÄN</t>
        </is>
      </c>
      <c r="E984" t="inlineStr">
        <is>
          <t>OSBY</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1345-2020</t>
        </is>
      </c>
      <c r="B985" s="1" t="n">
        <v>43843</v>
      </c>
      <c r="C985" s="1" t="n">
        <v>45796</v>
      </c>
      <c r="D985" t="inlineStr">
        <is>
          <t>SKÅNE LÄN</t>
        </is>
      </c>
      <c r="E985" t="inlineStr">
        <is>
          <t>OSBY</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2700-2020</t>
        </is>
      </c>
      <c r="B986" s="1" t="n">
        <v>43844</v>
      </c>
      <c r="C986" s="1" t="n">
        <v>45796</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3189-2020</t>
        </is>
      </c>
      <c r="B987" s="1" t="n">
        <v>43844</v>
      </c>
      <c r="C987" s="1" t="n">
        <v>45796</v>
      </c>
      <c r="D987" t="inlineStr">
        <is>
          <t>SKÅNE LÄN</t>
        </is>
      </c>
      <c r="E987" t="inlineStr">
        <is>
          <t>HÄSSLEHOLM</t>
        </is>
      </c>
      <c r="G987" t="n">
        <v>7.5</v>
      </c>
      <c r="H987" t="n">
        <v>0</v>
      </c>
      <c r="I987" t="n">
        <v>0</v>
      </c>
      <c r="J987" t="n">
        <v>0</v>
      </c>
      <c r="K987" t="n">
        <v>0</v>
      </c>
      <c r="L987" t="n">
        <v>0</v>
      </c>
      <c r="M987" t="n">
        <v>0</v>
      </c>
      <c r="N987" t="n">
        <v>0</v>
      </c>
      <c r="O987" t="n">
        <v>0</v>
      </c>
      <c r="P987" t="n">
        <v>0</v>
      </c>
      <c r="Q987" t="n">
        <v>0</v>
      </c>
      <c r="R987" s="2" t="inlineStr"/>
    </row>
    <row r="988" ht="15" customHeight="1">
      <c r="A988" t="inlineStr">
        <is>
          <t>A 1901-2020</t>
        </is>
      </c>
      <c r="B988" s="1" t="n">
        <v>43845</v>
      </c>
      <c r="C988" s="1" t="n">
        <v>45796</v>
      </c>
      <c r="D988" t="inlineStr">
        <is>
          <t>SKÅNE LÄN</t>
        </is>
      </c>
      <c r="E988" t="inlineStr">
        <is>
          <t>OSBY</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2089-2020</t>
        </is>
      </c>
      <c r="B989" s="1" t="n">
        <v>43845</v>
      </c>
      <c r="C989" s="1" t="n">
        <v>45796</v>
      </c>
      <c r="D989" t="inlineStr">
        <is>
          <t>SKÅNE LÄN</t>
        </is>
      </c>
      <c r="E989" t="inlineStr">
        <is>
          <t>PERSTORP</t>
        </is>
      </c>
      <c r="G989" t="n">
        <v>3.1</v>
      </c>
      <c r="H989" t="n">
        <v>0</v>
      </c>
      <c r="I989" t="n">
        <v>0</v>
      </c>
      <c r="J989" t="n">
        <v>0</v>
      </c>
      <c r="K989" t="n">
        <v>0</v>
      </c>
      <c r="L989" t="n">
        <v>0</v>
      </c>
      <c r="M989" t="n">
        <v>0</v>
      </c>
      <c r="N989" t="n">
        <v>0</v>
      </c>
      <c r="O989" t="n">
        <v>0</v>
      </c>
      <c r="P989" t="n">
        <v>0</v>
      </c>
      <c r="Q989" t="n">
        <v>0</v>
      </c>
      <c r="R989" s="2" t="inlineStr"/>
    </row>
    <row r="990" ht="15" customHeight="1">
      <c r="A990" t="inlineStr">
        <is>
          <t>A 1909-2020</t>
        </is>
      </c>
      <c r="B990" s="1" t="n">
        <v>43845</v>
      </c>
      <c r="C990" s="1" t="n">
        <v>45796</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2036-2020</t>
        </is>
      </c>
      <c r="B991" s="1" t="n">
        <v>43845</v>
      </c>
      <c r="C991" s="1" t="n">
        <v>45796</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3624-2020</t>
        </is>
      </c>
      <c r="B992" s="1" t="n">
        <v>43845</v>
      </c>
      <c r="C992" s="1" t="n">
        <v>45796</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3573-2020</t>
        </is>
      </c>
      <c r="B993" s="1" t="n">
        <v>43845</v>
      </c>
      <c r="C993" s="1" t="n">
        <v>45796</v>
      </c>
      <c r="D993" t="inlineStr">
        <is>
          <t>SKÅNE LÄN</t>
        </is>
      </c>
      <c r="E993" t="inlineStr">
        <is>
          <t>KRISTIANSTAD</t>
        </is>
      </c>
      <c r="G993" t="n">
        <v>2</v>
      </c>
      <c r="H993" t="n">
        <v>0</v>
      </c>
      <c r="I993" t="n">
        <v>0</v>
      </c>
      <c r="J993" t="n">
        <v>0</v>
      </c>
      <c r="K993" t="n">
        <v>0</v>
      </c>
      <c r="L993" t="n">
        <v>0</v>
      </c>
      <c r="M993" t="n">
        <v>0</v>
      </c>
      <c r="N993" t="n">
        <v>0</v>
      </c>
      <c r="O993" t="n">
        <v>0</v>
      </c>
      <c r="P993" t="n">
        <v>0</v>
      </c>
      <c r="Q993" t="n">
        <v>0</v>
      </c>
      <c r="R993" s="2" t="inlineStr"/>
    </row>
    <row r="994" ht="15" customHeight="1">
      <c r="A994" t="inlineStr">
        <is>
          <t>A 2555-2020</t>
        </is>
      </c>
      <c r="B994" s="1" t="n">
        <v>43847</v>
      </c>
      <c r="C994" s="1" t="n">
        <v>45796</v>
      </c>
      <c r="D994" t="inlineStr">
        <is>
          <t>SKÅNE LÄN</t>
        </is>
      </c>
      <c r="E994" t="inlineStr">
        <is>
          <t>BÅSTAD</t>
        </is>
      </c>
      <c r="G994" t="n">
        <v>1.8</v>
      </c>
      <c r="H994" t="n">
        <v>0</v>
      </c>
      <c r="I994" t="n">
        <v>0</v>
      </c>
      <c r="J994" t="n">
        <v>0</v>
      </c>
      <c r="K994" t="n">
        <v>0</v>
      </c>
      <c r="L994" t="n">
        <v>0</v>
      </c>
      <c r="M994" t="n">
        <v>0</v>
      </c>
      <c r="N994" t="n">
        <v>0</v>
      </c>
      <c r="O994" t="n">
        <v>0</v>
      </c>
      <c r="P994" t="n">
        <v>0</v>
      </c>
      <c r="Q994" t="n">
        <v>0</v>
      </c>
      <c r="R994" s="2" t="inlineStr"/>
    </row>
    <row r="995" ht="15" customHeight="1">
      <c r="A995" t="inlineStr">
        <is>
          <t>A 3441-2020</t>
        </is>
      </c>
      <c r="B995" s="1" t="n">
        <v>43847</v>
      </c>
      <c r="C995" s="1" t="n">
        <v>45796</v>
      </c>
      <c r="D995" t="inlineStr">
        <is>
          <t>SKÅNE LÄN</t>
        </is>
      </c>
      <c r="E995" t="inlineStr">
        <is>
          <t>HÄSSLEHOLM</t>
        </is>
      </c>
      <c r="G995" t="n">
        <v>2</v>
      </c>
      <c r="H995" t="n">
        <v>0</v>
      </c>
      <c r="I995" t="n">
        <v>0</v>
      </c>
      <c r="J995" t="n">
        <v>0</v>
      </c>
      <c r="K995" t="n">
        <v>0</v>
      </c>
      <c r="L995" t="n">
        <v>0</v>
      </c>
      <c r="M995" t="n">
        <v>0</v>
      </c>
      <c r="N995" t="n">
        <v>0</v>
      </c>
      <c r="O995" t="n">
        <v>0</v>
      </c>
      <c r="P995" t="n">
        <v>0</v>
      </c>
      <c r="Q995" t="n">
        <v>0</v>
      </c>
      <c r="R995" s="2" t="inlineStr"/>
    </row>
    <row r="996" ht="15" customHeight="1">
      <c r="A996" t="inlineStr">
        <is>
          <t>A 2731-2020</t>
        </is>
      </c>
      <c r="B996" s="1" t="n">
        <v>43850</v>
      </c>
      <c r="C996" s="1" t="n">
        <v>45796</v>
      </c>
      <c r="D996" t="inlineStr">
        <is>
          <t>SKÅNE LÄN</t>
        </is>
      </c>
      <c r="E996" t="inlineStr">
        <is>
          <t>HÄSSLEHOLM</t>
        </is>
      </c>
      <c r="G996" t="n">
        <v>6.2</v>
      </c>
      <c r="H996" t="n">
        <v>0</v>
      </c>
      <c r="I996" t="n">
        <v>0</v>
      </c>
      <c r="J996" t="n">
        <v>0</v>
      </c>
      <c r="K996" t="n">
        <v>0</v>
      </c>
      <c r="L996" t="n">
        <v>0</v>
      </c>
      <c r="M996" t="n">
        <v>0</v>
      </c>
      <c r="N996" t="n">
        <v>0</v>
      </c>
      <c r="O996" t="n">
        <v>0</v>
      </c>
      <c r="P996" t="n">
        <v>0</v>
      </c>
      <c r="Q996" t="n">
        <v>0</v>
      </c>
      <c r="R996" s="2" t="inlineStr"/>
    </row>
    <row r="997" ht="15" customHeight="1">
      <c r="A997" t="inlineStr">
        <is>
          <t>A 2961-2020</t>
        </is>
      </c>
      <c r="B997" s="1" t="n">
        <v>43850</v>
      </c>
      <c r="C997" s="1" t="n">
        <v>45796</v>
      </c>
      <c r="D997" t="inlineStr">
        <is>
          <t>SKÅNE LÄN</t>
        </is>
      </c>
      <c r="E997" t="inlineStr">
        <is>
          <t>KLIPPAN</t>
        </is>
      </c>
      <c r="G997" t="n">
        <v>0.8</v>
      </c>
      <c r="H997" t="n">
        <v>0</v>
      </c>
      <c r="I997" t="n">
        <v>0</v>
      </c>
      <c r="J997" t="n">
        <v>0</v>
      </c>
      <c r="K997" t="n">
        <v>0</v>
      </c>
      <c r="L997" t="n">
        <v>0</v>
      </c>
      <c r="M997" t="n">
        <v>0</v>
      </c>
      <c r="N997" t="n">
        <v>0</v>
      </c>
      <c r="O997" t="n">
        <v>0</v>
      </c>
      <c r="P997" t="n">
        <v>0</v>
      </c>
      <c r="Q997" t="n">
        <v>0</v>
      </c>
      <c r="R997" s="2" t="inlineStr"/>
    </row>
    <row r="998" ht="15" customHeight="1">
      <c r="A998" t="inlineStr">
        <is>
          <t>A 4669-2020</t>
        </is>
      </c>
      <c r="B998" s="1" t="n">
        <v>43852</v>
      </c>
      <c r="C998" s="1" t="n">
        <v>45796</v>
      </c>
      <c r="D998" t="inlineStr">
        <is>
          <t>SKÅNE LÄN</t>
        </is>
      </c>
      <c r="E998" t="inlineStr">
        <is>
          <t>ÖRKELLJUNGA</t>
        </is>
      </c>
      <c r="G998" t="n">
        <v>5.7</v>
      </c>
      <c r="H998" t="n">
        <v>0</v>
      </c>
      <c r="I998" t="n">
        <v>0</v>
      </c>
      <c r="J998" t="n">
        <v>0</v>
      </c>
      <c r="K998" t="n">
        <v>0</v>
      </c>
      <c r="L998" t="n">
        <v>0</v>
      </c>
      <c r="M998" t="n">
        <v>0</v>
      </c>
      <c r="N998" t="n">
        <v>0</v>
      </c>
      <c r="O998" t="n">
        <v>0</v>
      </c>
      <c r="P998" t="n">
        <v>0</v>
      </c>
      <c r="Q998" t="n">
        <v>0</v>
      </c>
      <c r="R998" s="2" t="inlineStr"/>
    </row>
    <row r="999" ht="15" customHeight="1">
      <c r="A999" t="inlineStr">
        <is>
          <t>A 3965-2020</t>
        </is>
      </c>
      <c r="B999" s="1" t="n">
        <v>43854</v>
      </c>
      <c r="C999" s="1" t="n">
        <v>45796</v>
      </c>
      <c r="D999" t="inlineStr">
        <is>
          <t>SKÅNE LÄN</t>
        </is>
      </c>
      <c r="E999" t="inlineStr">
        <is>
          <t>OSBY</t>
        </is>
      </c>
      <c r="G999" t="n">
        <v>2.8</v>
      </c>
      <c r="H999" t="n">
        <v>0</v>
      </c>
      <c r="I999" t="n">
        <v>0</v>
      </c>
      <c r="J999" t="n">
        <v>0</v>
      </c>
      <c r="K999" t="n">
        <v>0</v>
      </c>
      <c r="L999" t="n">
        <v>0</v>
      </c>
      <c r="M999" t="n">
        <v>0</v>
      </c>
      <c r="N999" t="n">
        <v>0</v>
      </c>
      <c r="O999" t="n">
        <v>0</v>
      </c>
      <c r="P999" t="n">
        <v>0</v>
      </c>
      <c r="Q999" t="n">
        <v>0</v>
      </c>
      <c r="R999" s="2" t="inlineStr"/>
    </row>
    <row r="1000" ht="15" customHeight="1">
      <c r="A1000" t="inlineStr">
        <is>
          <t>A 4085-2020</t>
        </is>
      </c>
      <c r="B1000" s="1" t="n">
        <v>43857</v>
      </c>
      <c r="C1000" s="1" t="n">
        <v>45796</v>
      </c>
      <c r="D1000" t="inlineStr">
        <is>
          <t>SKÅNE LÄN</t>
        </is>
      </c>
      <c r="E1000" t="inlineStr">
        <is>
          <t>ÖRKELLJUNGA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4351-2020</t>
        </is>
      </c>
      <c r="B1001" s="1" t="n">
        <v>43857</v>
      </c>
      <c r="C1001" s="1" t="n">
        <v>45796</v>
      </c>
      <c r="D1001" t="inlineStr">
        <is>
          <t>SKÅNE LÄN</t>
        </is>
      </c>
      <c r="E1001" t="inlineStr">
        <is>
          <t>OSBY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4385-2020</t>
        </is>
      </c>
      <c r="B1002" s="1" t="n">
        <v>43858</v>
      </c>
      <c r="C1002" s="1" t="n">
        <v>45796</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4635-2020</t>
        </is>
      </c>
      <c r="B1003" s="1" t="n">
        <v>43858</v>
      </c>
      <c r="C1003" s="1" t="n">
        <v>45796</v>
      </c>
      <c r="D1003" t="inlineStr">
        <is>
          <t>SKÅNE LÄN</t>
        </is>
      </c>
      <c r="E1003" t="inlineStr">
        <is>
          <t>HÄSSLEHOLM</t>
        </is>
      </c>
      <c r="G1003" t="n">
        <v>10.7</v>
      </c>
      <c r="H1003" t="n">
        <v>0</v>
      </c>
      <c r="I1003" t="n">
        <v>0</v>
      </c>
      <c r="J1003" t="n">
        <v>0</v>
      </c>
      <c r="K1003" t="n">
        <v>0</v>
      </c>
      <c r="L1003" t="n">
        <v>0</v>
      </c>
      <c r="M1003" t="n">
        <v>0</v>
      </c>
      <c r="N1003" t="n">
        <v>0</v>
      </c>
      <c r="O1003" t="n">
        <v>0</v>
      </c>
      <c r="P1003" t="n">
        <v>0</v>
      </c>
      <c r="Q1003" t="n">
        <v>0</v>
      </c>
      <c r="R1003" s="2" t="inlineStr"/>
    </row>
    <row r="1004" ht="15" customHeight="1">
      <c r="A1004" t="inlineStr">
        <is>
          <t>A 4750-2020</t>
        </is>
      </c>
      <c r="B1004" s="1" t="n">
        <v>43859</v>
      </c>
      <c r="C1004" s="1" t="n">
        <v>45796</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4974-2020</t>
        </is>
      </c>
      <c r="B1005" s="1" t="n">
        <v>43859</v>
      </c>
      <c r="C1005" s="1" t="n">
        <v>45796</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5523-2020</t>
        </is>
      </c>
      <c r="B1006" s="1" t="n">
        <v>43859</v>
      </c>
      <c r="C1006" s="1" t="n">
        <v>45796</v>
      </c>
      <c r="D1006" t="inlineStr">
        <is>
          <t>SKÅNE LÄN</t>
        </is>
      </c>
      <c r="E1006" t="inlineStr">
        <is>
          <t>KLIPPAN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5190-2020</t>
        </is>
      </c>
      <c r="B1007" s="1" t="n">
        <v>43860</v>
      </c>
      <c r="C1007" s="1" t="n">
        <v>45796</v>
      </c>
      <c r="D1007" t="inlineStr">
        <is>
          <t>SKÅNE LÄN</t>
        </is>
      </c>
      <c r="E1007" t="inlineStr">
        <is>
          <t>HÄSSLEHOLM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5177-2020</t>
        </is>
      </c>
      <c r="B1008" s="1" t="n">
        <v>43860</v>
      </c>
      <c r="C1008" s="1" t="n">
        <v>45796</v>
      </c>
      <c r="D1008" t="inlineStr">
        <is>
          <t>SKÅNE LÄN</t>
        </is>
      </c>
      <c r="E1008" t="inlineStr">
        <is>
          <t>KRISTIANSTAD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5678-2020</t>
        </is>
      </c>
      <c r="B1009" s="1" t="n">
        <v>43861</v>
      </c>
      <c r="C1009" s="1" t="n">
        <v>45796</v>
      </c>
      <c r="D1009" t="inlineStr">
        <is>
          <t>SKÅNE LÄN</t>
        </is>
      </c>
      <c r="E1009" t="inlineStr">
        <is>
          <t>HÖÖR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5852-2020</t>
        </is>
      </c>
      <c r="B1010" s="1" t="n">
        <v>43864</v>
      </c>
      <c r="C1010" s="1" t="n">
        <v>45796</v>
      </c>
      <c r="D1010" t="inlineStr">
        <is>
          <t>SKÅNE LÄN</t>
        </is>
      </c>
      <c r="E1010" t="inlineStr">
        <is>
          <t>OSBY</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5855-2020</t>
        </is>
      </c>
      <c r="B1011" s="1" t="n">
        <v>43864</v>
      </c>
      <c r="C1011" s="1" t="n">
        <v>45796</v>
      </c>
      <c r="D1011" t="inlineStr">
        <is>
          <t>SKÅNE LÄN</t>
        </is>
      </c>
      <c r="E1011" t="inlineStr">
        <is>
          <t>OSBY</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5880-2020</t>
        </is>
      </c>
      <c r="B1012" s="1" t="n">
        <v>43864</v>
      </c>
      <c r="C1012" s="1" t="n">
        <v>45796</v>
      </c>
      <c r="D1012" t="inlineStr">
        <is>
          <t>SKÅNE LÄN</t>
        </is>
      </c>
      <c r="E1012" t="inlineStr">
        <is>
          <t>ÖSTRA GÖINGE</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6005-2020</t>
        </is>
      </c>
      <c r="B1013" s="1" t="n">
        <v>43865</v>
      </c>
      <c r="C1013" s="1" t="n">
        <v>45796</v>
      </c>
      <c r="D1013" t="inlineStr">
        <is>
          <t>SKÅNE LÄN</t>
        </is>
      </c>
      <c r="E1013" t="inlineStr">
        <is>
          <t>LUND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6143-2020</t>
        </is>
      </c>
      <c r="B1014" s="1" t="n">
        <v>43865</v>
      </c>
      <c r="C1014" s="1" t="n">
        <v>45796</v>
      </c>
      <c r="D1014" t="inlineStr">
        <is>
          <t>SKÅNE LÄN</t>
        </is>
      </c>
      <c r="E1014" t="inlineStr">
        <is>
          <t>KRISTIANSTAD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6402-2020</t>
        </is>
      </c>
      <c r="B1015" s="1" t="n">
        <v>43866</v>
      </c>
      <c r="C1015" s="1" t="n">
        <v>45796</v>
      </c>
      <c r="D1015" t="inlineStr">
        <is>
          <t>SKÅNE LÄN</t>
        </is>
      </c>
      <c r="E1015" t="inlineStr">
        <is>
          <t>ÖSTRA GÖINGE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6417-2020</t>
        </is>
      </c>
      <c r="B1016" s="1" t="n">
        <v>43866</v>
      </c>
      <c r="C1016" s="1" t="n">
        <v>45796</v>
      </c>
      <c r="D1016" t="inlineStr">
        <is>
          <t>SKÅNE LÄN</t>
        </is>
      </c>
      <c r="E1016" t="inlineStr">
        <is>
          <t>HÄSSLEHOLM</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6595-2020</t>
        </is>
      </c>
      <c r="B1017" s="1" t="n">
        <v>43867</v>
      </c>
      <c r="C1017" s="1" t="n">
        <v>45796</v>
      </c>
      <c r="D1017" t="inlineStr">
        <is>
          <t>SKÅNE LÄN</t>
        </is>
      </c>
      <c r="E1017" t="inlineStr">
        <is>
          <t>HÄSSLEHOLM</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6842-2020</t>
        </is>
      </c>
      <c r="B1018" s="1" t="n">
        <v>43867</v>
      </c>
      <c r="C1018" s="1" t="n">
        <v>45796</v>
      </c>
      <c r="D1018" t="inlineStr">
        <is>
          <t>SKÅNE LÄN</t>
        </is>
      </c>
      <c r="E1018" t="inlineStr">
        <is>
          <t>HÄSSLEHOLM</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7085-2020</t>
        </is>
      </c>
      <c r="B1019" s="1" t="n">
        <v>43868</v>
      </c>
      <c r="C1019" s="1" t="n">
        <v>45796</v>
      </c>
      <c r="D1019" t="inlineStr">
        <is>
          <t>SKÅNE LÄN</t>
        </is>
      </c>
      <c r="E1019" t="inlineStr">
        <is>
          <t>KRISTIANSTAD</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6928-2020</t>
        </is>
      </c>
      <c r="B1020" s="1" t="n">
        <v>43868</v>
      </c>
      <c r="C1020" s="1" t="n">
        <v>45796</v>
      </c>
      <c r="D1020" t="inlineStr">
        <is>
          <t>SKÅNE LÄN</t>
        </is>
      </c>
      <c r="E1020" t="inlineStr">
        <is>
          <t>KRISTIANSTAD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7195-2020</t>
        </is>
      </c>
      <c r="B1021" s="1" t="n">
        <v>43871</v>
      </c>
      <c r="C1021" s="1" t="n">
        <v>45796</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7393-2020</t>
        </is>
      </c>
      <c r="B1022" s="1" t="n">
        <v>43871</v>
      </c>
      <c r="C1022" s="1" t="n">
        <v>45796</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7401-2020</t>
        </is>
      </c>
      <c r="B1023" s="1" t="n">
        <v>43871</v>
      </c>
      <c r="C1023" s="1" t="n">
        <v>45796</v>
      </c>
      <c r="D1023" t="inlineStr">
        <is>
          <t>SKÅNE LÄN</t>
        </is>
      </c>
      <c r="E1023" t="inlineStr">
        <is>
          <t>ÖRKELLJUNGA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7196-2020</t>
        </is>
      </c>
      <c r="B1024" s="1" t="n">
        <v>43871</v>
      </c>
      <c r="C1024" s="1" t="n">
        <v>45796</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7394-2020</t>
        </is>
      </c>
      <c r="B1025" s="1" t="n">
        <v>43871</v>
      </c>
      <c r="C1025" s="1" t="n">
        <v>45796</v>
      </c>
      <c r="D1025" t="inlineStr">
        <is>
          <t>SKÅNE LÄN</t>
        </is>
      </c>
      <c r="E1025" t="inlineStr">
        <is>
          <t>HÄSSLEHOLM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7539-2020</t>
        </is>
      </c>
      <c r="B1026" s="1" t="n">
        <v>43872</v>
      </c>
      <c r="C1026" s="1" t="n">
        <v>45796</v>
      </c>
      <c r="D1026" t="inlineStr">
        <is>
          <t>SKÅNE LÄN</t>
        </is>
      </c>
      <c r="E1026" t="inlineStr">
        <is>
          <t>ÄNGELHOLM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7578-2020</t>
        </is>
      </c>
      <c r="B1027" s="1" t="n">
        <v>43872</v>
      </c>
      <c r="C1027" s="1" t="n">
        <v>45796</v>
      </c>
      <c r="D1027" t="inlineStr">
        <is>
          <t>SKÅNE LÄN</t>
        </is>
      </c>
      <c r="E1027" t="inlineStr">
        <is>
          <t>KRISTIANSTAD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7737-2020</t>
        </is>
      </c>
      <c r="B1028" s="1" t="n">
        <v>43872</v>
      </c>
      <c r="C1028" s="1" t="n">
        <v>45796</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7738-2020</t>
        </is>
      </c>
      <c r="B1029" s="1" t="n">
        <v>43872</v>
      </c>
      <c r="C1029" s="1" t="n">
        <v>45796</v>
      </c>
      <c r="D1029" t="inlineStr">
        <is>
          <t>SKÅNE LÄN</t>
        </is>
      </c>
      <c r="E1029" t="inlineStr">
        <is>
          <t>HÄSSLEHOLM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7997-2020</t>
        </is>
      </c>
      <c r="B1030" s="1" t="n">
        <v>43873</v>
      </c>
      <c r="C1030" s="1" t="n">
        <v>45796</v>
      </c>
      <c r="D1030" t="inlineStr">
        <is>
          <t>SKÅNE LÄN</t>
        </is>
      </c>
      <c r="E1030" t="inlineStr">
        <is>
          <t>KLIPPAN</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8199-2020</t>
        </is>
      </c>
      <c r="B1031" s="1" t="n">
        <v>43874</v>
      </c>
      <c r="C1031" s="1" t="n">
        <v>45796</v>
      </c>
      <c r="D1031" t="inlineStr">
        <is>
          <t>SKÅNE LÄN</t>
        </is>
      </c>
      <c r="E1031" t="inlineStr">
        <is>
          <t>HÄSSLEHOLM</t>
        </is>
      </c>
      <c r="F1031" t="inlineStr">
        <is>
          <t>Kyrkan</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8780-2020</t>
        </is>
      </c>
      <c r="B1032" s="1" t="n">
        <v>43874</v>
      </c>
      <c r="C1032" s="1" t="n">
        <v>45796</v>
      </c>
      <c r="D1032" t="inlineStr">
        <is>
          <t>SKÅNE LÄN</t>
        </is>
      </c>
      <c r="E1032" t="inlineStr">
        <is>
          <t>SJÖBO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8768-2020</t>
        </is>
      </c>
      <c r="B1033" s="1" t="n">
        <v>43874</v>
      </c>
      <c r="C1033" s="1" t="n">
        <v>45796</v>
      </c>
      <c r="D1033" t="inlineStr">
        <is>
          <t>SKÅNE LÄN</t>
        </is>
      </c>
      <c r="E1033" t="inlineStr">
        <is>
          <t>SJÖBO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8777-2020</t>
        </is>
      </c>
      <c r="B1034" s="1" t="n">
        <v>43874</v>
      </c>
      <c r="C1034" s="1" t="n">
        <v>45796</v>
      </c>
      <c r="D1034" t="inlineStr">
        <is>
          <t>SKÅNE LÄN</t>
        </is>
      </c>
      <c r="E1034" t="inlineStr">
        <is>
          <t>SJÖBO</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8632-2020</t>
        </is>
      </c>
      <c r="B1035" s="1" t="n">
        <v>43875</v>
      </c>
      <c r="C1035" s="1" t="n">
        <v>45796</v>
      </c>
      <c r="D1035" t="inlineStr">
        <is>
          <t>SKÅNE LÄN</t>
        </is>
      </c>
      <c r="E1035" t="inlineStr">
        <is>
          <t>OSBY</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8579-2020</t>
        </is>
      </c>
      <c r="B1036" s="1" t="n">
        <v>43875</v>
      </c>
      <c r="C1036" s="1" t="n">
        <v>45796</v>
      </c>
      <c r="D1036" t="inlineStr">
        <is>
          <t>SKÅNE LÄN</t>
        </is>
      </c>
      <c r="E1036" t="inlineStr">
        <is>
          <t>TOMELILLA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8849-2020</t>
        </is>
      </c>
      <c r="B1037" s="1" t="n">
        <v>43877</v>
      </c>
      <c r="C1037" s="1" t="n">
        <v>45796</v>
      </c>
      <c r="D1037" t="inlineStr">
        <is>
          <t>SKÅNE LÄN</t>
        </is>
      </c>
      <c r="E1037" t="inlineStr">
        <is>
          <t>KLIPPAN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8852-2020</t>
        </is>
      </c>
      <c r="B1038" s="1" t="n">
        <v>43877</v>
      </c>
      <c r="C1038" s="1" t="n">
        <v>45796</v>
      </c>
      <c r="D1038" t="inlineStr">
        <is>
          <t>SKÅNE LÄN</t>
        </is>
      </c>
      <c r="E1038" t="inlineStr">
        <is>
          <t>KLIPPAN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8651-2020</t>
        </is>
      </c>
      <c r="B1039" s="1" t="n">
        <v>43878</v>
      </c>
      <c r="C1039" s="1" t="n">
        <v>45796</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8660-2020</t>
        </is>
      </c>
      <c r="B1040" s="1" t="n">
        <v>43878</v>
      </c>
      <c r="C1040" s="1" t="n">
        <v>45796</v>
      </c>
      <c r="D1040" t="inlineStr">
        <is>
          <t>SKÅNE LÄN</t>
        </is>
      </c>
      <c r="E1040" t="inlineStr">
        <is>
          <t>OSBY</t>
        </is>
      </c>
      <c r="G1040" t="n">
        <v>11.4</v>
      </c>
      <c r="H1040" t="n">
        <v>0</v>
      </c>
      <c r="I1040" t="n">
        <v>0</v>
      </c>
      <c r="J1040" t="n">
        <v>0</v>
      </c>
      <c r="K1040" t="n">
        <v>0</v>
      </c>
      <c r="L1040" t="n">
        <v>0</v>
      </c>
      <c r="M1040" t="n">
        <v>0</v>
      </c>
      <c r="N1040" t="n">
        <v>0</v>
      </c>
      <c r="O1040" t="n">
        <v>0</v>
      </c>
      <c r="P1040" t="n">
        <v>0</v>
      </c>
      <c r="Q1040" t="n">
        <v>0</v>
      </c>
      <c r="R1040" s="2" t="inlineStr"/>
    </row>
    <row r="1041" ht="15" customHeight="1">
      <c r="A1041" t="inlineStr">
        <is>
          <t>A 8842-2020</t>
        </is>
      </c>
      <c r="B1041" s="1" t="n">
        <v>43878</v>
      </c>
      <c r="C1041" s="1" t="n">
        <v>45796</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8779-2020</t>
        </is>
      </c>
      <c r="B1042" s="1" t="n">
        <v>43878</v>
      </c>
      <c r="C1042" s="1" t="n">
        <v>45796</v>
      </c>
      <c r="D1042" t="inlineStr">
        <is>
          <t>SKÅNE LÄN</t>
        </is>
      </c>
      <c r="E1042" t="inlineStr">
        <is>
          <t>HÖÖR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8840-2020</t>
        </is>
      </c>
      <c r="B1043" s="1" t="n">
        <v>43878</v>
      </c>
      <c r="C1043" s="1" t="n">
        <v>45796</v>
      </c>
      <c r="D1043" t="inlineStr">
        <is>
          <t>SKÅNE LÄN</t>
        </is>
      </c>
      <c r="E1043" t="inlineStr">
        <is>
          <t>HÄSSLEHOLM</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8946-2020</t>
        </is>
      </c>
      <c r="B1044" s="1" t="n">
        <v>43878</v>
      </c>
      <c r="C1044" s="1" t="n">
        <v>45796</v>
      </c>
      <c r="D1044" t="inlineStr">
        <is>
          <t>SKÅNE LÄN</t>
        </is>
      </c>
      <c r="E1044" t="inlineStr">
        <is>
          <t>KRISTIANSTAD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8968-2020</t>
        </is>
      </c>
      <c r="B1045" s="1" t="n">
        <v>43878</v>
      </c>
      <c r="C1045" s="1" t="n">
        <v>45796</v>
      </c>
      <c r="D1045" t="inlineStr">
        <is>
          <t>SKÅNE LÄN</t>
        </is>
      </c>
      <c r="E1045" t="inlineStr">
        <is>
          <t>OSBY</t>
        </is>
      </c>
      <c r="F1045" t="inlineStr">
        <is>
          <t>Naturvårdsverket</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12657-2020</t>
        </is>
      </c>
      <c r="B1046" s="1" t="n">
        <v>43878</v>
      </c>
      <c r="C1046" s="1" t="n">
        <v>45796</v>
      </c>
      <c r="D1046" t="inlineStr">
        <is>
          <t>SKÅNE LÄN</t>
        </is>
      </c>
      <c r="E1046" t="inlineStr">
        <is>
          <t>OSBY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8641-2020</t>
        </is>
      </c>
      <c r="B1047" s="1" t="n">
        <v>43878</v>
      </c>
      <c r="C1047" s="1" t="n">
        <v>45796</v>
      </c>
      <c r="D1047" t="inlineStr">
        <is>
          <t>SKÅNE LÄN</t>
        </is>
      </c>
      <c r="E1047" t="inlineStr">
        <is>
          <t>OSBY</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12661-2020</t>
        </is>
      </c>
      <c r="B1048" s="1" t="n">
        <v>43878</v>
      </c>
      <c r="C1048" s="1" t="n">
        <v>45796</v>
      </c>
      <c r="D1048" t="inlineStr">
        <is>
          <t>SKÅNE LÄN</t>
        </is>
      </c>
      <c r="E1048" t="inlineStr">
        <is>
          <t>OSBY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9078-2020</t>
        </is>
      </c>
      <c r="B1049" s="1" t="n">
        <v>43879</v>
      </c>
      <c r="C1049" s="1" t="n">
        <v>45796</v>
      </c>
      <c r="D1049" t="inlineStr">
        <is>
          <t>SKÅNE LÄN</t>
        </is>
      </c>
      <c r="E1049" t="inlineStr">
        <is>
          <t>KRISTIANSTAD</t>
        </is>
      </c>
      <c r="F1049" t="inlineStr">
        <is>
          <t>Sveaskog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9259-2020</t>
        </is>
      </c>
      <c r="B1050" s="1" t="n">
        <v>43879</v>
      </c>
      <c r="C1050" s="1" t="n">
        <v>45796</v>
      </c>
      <c r="D1050" t="inlineStr">
        <is>
          <t>SKÅNE LÄN</t>
        </is>
      </c>
      <c r="E1050" t="inlineStr">
        <is>
          <t>OSBY</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9425-2020</t>
        </is>
      </c>
      <c r="B1051" s="1" t="n">
        <v>43880</v>
      </c>
      <c r="C1051" s="1" t="n">
        <v>45796</v>
      </c>
      <c r="D1051" t="inlineStr">
        <is>
          <t>SKÅNE LÄN</t>
        </is>
      </c>
      <c r="E1051" t="inlineStr">
        <is>
          <t>HÖÖR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9498-2020</t>
        </is>
      </c>
      <c r="B1052" s="1" t="n">
        <v>43880</v>
      </c>
      <c r="C1052" s="1" t="n">
        <v>45796</v>
      </c>
      <c r="D1052" t="inlineStr">
        <is>
          <t>SKÅNE LÄN</t>
        </is>
      </c>
      <c r="E1052" t="inlineStr">
        <is>
          <t>ÄNGELHOLM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9428-2020</t>
        </is>
      </c>
      <c r="B1053" s="1" t="n">
        <v>43880</v>
      </c>
      <c r="C1053" s="1" t="n">
        <v>45796</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9778-2020</t>
        </is>
      </c>
      <c r="B1054" s="1" t="n">
        <v>43881</v>
      </c>
      <c r="C1054" s="1" t="n">
        <v>45796</v>
      </c>
      <c r="D1054" t="inlineStr">
        <is>
          <t>SKÅNE LÄN</t>
        </is>
      </c>
      <c r="E1054" t="inlineStr">
        <is>
          <t>OSBY</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9661-2020</t>
        </is>
      </c>
      <c r="B1055" s="1" t="n">
        <v>43881</v>
      </c>
      <c r="C1055" s="1" t="n">
        <v>45796</v>
      </c>
      <c r="D1055" t="inlineStr">
        <is>
          <t>SKÅNE LÄN</t>
        </is>
      </c>
      <c r="E1055" t="inlineStr">
        <is>
          <t>HÄSSLEHOLM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9812-2020</t>
        </is>
      </c>
      <c r="B1056" s="1" t="n">
        <v>43881</v>
      </c>
      <c r="C1056" s="1" t="n">
        <v>45796</v>
      </c>
      <c r="D1056" t="inlineStr">
        <is>
          <t>SKÅNE LÄN</t>
        </is>
      </c>
      <c r="E1056" t="inlineStr">
        <is>
          <t>KRISTIANSTAD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9808-2020</t>
        </is>
      </c>
      <c r="B1057" s="1" t="n">
        <v>43881</v>
      </c>
      <c r="C1057" s="1" t="n">
        <v>45796</v>
      </c>
      <c r="D1057" t="inlineStr">
        <is>
          <t>SKÅNE LÄN</t>
        </is>
      </c>
      <c r="E1057" t="inlineStr">
        <is>
          <t>BROMÖLLA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9890-2020</t>
        </is>
      </c>
      <c r="B1058" s="1" t="n">
        <v>43882</v>
      </c>
      <c r="C1058" s="1" t="n">
        <v>45796</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9885-2020</t>
        </is>
      </c>
      <c r="B1059" s="1" t="n">
        <v>43882</v>
      </c>
      <c r="C1059" s="1" t="n">
        <v>45796</v>
      </c>
      <c r="D1059" t="inlineStr">
        <is>
          <t>SKÅNE LÄN</t>
        </is>
      </c>
      <c r="E1059" t="inlineStr">
        <is>
          <t>HÄSSLEHOLM</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10015-2020</t>
        </is>
      </c>
      <c r="B1060" s="1" t="n">
        <v>43882</v>
      </c>
      <c r="C1060" s="1" t="n">
        <v>45796</v>
      </c>
      <c r="D1060" t="inlineStr">
        <is>
          <t>SKÅNE LÄN</t>
        </is>
      </c>
      <c r="E1060" t="inlineStr">
        <is>
          <t>PERSTORP</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10263-2020</t>
        </is>
      </c>
      <c r="B1061" s="1" t="n">
        <v>43885</v>
      </c>
      <c r="C1061" s="1" t="n">
        <v>45796</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10445-2020</t>
        </is>
      </c>
      <c r="B1062" s="1" t="n">
        <v>43886</v>
      </c>
      <c r="C1062" s="1" t="n">
        <v>45796</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10512-2020</t>
        </is>
      </c>
      <c r="B1063" s="1" t="n">
        <v>43886</v>
      </c>
      <c r="C1063" s="1" t="n">
        <v>45796</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10149-2020</t>
        </is>
      </c>
      <c r="B1064" s="1" t="n">
        <v>43887</v>
      </c>
      <c r="C1064" s="1" t="n">
        <v>45796</v>
      </c>
      <c r="D1064" t="inlineStr">
        <is>
          <t>SKÅNE LÄN</t>
        </is>
      </c>
      <c r="E1064" t="inlineStr">
        <is>
          <t>OSBY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10599-2020</t>
        </is>
      </c>
      <c r="B1065" s="1" t="n">
        <v>43887</v>
      </c>
      <c r="C1065" s="1" t="n">
        <v>45796</v>
      </c>
      <c r="D1065" t="inlineStr">
        <is>
          <t>SKÅNE LÄN</t>
        </is>
      </c>
      <c r="E1065" t="inlineStr">
        <is>
          <t>SJÖBO</t>
        </is>
      </c>
      <c r="F1065" t="inlineStr">
        <is>
          <t>Kommuner</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10120-2020</t>
        </is>
      </c>
      <c r="B1066" s="1" t="n">
        <v>43887</v>
      </c>
      <c r="C1066" s="1" t="n">
        <v>45796</v>
      </c>
      <c r="D1066" t="inlineStr">
        <is>
          <t>SKÅNE LÄN</t>
        </is>
      </c>
      <c r="E1066" t="inlineStr">
        <is>
          <t>SJÖBO</t>
        </is>
      </c>
      <c r="F1066" t="inlineStr">
        <is>
          <t>Övriga Aktiebolag</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10310-2020</t>
        </is>
      </c>
      <c r="B1067" s="1" t="n">
        <v>43887</v>
      </c>
      <c r="C1067" s="1" t="n">
        <v>45796</v>
      </c>
      <c r="D1067" t="inlineStr">
        <is>
          <t>SKÅNE LÄN</t>
        </is>
      </c>
      <c r="E1067" t="inlineStr">
        <is>
          <t>YSTAD</t>
        </is>
      </c>
      <c r="F1067" t="inlineStr">
        <is>
          <t>Övriga Aktiebolag</t>
        </is>
      </c>
      <c r="G1067" t="n">
        <v>15.6</v>
      </c>
      <c r="H1067" t="n">
        <v>0</v>
      </c>
      <c r="I1067" t="n">
        <v>0</v>
      </c>
      <c r="J1067" t="n">
        <v>0</v>
      </c>
      <c r="K1067" t="n">
        <v>0</v>
      </c>
      <c r="L1067" t="n">
        <v>0</v>
      </c>
      <c r="M1067" t="n">
        <v>0</v>
      </c>
      <c r="N1067" t="n">
        <v>0</v>
      </c>
      <c r="O1067" t="n">
        <v>0</v>
      </c>
      <c r="P1067" t="n">
        <v>0</v>
      </c>
      <c r="Q1067" t="n">
        <v>0</v>
      </c>
      <c r="R1067" s="2" t="inlineStr"/>
    </row>
    <row r="1068" ht="15" customHeight="1">
      <c r="A1068" t="inlineStr">
        <is>
          <t>A 10743-2020</t>
        </is>
      </c>
      <c r="B1068" s="1" t="n">
        <v>43888</v>
      </c>
      <c r="C1068" s="1" t="n">
        <v>45796</v>
      </c>
      <c r="D1068" t="inlineStr">
        <is>
          <t>SKÅNE LÄN</t>
        </is>
      </c>
      <c r="E1068" t="inlineStr">
        <is>
          <t>BJUV</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10773-2020</t>
        </is>
      </c>
      <c r="B1069" s="1" t="n">
        <v>43888</v>
      </c>
      <c r="C1069" s="1" t="n">
        <v>45796</v>
      </c>
      <c r="D1069" t="inlineStr">
        <is>
          <t>SKÅNE LÄN</t>
        </is>
      </c>
      <c r="E1069" t="inlineStr">
        <is>
          <t>ÅSTORP</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11262-2020</t>
        </is>
      </c>
      <c r="B1070" s="1" t="n">
        <v>43888</v>
      </c>
      <c r="C1070" s="1" t="n">
        <v>45796</v>
      </c>
      <c r="D1070" t="inlineStr">
        <is>
          <t>SKÅNE LÄN</t>
        </is>
      </c>
      <c r="E1070" t="inlineStr">
        <is>
          <t>KRISTIANSTAD</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10727-2020</t>
        </is>
      </c>
      <c r="B1071" s="1" t="n">
        <v>43888</v>
      </c>
      <c r="C1071" s="1" t="n">
        <v>45796</v>
      </c>
      <c r="D1071" t="inlineStr">
        <is>
          <t>SKÅNE LÄN</t>
        </is>
      </c>
      <c r="E1071" t="inlineStr">
        <is>
          <t>SVALÖV</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10992-2020</t>
        </is>
      </c>
      <c r="B1072" s="1" t="n">
        <v>43889</v>
      </c>
      <c r="C1072" s="1" t="n">
        <v>45796</v>
      </c>
      <c r="D1072" t="inlineStr">
        <is>
          <t>SKÅNE LÄN</t>
        </is>
      </c>
      <c r="E1072" t="inlineStr">
        <is>
          <t>KLIPPAN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11116-2020</t>
        </is>
      </c>
      <c r="B1073" s="1" t="n">
        <v>43889</v>
      </c>
      <c r="C1073" s="1" t="n">
        <v>45796</v>
      </c>
      <c r="D1073" t="inlineStr">
        <is>
          <t>SKÅNE LÄN</t>
        </is>
      </c>
      <c r="E1073" t="inlineStr">
        <is>
          <t>ÖSTRA GÖINGE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11045-2020</t>
        </is>
      </c>
      <c r="B1074" s="1" t="n">
        <v>43889</v>
      </c>
      <c r="C1074" s="1" t="n">
        <v>45796</v>
      </c>
      <c r="D1074" t="inlineStr">
        <is>
          <t>SKÅNE LÄN</t>
        </is>
      </c>
      <c r="E1074" t="inlineStr">
        <is>
          <t>KLIPPAN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11268-2020</t>
        </is>
      </c>
      <c r="B1075" s="1" t="n">
        <v>43889</v>
      </c>
      <c r="C1075" s="1" t="n">
        <v>45796</v>
      </c>
      <c r="D1075" t="inlineStr">
        <is>
          <t>SKÅNE LÄN</t>
        </is>
      </c>
      <c r="E1075" t="inlineStr">
        <is>
          <t>KLIPPAN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10956-2020</t>
        </is>
      </c>
      <c r="B1076" s="1" t="n">
        <v>43889</v>
      </c>
      <c r="C1076" s="1" t="n">
        <v>45796</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11050-2020</t>
        </is>
      </c>
      <c r="B1077" s="1" t="n">
        <v>43889</v>
      </c>
      <c r="C1077" s="1" t="n">
        <v>45796</v>
      </c>
      <c r="D1077" t="inlineStr">
        <is>
          <t>SKÅNE LÄN</t>
        </is>
      </c>
      <c r="E1077" t="inlineStr">
        <is>
          <t>BÅSTAD</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12140-2020</t>
        </is>
      </c>
      <c r="B1078" s="1" t="n">
        <v>43889</v>
      </c>
      <c r="C1078" s="1" t="n">
        <v>45796</v>
      </c>
      <c r="D1078" t="inlineStr">
        <is>
          <t>SKÅNE LÄN</t>
        </is>
      </c>
      <c r="E1078" t="inlineStr">
        <is>
          <t>HÖRBY</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11111-2020</t>
        </is>
      </c>
      <c r="B1079" s="1" t="n">
        <v>43889</v>
      </c>
      <c r="C1079" s="1" t="n">
        <v>45796</v>
      </c>
      <c r="D1079" t="inlineStr">
        <is>
          <t>SKÅNE LÄN</t>
        </is>
      </c>
      <c r="E1079" t="inlineStr">
        <is>
          <t>KLIPPAN</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11436-2020</t>
        </is>
      </c>
      <c r="B1080" s="1" t="n">
        <v>43893</v>
      </c>
      <c r="C1080" s="1" t="n">
        <v>45796</v>
      </c>
      <c r="D1080" t="inlineStr">
        <is>
          <t>SKÅNE LÄN</t>
        </is>
      </c>
      <c r="E1080" t="inlineStr">
        <is>
          <t>ÖRKELLJUNGA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11641-2020</t>
        </is>
      </c>
      <c r="B1081" s="1" t="n">
        <v>43893</v>
      </c>
      <c r="C1081" s="1" t="n">
        <v>45796</v>
      </c>
      <c r="D1081" t="inlineStr">
        <is>
          <t>SKÅNE LÄN</t>
        </is>
      </c>
      <c r="E1081" t="inlineStr">
        <is>
          <t>HÖÖR</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12683-2020</t>
        </is>
      </c>
      <c r="B1082" s="1" t="n">
        <v>43893</v>
      </c>
      <c r="C1082" s="1" t="n">
        <v>45796</v>
      </c>
      <c r="D1082" t="inlineStr">
        <is>
          <t>SKÅNE LÄN</t>
        </is>
      </c>
      <c r="E1082" t="inlineStr">
        <is>
          <t>ÅSTORP</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12688-2020</t>
        </is>
      </c>
      <c r="B1083" s="1" t="n">
        <v>43893</v>
      </c>
      <c r="C1083" s="1" t="n">
        <v>45796</v>
      </c>
      <c r="D1083" t="inlineStr">
        <is>
          <t>SKÅNE LÄN</t>
        </is>
      </c>
      <c r="E1083" t="inlineStr">
        <is>
          <t>ÅSTORP</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11783-2020</t>
        </is>
      </c>
      <c r="B1084" s="1" t="n">
        <v>43894</v>
      </c>
      <c r="C1084" s="1" t="n">
        <v>45796</v>
      </c>
      <c r="D1084" t="inlineStr">
        <is>
          <t>SKÅNE LÄN</t>
        </is>
      </c>
      <c r="E1084" t="inlineStr">
        <is>
          <t>ÄNGELHOLM</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11883-2020</t>
        </is>
      </c>
      <c r="B1085" s="1" t="n">
        <v>43894</v>
      </c>
      <c r="C1085" s="1" t="n">
        <v>45796</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11904-2020</t>
        </is>
      </c>
      <c r="B1086" s="1" t="n">
        <v>43894</v>
      </c>
      <c r="C1086" s="1" t="n">
        <v>45796</v>
      </c>
      <c r="D1086" t="inlineStr">
        <is>
          <t>SKÅNE LÄN</t>
        </is>
      </c>
      <c r="E1086" t="inlineStr">
        <is>
          <t>ÖSTRA GÖINGE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11985-2020</t>
        </is>
      </c>
      <c r="B1087" s="1" t="n">
        <v>43894</v>
      </c>
      <c r="C1087" s="1" t="n">
        <v>45796</v>
      </c>
      <c r="D1087" t="inlineStr">
        <is>
          <t>SKÅNE LÄN</t>
        </is>
      </c>
      <c r="E1087" t="inlineStr">
        <is>
          <t>ÖSTRA GÖINGE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11884-2020</t>
        </is>
      </c>
      <c r="B1088" s="1" t="n">
        <v>43894</v>
      </c>
      <c r="C1088" s="1" t="n">
        <v>45796</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11925-2020</t>
        </is>
      </c>
      <c r="B1089" s="1" t="n">
        <v>43894</v>
      </c>
      <c r="C1089" s="1" t="n">
        <v>45796</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11983-2020</t>
        </is>
      </c>
      <c r="B1090" s="1" t="n">
        <v>43894</v>
      </c>
      <c r="C1090" s="1" t="n">
        <v>45796</v>
      </c>
      <c r="D1090" t="inlineStr">
        <is>
          <t>SKÅNE LÄN</t>
        </is>
      </c>
      <c r="E1090" t="inlineStr">
        <is>
          <t>ÖSTRA GÖINGE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11994-2020</t>
        </is>
      </c>
      <c r="B1091" s="1" t="n">
        <v>43894</v>
      </c>
      <c r="C1091" s="1" t="n">
        <v>45796</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13486-2020</t>
        </is>
      </c>
      <c r="B1092" s="1" t="n">
        <v>43894</v>
      </c>
      <c r="C1092" s="1" t="n">
        <v>45796</v>
      </c>
      <c r="D1092" t="inlineStr">
        <is>
          <t>SKÅNE LÄN</t>
        </is>
      </c>
      <c r="E1092" t="inlineStr">
        <is>
          <t>HÄSSLEHOLM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12175-2020</t>
        </is>
      </c>
      <c r="B1093" s="1" t="n">
        <v>43895</v>
      </c>
      <c r="C1093" s="1" t="n">
        <v>45796</v>
      </c>
      <c r="D1093" t="inlineStr">
        <is>
          <t>SKÅNE LÄN</t>
        </is>
      </c>
      <c r="E1093" t="inlineStr">
        <is>
          <t>OSBY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12278-2020</t>
        </is>
      </c>
      <c r="B1094" s="1" t="n">
        <v>43895</v>
      </c>
      <c r="C1094" s="1" t="n">
        <v>45796</v>
      </c>
      <c r="D1094" t="inlineStr">
        <is>
          <t>SKÅNE LÄN</t>
        </is>
      </c>
      <c r="E1094" t="inlineStr">
        <is>
          <t>ÖRKELLJUNGA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12283-2020</t>
        </is>
      </c>
      <c r="B1095" s="1" t="n">
        <v>43895</v>
      </c>
      <c r="C1095" s="1" t="n">
        <v>45796</v>
      </c>
      <c r="D1095" t="inlineStr">
        <is>
          <t>SKÅNE LÄN</t>
        </is>
      </c>
      <c r="E1095" t="inlineStr">
        <is>
          <t>ÖRKELLJUNGA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12281-2020</t>
        </is>
      </c>
      <c r="B1096" s="1" t="n">
        <v>43895</v>
      </c>
      <c r="C1096" s="1" t="n">
        <v>45796</v>
      </c>
      <c r="D1096" t="inlineStr">
        <is>
          <t>SKÅNE LÄN</t>
        </is>
      </c>
      <c r="E1096" t="inlineStr">
        <is>
          <t>ÖRKELLJUNGA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12401-2020</t>
        </is>
      </c>
      <c r="B1097" s="1" t="n">
        <v>43896</v>
      </c>
      <c r="C1097" s="1" t="n">
        <v>45796</v>
      </c>
      <c r="D1097" t="inlineStr">
        <is>
          <t>SKÅNE LÄN</t>
        </is>
      </c>
      <c r="E1097" t="inlineStr">
        <is>
          <t>OSBY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12507-2020</t>
        </is>
      </c>
      <c r="B1098" s="1" t="n">
        <v>43896</v>
      </c>
      <c r="C1098" s="1" t="n">
        <v>45796</v>
      </c>
      <c r="D1098" t="inlineStr">
        <is>
          <t>SKÅNE LÄN</t>
        </is>
      </c>
      <c r="E1098" t="inlineStr">
        <is>
          <t>ÄNGELHOLM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12400-2020</t>
        </is>
      </c>
      <c r="B1099" s="1" t="n">
        <v>43896</v>
      </c>
      <c r="C1099" s="1" t="n">
        <v>45796</v>
      </c>
      <c r="D1099" t="inlineStr">
        <is>
          <t>SKÅNE LÄN</t>
        </is>
      </c>
      <c r="E1099" t="inlineStr">
        <is>
          <t>OSBY</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12501-2020</t>
        </is>
      </c>
      <c r="B1100" s="1" t="n">
        <v>43896</v>
      </c>
      <c r="C1100" s="1" t="n">
        <v>45796</v>
      </c>
      <c r="D1100" t="inlineStr">
        <is>
          <t>SKÅNE LÄN</t>
        </is>
      </c>
      <c r="E1100" t="inlineStr">
        <is>
          <t>BÅSTAD</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13660-2020</t>
        </is>
      </c>
      <c r="B1101" s="1" t="n">
        <v>43896</v>
      </c>
      <c r="C1101" s="1" t="n">
        <v>45796</v>
      </c>
      <c r="D1101" t="inlineStr">
        <is>
          <t>SKÅNE LÄN</t>
        </is>
      </c>
      <c r="E1101" t="inlineStr">
        <is>
          <t>SIMRISHAMN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12752-2020</t>
        </is>
      </c>
      <c r="B1102" s="1" t="n">
        <v>43899</v>
      </c>
      <c r="C1102" s="1" t="n">
        <v>45796</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12756-2020</t>
        </is>
      </c>
      <c r="B1103" s="1" t="n">
        <v>43899</v>
      </c>
      <c r="C1103" s="1" t="n">
        <v>45796</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12749-2020</t>
        </is>
      </c>
      <c r="B1104" s="1" t="n">
        <v>43899</v>
      </c>
      <c r="C1104" s="1" t="n">
        <v>45796</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13976-2020</t>
        </is>
      </c>
      <c r="B1105" s="1" t="n">
        <v>43899</v>
      </c>
      <c r="C1105" s="1" t="n">
        <v>45796</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13051-2020</t>
        </is>
      </c>
      <c r="B1106" s="1" t="n">
        <v>43900</v>
      </c>
      <c r="C1106" s="1" t="n">
        <v>45796</v>
      </c>
      <c r="D1106" t="inlineStr">
        <is>
          <t>SKÅNE LÄN</t>
        </is>
      </c>
      <c r="E1106" t="inlineStr">
        <is>
          <t>ÖSTRA GÖINGE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13144-2020</t>
        </is>
      </c>
      <c r="B1107" s="1" t="n">
        <v>43901</v>
      </c>
      <c r="C1107" s="1" t="n">
        <v>45796</v>
      </c>
      <c r="D1107" t="inlineStr">
        <is>
          <t>SKÅNE LÄN</t>
        </is>
      </c>
      <c r="E1107" t="inlineStr">
        <is>
          <t>ÖSTRA GÖINGE</t>
        </is>
      </c>
      <c r="G1107" t="n">
        <v>14.2</v>
      </c>
      <c r="H1107" t="n">
        <v>0</v>
      </c>
      <c r="I1107" t="n">
        <v>0</v>
      </c>
      <c r="J1107" t="n">
        <v>0</v>
      </c>
      <c r="K1107" t="n">
        <v>0</v>
      </c>
      <c r="L1107" t="n">
        <v>0</v>
      </c>
      <c r="M1107" t="n">
        <v>0</v>
      </c>
      <c r="N1107" t="n">
        <v>0</v>
      </c>
      <c r="O1107" t="n">
        <v>0</v>
      </c>
      <c r="P1107" t="n">
        <v>0</v>
      </c>
      <c r="Q1107" t="n">
        <v>0</v>
      </c>
      <c r="R1107" s="2" t="inlineStr"/>
    </row>
    <row r="1108" ht="15" customHeight="1">
      <c r="A1108" t="inlineStr">
        <is>
          <t>A 13149-2020</t>
        </is>
      </c>
      <c r="B1108" s="1" t="n">
        <v>43901</v>
      </c>
      <c r="C1108" s="1" t="n">
        <v>45796</v>
      </c>
      <c r="D1108" t="inlineStr">
        <is>
          <t>SKÅNE LÄN</t>
        </is>
      </c>
      <c r="E1108" t="inlineStr">
        <is>
          <t>ÖSTRA GÖINGE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13373-2020</t>
        </is>
      </c>
      <c r="B1109" s="1" t="n">
        <v>43902</v>
      </c>
      <c r="C1109" s="1" t="n">
        <v>45796</v>
      </c>
      <c r="D1109" t="inlineStr">
        <is>
          <t>SKÅNE LÄN</t>
        </is>
      </c>
      <c r="E1109" t="inlineStr">
        <is>
          <t>ÖSTRA GÖINGE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13896-2020</t>
        </is>
      </c>
      <c r="B1110" s="1" t="n">
        <v>43906</v>
      </c>
      <c r="C1110" s="1" t="n">
        <v>45796</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13941-2020</t>
        </is>
      </c>
      <c r="B1111" s="1" t="n">
        <v>43906</v>
      </c>
      <c r="C1111" s="1" t="n">
        <v>45796</v>
      </c>
      <c r="D1111" t="inlineStr">
        <is>
          <t>SKÅNE LÄN</t>
        </is>
      </c>
      <c r="E1111" t="inlineStr">
        <is>
          <t>PERSTORP</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14040-2020</t>
        </is>
      </c>
      <c r="B1112" s="1" t="n">
        <v>43906</v>
      </c>
      <c r="C1112" s="1" t="n">
        <v>45796</v>
      </c>
      <c r="D1112" t="inlineStr">
        <is>
          <t>SKÅNE LÄN</t>
        </is>
      </c>
      <c r="E1112" t="inlineStr">
        <is>
          <t>HÄSSLEHOLM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13977-2020</t>
        </is>
      </c>
      <c r="B1113" s="1" t="n">
        <v>43906</v>
      </c>
      <c r="C1113" s="1" t="n">
        <v>45796</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14148-2020</t>
        </is>
      </c>
      <c r="B1114" s="1" t="n">
        <v>43907</v>
      </c>
      <c r="C1114" s="1" t="n">
        <v>45796</v>
      </c>
      <c r="D1114" t="inlineStr">
        <is>
          <t>SKÅNE LÄN</t>
        </is>
      </c>
      <c r="E1114" t="inlineStr">
        <is>
          <t>SIMRISHAMN</t>
        </is>
      </c>
      <c r="F1114" t="inlineStr">
        <is>
          <t>Övriga Aktiebolag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14075-2020</t>
        </is>
      </c>
      <c r="B1115" s="1" t="n">
        <v>43907</v>
      </c>
      <c r="C1115" s="1" t="n">
        <v>45796</v>
      </c>
      <c r="D1115" t="inlineStr">
        <is>
          <t>SKÅNE LÄN</t>
        </is>
      </c>
      <c r="E1115" t="inlineStr">
        <is>
          <t>OSBY</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14107-2020</t>
        </is>
      </c>
      <c r="B1116" s="1" t="n">
        <v>43907</v>
      </c>
      <c r="C1116" s="1" t="n">
        <v>45796</v>
      </c>
      <c r="D1116" t="inlineStr">
        <is>
          <t>SKÅNE LÄN</t>
        </is>
      </c>
      <c r="E1116" t="inlineStr">
        <is>
          <t>SIMRISHAMN</t>
        </is>
      </c>
      <c r="F1116" t="inlineStr">
        <is>
          <t>Övriga Aktiebolag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14538-2020</t>
        </is>
      </c>
      <c r="B1117" s="1" t="n">
        <v>43908</v>
      </c>
      <c r="C1117" s="1" t="n">
        <v>45796</v>
      </c>
      <c r="D1117" t="inlineStr">
        <is>
          <t>SKÅNE LÄN</t>
        </is>
      </c>
      <c r="E1117" t="inlineStr">
        <is>
          <t>OSBY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14668-2020</t>
        </is>
      </c>
      <c r="B1118" s="1" t="n">
        <v>43909</v>
      </c>
      <c r="C1118" s="1" t="n">
        <v>45796</v>
      </c>
      <c r="D1118" t="inlineStr">
        <is>
          <t>SKÅNE LÄN</t>
        </is>
      </c>
      <c r="E1118" t="inlineStr">
        <is>
          <t>BROMÖLLA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14822-2020</t>
        </is>
      </c>
      <c r="B1119" s="1" t="n">
        <v>43909</v>
      </c>
      <c r="C1119" s="1" t="n">
        <v>45796</v>
      </c>
      <c r="D1119" t="inlineStr">
        <is>
          <t>SKÅNE LÄN</t>
        </is>
      </c>
      <c r="E1119" t="inlineStr">
        <is>
          <t>ÖSTRA GÖINGE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16450-2020</t>
        </is>
      </c>
      <c r="B1120" s="1" t="n">
        <v>43909</v>
      </c>
      <c r="C1120" s="1" t="n">
        <v>45796</v>
      </c>
      <c r="D1120" t="inlineStr">
        <is>
          <t>SKÅNE LÄN</t>
        </is>
      </c>
      <c r="E1120" t="inlineStr">
        <is>
          <t>HÖÖR</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16521-2020</t>
        </is>
      </c>
      <c r="B1121" s="1" t="n">
        <v>43909</v>
      </c>
      <c r="C1121" s="1" t="n">
        <v>45796</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15860-2020</t>
        </is>
      </c>
      <c r="B1122" s="1" t="n">
        <v>43910</v>
      </c>
      <c r="C1122" s="1" t="n">
        <v>45796</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16870-2020</t>
        </is>
      </c>
      <c r="B1123" s="1" t="n">
        <v>43910</v>
      </c>
      <c r="C1123" s="1" t="n">
        <v>45796</v>
      </c>
      <c r="D1123" t="inlineStr">
        <is>
          <t>SKÅNE LÄN</t>
        </is>
      </c>
      <c r="E1123" t="inlineStr">
        <is>
          <t>HÖÖR</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15166-2020</t>
        </is>
      </c>
      <c r="B1124" s="1" t="n">
        <v>43912</v>
      </c>
      <c r="C1124" s="1" t="n">
        <v>45796</v>
      </c>
      <c r="D1124" t="inlineStr">
        <is>
          <t>SKÅNE LÄN</t>
        </is>
      </c>
      <c r="E1124" t="inlineStr">
        <is>
          <t>HÖGANÄS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15271-2020</t>
        </is>
      </c>
      <c r="B1125" s="1" t="n">
        <v>43913</v>
      </c>
      <c r="C1125" s="1" t="n">
        <v>45796</v>
      </c>
      <c r="D1125" t="inlineStr">
        <is>
          <t>SKÅNE LÄN</t>
        </is>
      </c>
      <c r="E1125" t="inlineStr">
        <is>
          <t>KLIPPAN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15257-2020</t>
        </is>
      </c>
      <c r="B1126" s="1" t="n">
        <v>43913</v>
      </c>
      <c r="C1126" s="1" t="n">
        <v>45796</v>
      </c>
      <c r="D1126" t="inlineStr">
        <is>
          <t>SKÅNE LÄN</t>
        </is>
      </c>
      <c r="E1126" t="inlineStr">
        <is>
          <t>KLIPPAN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17022-2020</t>
        </is>
      </c>
      <c r="B1127" s="1" t="n">
        <v>43913</v>
      </c>
      <c r="C1127" s="1" t="n">
        <v>45796</v>
      </c>
      <c r="D1127" t="inlineStr">
        <is>
          <t>SKÅNE LÄN</t>
        </is>
      </c>
      <c r="E1127" t="inlineStr">
        <is>
          <t>ÖSTRA GÖINGE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16998-2020</t>
        </is>
      </c>
      <c r="B1128" s="1" t="n">
        <v>43913</v>
      </c>
      <c r="C1128" s="1" t="n">
        <v>45796</v>
      </c>
      <c r="D1128" t="inlineStr">
        <is>
          <t>SKÅNE LÄN</t>
        </is>
      </c>
      <c r="E1128" t="inlineStr">
        <is>
          <t>ÖSTRA GÖINGE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15778-2020</t>
        </is>
      </c>
      <c r="B1129" s="1" t="n">
        <v>43915</v>
      </c>
      <c r="C1129" s="1" t="n">
        <v>45796</v>
      </c>
      <c r="D1129" t="inlineStr">
        <is>
          <t>SKÅNE LÄN</t>
        </is>
      </c>
      <c r="E1129" t="inlineStr">
        <is>
          <t>OSBY</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15678-2020</t>
        </is>
      </c>
      <c r="B1130" s="1" t="n">
        <v>43915</v>
      </c>
      <c r="C1130" s="1" t="n">
        <v>45796</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17290-2020</t>
        </is>
      </c>
      <c r="B1131" s="1" t="n">
        <v>43915</v>
      </c>
      <c r="C1131" s="1" t="n">
        <v>45796</v>
      </c>
      <c r="D1131" t="inlineStr">
        <is>
          <t>SKÅNE LÄN</t>
        </is>
      </c>
      <c r="E1131" t="inlineStr">
        <is>
          <t>KRISTIANSTAD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15979-2020</t>
        </is>
      </c>
      <c r="B1132" s="1" t="n">
        <v>43916</v>
      </c>
      <c r="C1132" s="1" t="n">
        <v>45796</v>
      </c>
      <c r="D1132" t="inlineStr">
        <is>
          <t>SKÅNE LÄN</t>
        </is>
      </c>
      <c r="E1132" t="inlineStr">
        <is>
          <t>KLIPPAN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16036-2020</t>
        </is>
      </c>
      <c r="B1133" s="1" t="n">
        <v>43916</v>
      </c>
      <c r="C1133" s="1" t="n">
        <v>45796</v>
      </c>
      <c r="D1133" t="inlineStr">
        <is>
          <t>SKÅNE LÄN</t>
        </is>
      </c>
      <c r="E1133" t="inlineStr">
        <is>
          <t>SJÖBO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16252-2020</t>
        </is>
      </c>
      <c r="B1134" s="1" t="n">
        <v>43917</v>
      </c>
      <c r="C1134" s="1" t="n">
        <v>45796</v>
      </c>
      <c r="D1134" t="inlineStr">
        <is>
          <t>SKÅNE LÄN</t>
        </is>
      </c>
      <c r="E1134" t="inlineStr">
        <is>
          <t>KLIPPAN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16172-2020</t>
        </is>
      </c>
      <c r="B1135" s="1" t="n">
        <v>43917</v>
      </c>
      <c r="C1135" s="1" t="n">
        <v>45796</v>
      </c>
      <c r="D1135" t="inlineStr">
        <is>
          <t>SKÅNE LÄN</t>
        </is>
      </c>
      <c r="E1135" t="inlineStr">
        <is>
          <t>HÖÖR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16380-2020</t>
        </is>
      </c>
      <c r="B1136" s="1" t="n">
        <v>43917</v>
      </c>
      <c r="C1136" s="1" t="n">
        <v>45796</v>
      </c>
      <c r="D1136" t="inlineStr">
        <is>
          <t>SKÅNE LÄN</t>
        </is>
      </c>
      <c r="E1136" t="inlineStr">
        <is>
          <t>ÖSTRA GÖINGE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17421-2020</t>
        </is>
      </c>
      <c r="B1137" s="1" t="n">
        <v>43917</v>
      </c>
      <c r="C1137" s="1" t="n">
        <v>45796</v>
      </c>
      <c r="D1137" t="inlineStr">
        <is>
          <t>SKÅNE LÄN</t>
        </is>
      </c>
      <c r="E1137" t="inlineStr">
        <is>
          <t>HÄSSLEHOLM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16388-2020</t>
        </is>
      </c>
      <c r="B1138" s="1" t="n">
        <v>43917</v>
      </c>
      <c r="C1138" s="1" t="n">
        <v>45796</v>
      </c>
      <c r="D1138" t="inlineStr">
        <is>
          <t>SKÅNE LÄN</t>
        </is>
      </c>
      <c r="E1138" t="inlineStr">
        <is>
          <t>KRISTIANSTAD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16638-2020</t>
        </is>
      </c>
      <c r="B1139" s="1" t="n">
        <v>43920</v>
      </c>
      <c r="C1139" s="1" t="n">
        <v>45796</v>
      </c>
      <c r="D1139" t="inlineStr">
        <is>
          <t>SKÅNE LÄN</t>
        </is>
      </c>
      <c r="E1139" t="inlineStr">
        <is>
          <t>HÖÖR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17120-2020</t>
        </is>
      </c>
      <c r="B1140" s="1" t="n">
        <v>43922</v>
      </c>
      <c r="C1140" s="1" t="n">
        <v>45796</v>
      </c>
      <c r="D1140" t="inlineStr">
        <is>
          <t>SKÅNE LÄN</t>
        </is>
      </c>
      <c r="E1140" t="inlineStr">
        <is>
          <t>ÖSTRA GÖINGE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17226-2020</t>
        </is>
      </c>
      <c r="B1141" s="1" t="n">
        <v>43922</v>
      </c>
      <c r="C1141" s="1" t="n">
        <v>45796</v>
      </c>
      <c r="D1141" t="inlineStr">
        <is>
          <t>SKÅNE LÄN</t>
        </is>
      </c>
      <c r="E1141" t="inlineStr">
        <is>
          <t>BROMÖLLA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17271-2020</t>
        </is>
      </c>
      <c r="B1142" s="1" t="n">
        <v>43922</v>
      </c>
      <c r="C1142" s="1" t="n">
        <v>45796</v>
      </c>
      <c r="D1142" t="inlineStr">
        <is>
          <t>SKÅNE LÄN</t>
        </is>
      </c>
      <c r="E1142" t="inlineStr">
        <is>
          <t>OSBY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17348-2020</t>
        </is>
      </c>
      <c r="B1143" s="1" t="n">
        <v>43923</v>
      </c>
      <c r="C1143" s="1" t="n">
        <v>45796</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17884-2020</t>
        </is>
      </c>
      <c r="B1144" s="1" t="n">
        <v>43923</v>
      </c>
      <c r="C1144" s="1" t="n">
        <v>45796</v>
      </c>
      <c r="D1144" t="inlineStr">
        <is>
          <t>SKÅNE LÄN</t>
        </is>
      </c>
      <c r="E1144" t="inlineStr">
        <is>
          <t>ÖSTRA GÖINGE</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17983-2020</t>
        </is>
      </c>
      <c r="B1145" s="1" t="n">
        <v>43926</v>
      </c>
      <c r="C1145" s="1" t="n">
        <v>45796</v>
      </c>
      <c r="D1145" t="inlineStr">
        <is>
          <t>SKÅNE LÄN</t>
        </is>
      </c>
      <c r="E1145" t="inlineStr">
        <is>
          <t>OSBY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18198-2020</t>
        </is>
      </c>
      <c r="B1146" s="1" t="n">
        <v>43927</v>
      </c>
      <c r="C1146" s="1" t="n">
        <v>45796</v>
      </c>
      <c r="D1146" t="inlineStr">
        <is>
          <t>SKÅNE LÄN</t>
        </is>
      </c>
      <c r="E1146" t="inlineStr">
        <is>
          <t>BÅSTAD</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18406-2020</t>
        </is>
      </c>
      <c r="B1147" s="1" t="n">
        <v>43928</v>
      </c>
      <c r="C1147" s="1" t="n">
        <v>45796</v>
      </c>
      <c r="D1147" t="inlineStr">
        <is>
          <t>SKÅNE LÄN</t>
        </is>
      </c>
      <c r="E1147" t="inlineStr">
        <is>
          <t>HÄSSLEHOLM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18642-2020</t>
        </is>
      </c>
      <c r="B1148" s="1" t="n">
        <v>43929</v>
      </c>
      <c r="C1148" s="1" t="n">
        <v>45796</v>
      </c>
      <c r="D1148" t="inlineStr">
        <is>
          <t>SKÅNE LÄN</t>
        </is>
      </c>
      <c r="E1148" t="inlineStr">
        <is>
          <t>SVEDALA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18516-2020</t>
        </is>
      </c>
      <c r="B1149" s="1" t="n">
        <v>43929</v>
      </c>
      <c r="C1149" s="1" t="n">
        <v>45796</v>
      </c>
      <c r="D1149" t="inlineStr">
        <is>
          <t>SKÅNE LÄN</t>
        </is>
      </c>
      <c r="E1149" t="inlineStr">
        <is>
          <t>TOMELILLA</t>
        </is>
      </c>
      <c r="F1149" t="inlineStr">
        <is>
          <t>Övriga Aktiebolag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18658-2020</t>
        </is>
      </c>
      <c r="B1150" s="1" t="n">
        <v>43930</v>
      </c>
      <c r="C1150" s="1" t="n">
        <v>45796</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18677-2020</t>
        </is>
      </c>
      <c r="B1151" s="1" t="n">
        <v>43930</v>
      </c>
      <c r="C1151" s="1" t="n">
        <v>45796</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18809-2020</t>
        </is>
      </c>
      <c r="B1152" s="1" t="n">
        <v>43934</v>
      </c>
      <c r="C1152" s="1" t="n">
        <v>45796</v>
      </c>
      <c r="D1152" t="inlineStr">
        <is>
          <t>SKÅNE LÄN</t>
        </is>
      </c>
      <c r="E1152" t="inlineStr">
        <is>
          <t>PERSTORP</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18838-2020</t>
        </is>
      </c>
      <c r="B1153" s="1" t="n">
        <v>43935</v>
      </c>
      <c r="C1153" s="1" t="n">
        <v>45796</v>
      </c>
      <c r="D1153" t="inlineStr">
        <is>
          <t>SKÅNE LÄN</t>
        </is>
      </c>
      <c r="E1153" t="inlineStr">
        <is>
          <t>OSBY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18846-2020</t>
        </is>
      </c>
      <c r="B1154" s="1" t="n">
        <v>43935</v>
      </c>
      <c r="C1154" s="1" t="n">
        <v>45796</v>
      </c>
      <c r="D1154" t="inlineStr">
        <is>
          <t>SKÅNE LÄN</t>
        </is>
      </c>
      <c r="E1154" t="inlineStr">
        <is>
          <t>HÄSSLEHOLM</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18881-2020</t>
        </is>
      </c>
      <c r="B1155" s="1" t="n">
        <v>43935</v>
      </c>
      <c r="C1155" s="1" t="n">
        <v>45796</v>
      </c>
      <c r="D1155" t="inlineStr">
        <is>
          <t>SKÅNE LÄN</t>
        </is>
      </c>
      <c r="E1155" t="inlineStr">
        <is>
          <t>KRISTIANSTAD</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19126-2020</t>
        </is>
      </c>
      <c r="B1156" s="1" t="n">
        <v>43936</v>
      </c>
      <c r="C1156" s="1" t="n">
        <v>45796</v>
      </c>
      <c r="D1156" t="inlineStr">
        <is>
          <t>SKÅNE LÄN</t>
        </is>
      </c>
      <c r="E1156" t="inlineStr">
        <is>
          <t>ÖRKELLJUNGA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19614-2020</t>
        </is>
      </c>
      <c r="B1157" s="1" t="n">
        <v>43936</v>
      </c>
      <c r="C1157" s="1" t="n">
        <v>45796</v>
      </c>
      <c r="D1157" t="inlineStr">
        <is>
          <t>SKÅNE LÄN</t>
        </is>
      </c>
      <c r="E1157" t="inlineStr">
        <is>
          <t>SVALÖV</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19456-2020</t>
        </is>
      </c>
      <c r="B1158" s="1" t="n">
        <v>43938</v>
      </c>
      <c r="C1158" s="1" t="n">
        <v>45796</v>
      </c>
      <c r="D1158" t="inlineStr">
        <is>
          <t>SKÅNE LÄN</t>
        </is>
      </c>
      <c r="E1158" t="inlineStr">
        <is>
          <t>ÖSTRA GÖINGE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19795-2020</t>
        </is>
      </c>
      <c r="B1159" s="1" t="n">
        <v>43942</v>
      </c>
      <c r="C1159" s="1" t="n">
        <v>45796</v>
      </c>
      <c r="D1159" t="inlineStr">
        <is>
          <t>SKÅNE LÄN</t>
        </is>
      </c>
      <c r="E1159" t="inlineStr">
        <is>
          <t>KLIPPAN</t>
        </is>
      </c>
      <c r="F1159" t="inlineStr">
        <is>
          <t>Övriga Aktiebolag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19801-2020</t>
        </is>
      </c>
      <c r="B1160" s="1" t="n">
        <v>43942</v>
      </c>
      <c r="C1160" s="1" t="n">
        <v>45796</v>
      </c>
      <c r="D1160" t="inlineStr">
        <is>
          <t>SKÅNE LÄN</t>
        </is>
      </c>
      <c r="E1160" t="inlineStr">
        <is>
          <t>KLIPPAN</t>
        </is>
      </c>
      <c r="F1160" t="inlineStr">
        <is>
          <t>Övriga Aktiebolag</t>
        </is>
      </c>
      <c r="G1160" t="n">
        <v>12.2</v>
      </c>
      <c r="H1160" t="n">
        <v>0</v>
      </c>
      <c r="I1160" t="n">
        <v>0</v>
      </c>
      <c r="J1160" t="n">
        <v>0</v>
      </c>
      <c r="K1160" t="n">
        <v>0</v>
      </c>
      <c r="L1160" t="n">
        <v>0</v>
      </c>
      <c r="M1160" t="n">
        <v>0</v>
      </c>
      <c r="N1160" t="n">
        <v>0</v>
      </c>
      <c r="O1160" t="n">
        <v>0</v>
      </c>
      <c r="P1160" t="n">
        <v>0</v>
      </c>
      <c r="Q1160" t="n">
        <v>0</v>
      </c>
      <c r="R1160" s="2" t="inlineStr"/>
    </row>
    <row r="1161" ht="15" customHeight="1">
      <c r="A1161" t="inlineStr">
        <is>
          <t>A 20052-2020</t>
        </is>
      </c>
      <c r="B1161" s="1" t="n">
        <v>43942</v>
      </c>
      <c r="C1161" s="1" t="n">
        <v>45796</v>
      </c>
      <c r="D1161" t="inlineStr">
        <is>
          <t>SKÅNE LÄN</t>
        </is>
      </c>
      <c r="E1161" t="inlineStr">
        <is>
          <t>ÖRKELLJUNGA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19781-2020</t>
        </is>
      </c>
      <c r="B1162" s="1" t="n">
        <v>43942</v>
      </c>
      <c r="C1162" s="1" t="n">
        <v>45796</v>
      </c>
      <c r="D1162" t="inlineStr">
        <is>
          <t>SKÅNE LÄN</t>
        </is>
      </c>
      <c r="E1162" t="inlineStr">
        <is>
          <t>OSBY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20031-2020</t>
        </is>
      </c>
      <c r="B1163" s="1" t="n">
        <v>43943</v>
      </c>
      <c r="C1163" s="1" t="n">
        <v>45796</v>
      </c>
      <c r="D1163" t="inlineStr">
        <is>
          <t>SKÅNE LÄN</t>
        </is>
      </c>
      <c r="E1163" t="inlineStr">
        <is>
          <t>SVALÖV</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20271-2020</t>
        </is>
      </c>
      <c r="B1164" s="1" t="n">
        <v>43945</v>
      </c>
      <c r="C1164" s="1" t="n">
        <v>45796</v>
      </c>
      <c r="D1164" t="inlineStr">
        <is>
          <t>SKÅNE LÄN</t>
        </is>
      </c>
      <c r="E1164" t="inlineStr">
        <is>
          <t>KLIPPAN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20305-2020</t>
        </is>
      </c>
      <c r="B1165" s="1" t="n">
        <v>43945</v>
      </c>
      <c r="C1165" s="1" t="n">
        <v>45796</v>
      </c>
      <c r="D1165" t="inlineStr">
        <is>
          <t>SKÅNE LÄN</t>
        </is>
      </c>
      <c r="E1165" t="inlineStr">
        <is>
          <t>KLIPPAN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20555-2020</t>
        </is>
      </c>
      <c r="B1166" s="1" t="n">
        <v>43948</v>
      </c>
      <c r="C1166" s="1" t="n">
        <v>45796</v>
      </c>
      <c r="D1166" t="inlineStr">
        <is>
          <t>SKÅNE LÄN</t>
        </is>
      </c>
      <c r="E1166" t="inlineStr">
        <is>
          <t>OSBY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20948-2020</t>
        </is>
      </c>
      <c r="B1167" s="1" t="n">
        <v>43949</v>
      </c>
      <c r="C1167" s="1" t="n">
        <v>45796</v>
      </c>
      <c r="D1167" t="inlineStr">
        <is>
          <t>SKÅNE LÄN</t>
        </is>
      </c>
      <c r="E1167" t="inlineStr">
        <is>
          <t>TOMELILLA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20715-2020</t>
        </is>
      </c>
      <c r="B1168" s="1" t="n">
        <v>43949</v>
      </c>
      <c r="C1168" s="1" t="n">
        <v>45796</v>
      </c>
      <c r="D1168" t="inlineStr">
        <is>
          <t>SKÅNE LÄN</t>
        </is>
      </c>
      <c r="E1168" t="inlineStr">
        <is>
          <t>OSBY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20799-2020</t>
        </is>
      </c>
      <c r="B1169" s="1" t="n">
        <v>43949</v>
      </c>
      <c r="C1169" s="1" t="n">
        <v>45796</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20973-2020</t>
        </is>
      </c>
      <c r="B1170" s="1" t="n">
        <v>43950</v>
      </c>
      <c r="C1170" s="1" t="n">
        <v>45796</v>
      </c>
      <c r="D1170" t="inlineStr">
        <is>
          <t>SKÅNE LÄN</t>
        </is>
      </c>
      <c r="E1170" t="inlineStr">
        <is>
          <t>KLIPPAN</t>
        </is>
      </c>
      <c r="F1170" t="inlineStr">
        <is>
          <t>Övriga Aktiebolag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20967-2020</t>
        </is>
      </c>
      <c r="B1171" s="1" t="n">
        <v>43950</v>
      </c>
      <c r="C1171" s="1" t="n">
        <v>45796</v>
      </c>
      <c r="D1171" t="inlineStr">
        <is>
          <t>SKÅNE LÄN</t>
        </is>
      </c>
      <c r="E1171" t="inlineStr">
        <is>
          <t>HÄSSLEHOLM</t>
        </is>
      </c>
      <c r="F1171" t="inlineStr">
        <is>
          <t>Övriga Aktiebolag</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20977-2020</t>
        </is>
      </c>
      <c r="B1172" s="1" t="n">
        <v>43950</v>
      </c>
      <c r="C1172" s="1" t="n">
        <v>45796</v>
      </c>
      <c r="D1172" t="inlineStr">
        <is>
          <t>SKÅNE LÄN</t>
        </is>
      </c>
      <c r="E1172" t="inlineStr">
        <is>
          <t>HÄSSLEHOLM</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21011-2020</t>
        </is>
      </c>
      <c r="B1173" s="1" t="n">
        <v>43950</v>
      </c>
      <c r="C1173" s="1" t="n">
        <v>45796</v>
      </c>
      <c r="D1173" t="inlineStr">
        <is>
          <t>SKÅNE LÄN</t>
        </is>
      </c>
      <c r="E1173" t="inlineStr">
        <is>
          <t>OSBY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20993-2020</t>
        </is>
      </c>
      <c r="B1174" s="1" t="n">
        <v>43950</v>
      </c>
      <c r="C1174" s="1" t="n">
        <v>45796</v>
      </c>
      <c r="D1174" t="inlineStr">
        <is>
          <t>SKÅNE LÄN</t>
        </is>
      </c>
      <c r="E1174" t="inlineStr">
        <is>
          <t>HÄSSLEHOLM</t>
        </is>
      </c>
      <c r="F1174" t="inlineStr">
        <is>
          <t>Övriga Aktiebolag</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21263-2020</t>
        </is>
      </c>
      <c r="B1175" s="1" t="n">
        <v>43951</v>
      </c>
      <c r="C1175" s="1" t="n">
        <v>45796</v>
      </c>
      <c r="D1175" t="inlineStr">
        <is>
          <t>SKÅNE LÄN</t>
        </is>
      </c>
      <c r="E1175" t="inlineStr">
        <is>
          <t>HÄSSLEHOLM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21318-2020</t>
        </is>
      </c>
      <c r="B1176" s="1" t="n">
        <v>43955</v>
      </c>
      <c r="C1176" s="1" t="n">
        <v>45796</v>
      </c>
      <c r="D1176" t="inlineStr">
        <is>
          <t>SKÅNE LÄN</t>
        </is>
      </c>
      <c r="E1176" t="inlineStr">
        <is>
          <t>ÖRKELLJUNGA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21356-2020</t>
        </is>
      </c>
      <c r="B1177" s="1" t="n">
        <v>43955</v>
      </c>
      <c r="C1177" s="1" t="n">
        <v>45796</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21396-2020</t>
        </is>
      </c>
      <c r="B1178" s="1" t="n">
        <v>43955</v>
      </c>
      <c r="C1178" s="1" t="n">
        <v>45796</v>
      </c>
      <c r="D1178" t="inlineStr">
        <is>
          <t>SKÅNE LÄN</t>
        </is>
      </c>
      <c r="E1178" t="inlineStr">
        <is>
          <t>ÖRKELLJUNGA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21286-2020</t>
        </is>
      </c>
      <c r="B1179" s="1" t="n">
        <v>43955</v>
      </c>
      <c r="C1179" s="1" t="n">
        <v>45796</v>
      </c>
      <c r="D1179" t="inlineStr">
        <is>
          <t>SKÅNE LÄN</t>
        </is>
      </c>
      <c r="E1179" t="inlineStr">
        <is>
          <t>ÖSTRA GÖINGE</t>
        </is>
      </c>
      <c r="F1179" t="inlineStr">
        <is>
          <t>Sveaskog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21452-2020</t>
        </is>
      </c>
      <c r="B1180" s="1" t="n">
        <v>43955</v>
      </c>
      <c r="C1180" s="1" t="n">
        <v>45796</v>
      </c>
      <c r="D1180" t="inlineStr">
        <is>
          <t>SKÅNE LÄN</t>
        </is>
      </c>
      <c r="E1180" t="inlineStr">
        <is>
          <t>HÄSSLEHOLM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21532-2020</t>
        </is>
      </c>
      <c r="B1181" s="1" t="n">
        <v>43955</v>
      </c>
      <c r="C1181" s="1" t="n">
        <v>45796</v>
      </c>
      <c r="D1181" t="inlineStr">
        <is>
          <t>SKÅNE LÄN</t>
        </is>
      </c>
      <c r="E1181" t="inlineStr">
        <is>
          <t>KLIPPAN</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21522-2020</t>
        </is>
      </c>
      <c r="B1182" s="1" t="n">
        <v>43955</v>
      </c>
      <c r="C1182" s="1" t="n">
        <v>45796</v>
      </c>
      <c r="D1182" t="inlineStr">
        <is>
          <t>SKÅNE LÄN</t>
        </is>
      </c>
      <c r="E1182" t="inlineStr">
        <is>
          <t>HÄSSLEHOLM</t>
        </is>
      </c>
      <c r="F1182" t="inlineStr">
        <is>
          <t>Övriga Aktiebolag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21699-2020</t>
        </is>
      </c>
      <c r="B1183" s="1" t="n">
        <v>43957</v>
      </c>
      <c r="C1183" s="1" t="n">
        <v>45796</v>
      </c>
      <c r="D1183" t="inlineStr">
        <is>
          <t>SKÅNE LÄN</t>
        </is>
      </c>
      <c r="E1183" t="inlineStr">
        <is>
          <t>HÄSSLEHOLM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21636-2020</t>
        </is>
      </c>
      <c r="B1184" s="1" t="n">
        <v>43957</v>
      </c>
      <c r="C1184" s="1" t="n">
        <v>45796</v>
      </c>
      <c r="D1184" t="inlineStr">
        <is>
          <t>SKÅNE LÄN</t>
        </is>
      </c>
      <c r="E1184" t="inlineStr">
        <is>
          <t>ESLÖV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21776-2020</t>
        </is>
      </c>
      <c r="B1185" s="1" t="n">
        <v>43957</v>
      </c>
      <c r="C1185" s="1" t="n">
        <v>45796</v>
      </c>
      <c r="D1185" t="inlineStr">
        <is>
          <t>SKÅNE LÄN</t>
        </is>
      </c>
      <c r="E1185" t="inlineStr">
        <is>
          <t>OSBY</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21697-2020</t>
        </is>
      </c>
      <c r="B1186" s="1" t="n">
        <v>43957</v>
      </c>
      <c r="C1186" s="1" t="n">
        <v>45796</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21854-2020</t>
        </is>
      </c>
      <c r="B1187" s="1" t="n">
        <v>43957</v>
      </c>
      <c r="C1187" s="1" t="n">
        <v>45796</v>
      </c>
      <c r="D1187" t="inlineStr">
        <is>
          <t>SKÅNE LÄN</t>
        </is>
      </c>
      <c r="E1187" t="inlineStr">
        <is>
          <t>HÄSSLEHOLM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22342-2020</t>
        </is>
      </c>
      <c r="B1188" s="1" t="n">
        <v>43957</v>
      </c>
      <c r="C1188" s="1" t="n">
        <v>45796</v>
      </c>
      <c r="D1188" t="inlineStr">
        <is>
          <t>SKÅNE LÄN</t>
        </is>
      </c>
      <c r="E1188" t="inlineStr">
        <is>
          <t>KLIPPAN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22340-2020</t>
        </is>
      </c>
      <c r="B1189" s="1" t="n">
        <v>43957</v>
      </c>
      <c r="C1189" s="1" t="n">
        <v>45796</v>
      </c>
      <c r="D1189" t="inlineStr">
        <is>
          <t>SKÅNE LÄN</t>
        </is>
      </c>
      <c r="E1189" t="inlineStr">
        <is>
          <t>KLIPPAN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22543-2020</t>
        </is>
      </c>
      <c r="B1190" s="1" t="n">
        <v>43959</v>
      </c>
      <c r="C1190" s="1" t="n">
        <v>45796</v>
      </c>
      <c r="D1190" t="inlineStr">
        <is>
          <t>SKÅNE LÄN</t>
        </is>
      </c>
      <c r="E1190" t="inlineStr">
        <is>
          <t>KLIPPAN</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22312-2020</t>
        </is>
      </c>
      <c r="B1191" s="1" t="n">
        <v>43962</v>
      </c>
      <c r="C1191" s="1" t="n">
        <v>45796</v>
      </c>
      <c r="D1191" t="inlineStr">
        <is>
          <t>SKÅNE LÄN</t>
        </is>
      </c>
      <c r="E1191" t="inlineStr">
        <is>
          <t>ÖRKELLJUNGA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22790-2020</t>
        </is>
      </c>
      <c r="B1192" s="1" t="n">
        <v>43962</v>
      </c>
      <c r="C1192" s="1" t="n">
        <v>45796</v>
      </c>
      <c r="D1192" t="inlineStr">
        <is>
          <t>SKÅNE LÄN</t>
        </is>
      </c>
      <c r="E1192" t="inlineStr">
        <is>
          <t>SJÖBO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22732-2020</t>
        </is>
      </c>
      <c r="B1193" s="1" t="n">
        <v>43963</v>
      </c>
      <c r="C1193" s="1" t="n">
        <v>45796</v>
      </c>
      <c r="D1193" t="inlineStr">
        <is>
          <t>SKÅNE LÄN</t>
        </is>
      </c>
      <c r="E1193" t="inlineStr">
        <is>
          <t>SIMRISHAMN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22870-2020</t>
        </is>
      </c>
      <c r="B1194" s="1" t="n">
        <v>43964</v>
      </c>
      <c r="C1194" s="1" t="n">
        <v>45796</v>
      </c>
      <c r="D1194" t="inlineStr">
        <is>
          <t>SKÅNE LÄN</t>
        </is>
      </c>
      <c r="E1194" t="inlineStr">
        <is>
          <t>ÖRKELLJUNGA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23043-2020</t>
        </is>
      </c>
      <c r="B1195" s="1" t="n">
        <v>43965</v>
      </c>
      <c r="C1195" s="1" t="n">
        <v>45796</v>
      </c>
      <c r="D1195" t="inlineStr">
        <is>
          <t>SKÅNE LÄN</t>
        </is>
      </c>
      <c r="E1195" t="inlineStr">
        <is>
          <t>ÖRKELLJUNGA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23228-2020</t>
        </is>
      </c>
      <c r="B1196" s="1" t="n">
        <v>43966</v>
      </c>
      <c r="C1196" s="1" t="n">
        <v>45796</v>
      </c>
      <c r="D1196" t="inlineStr">
        <is>
          <t>SKÅNE LÄN</t>
        </is>
      </c>
      <c r="E1196" t="inlineStr">
        <is>
          <t>SJÖBO</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23235-2020</t>
        </is>
      </c>
      <c r="B1197" s="1" t="n">
        <v>43966</v>
      </c>
      <c r="C1197" s="1" t="n">
        <v>45796</v>
      </c>
      <c r="D1197" t="inlineStr">
        <is>
          <t>SKÅNE LÄN</t>
        </is>
      </c>
      <c r="E1197" t="inlineStr">
        <is>
          <t>HÄSSLEHOLM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23264-2020</t>
        </is>
      </c>
      <c r="B1198" s="1" t="n">
        <v>43966</v>
      </c>
      <c r="C1198" s="1" t="n">
        <v>45796</v>
      </c>
      <c r="D1198" t="inlineStr">
        <is>
          <t>SKÅNE LÄN</t>
        </is>
      </c>
      <c r="E1198" t="inlineStr">
        <is>
          <t>ÖSTRA GÖINGE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23266-2020</t>
        </is>
      </c>
      <c r="B1199" s="1" t="n">
        <v>43966</v>
      </c>
      <c r="C1199" s="1" t="n">
        <v>45796</v>
      </c>
      <c r="D1199" t="inlineStr">
        <is>
          <t>SKÅNE LÄN</t>
        </is>
      </c>
      <c r="E1199" t="inlineStr">
        <is>
          <t>ÖSTRA GÖINGE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23238-2020</t>
        </is>
      </c>
      <c r="B1200" s="1" t="n">
        <v>43966</v>
      </c>
      <c r="C1200" s="1" t="n">
        <v>45796</v>
      </c>
      <c r="D1200" t="inlineStr">
        <is>
          <t>SKÅNE LÄN</t>
        </is>
      </c>
      <c r="E1200" t="inlineStr">
        <is>
          <t>OSBY</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23319-2020</t>
        </is>
      </c>
      <c r="B1201" s="1" t="n">
        <v>43966</v>
      </c>
      <c r="C1201" s="1" t="n">
        <v>45796</v>
      </c>
      <c r="D1201" t="inlineStr">
        <is>
          <t>SKÅNE LÄN</t>
        </is>
      </c>
      <c r="E1201" t="inlineStr">
        <is>
          <t>ÖSTRA GÖINGE</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23405-2020</t>
        </is>
      </c>
      <c r="B1202" s="1" t="n">
        <v>43968</v>
      </c>
      <c r="C1202" s="1" t="n">
        <v>45796</v>
      </c>
      <c r="D1202" t="inlineStr">
        <is>
          <t>SKÅNE LÄN</t>
        </is>
      </c>
      <c r="E1202" t="inlineStr">
        <is>
          <t>ÖSTRA GÖINGE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23478-2020</t>
        </is>
      </c>
      <c r="B1203" s="1" t="n">
        <v>43969</v>
      </c>
      <c r="C1203" s="1" t="n">
        <v>45796</v>
      </c>
      <c r="D1203" t="inlineStr">
        <is>
          <t>SKÅNE LÄN</t>
        </is>
      </c>
      <c r="E1203" t="inlineStr">
        <is>
          <t>ESLÖV</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23513-2020</t>
        </is>
      </c>
      <c r="B1204" s="1" t="n">
        <v>43969</v>
      </c>
      <c r="C1204" s="1" t="n">
        <v>45796</v>
      </c>
      <c r="D1204" t="inlineStr">
        <is>
          <t>SKÅNE LÄN</t>
        </is>
      </c>
      <c r="E1204" t="inlineStr">
        <is>
          <t>TOMELILLA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23476-2020</t>
        </is>
      </c>
      <c r="B1205" s="1" t="n">
        <v>43969</v>
      </c>
      <c r="C1205" s="1" t="n">
        <v>45796</v>
      </c>
      <c r="D1205" t="inlineStr">
        <is>
          <t>SKÅNE LÄN</t>
        </is>
      </c>
      <c r="E1205" t="inlineStr">
        <is>
          <t>ESLÖV</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23536-2020</t>
        </is>
      </c>
      <c r="B1206" s="1" t="n">
        <v>43969</v>
      </c>
      <c r="C1206" s="1" t="n">
        <v>45796</v>
      </c>
      <c r="D1206" t="inlineStr">
        <is>
          <t>SKÅNE LÄN</t>
        </is>
      </c>
      <c r="E1206" t="inlineStr">
        <is>
          <t>HÖÖR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23715-2020</t>
        </is>
      </c>
      <c r="B1207" s="1" t="n">
        <v>43970</v>
      </c>
      <c r="C1207" s="1" t="n">
        <v>45796</v>
      </c>
      <c r="D1207" t="inlineStr">
        <is>
          <t>SKÅNE LÄN</t>
        </is>
      </c>
      <c r="E1207" t="inlineStr">
        <is>
          <t>SKURUP</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23714-2020</t>
        </is>
      </c>
      <c r="B1208" s="1" t="n">
        <v>43970</v>
      </c>
      <c r="C1208" s="1" t="n">
        <v>45796</v>
      </c>
      <c r="D1208" t="inlineStr">
        <is>
          <t>SKÅNE LÄN</t>
        </is>
      </c>
      <c r="E1208" t="inlineStr">
        <is>
          <t>ÄNGELHOLM</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23707-2020</t>
        </is>
      </c>
      <c r="B1209" s="1" t="n">
        <v>43970</v>
      </c>
      <c r="C1209" s="1" t="n">
        <v>45796</v>
      </c>
      <c r="D1209" t="inlineStr">
        <is>
          <t>SKÅNE LÄN</t>
        </is>
      </c>
      <c r="E1209" t="inlineStr">
        <is>
          <t>SKURUP</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24227-2020</t>
        </is>
      </c>
      <c r="B1210" s="1" t="n">
        <v>43970</v>
      </c>
      <c r="C1210" s="1" t="n">
        <v>45796</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23787-2020</t>
        </is>
      </c>
      <c r="B1211" s="1" t="n">
        <v>43970</v>
      </c>
      <c r="C1211" s="1" t="n">
        <v>45796</v>
      </c>
      <c r="D1211" t="inlineStr">
        <is>
          <t>SKÅNE LÄN</t>
        </is>
      </c>
      <c r="E1211" t="inlineStr">
        <is>
          <t>ÖRKELLJUNGA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24233-2020</t>
        </is>
      </c>
      <c r="B1212" s="1" t="n">
        <v>43970</v>
      </c>
      <c r="C1212" s="1" t="n">
        <v>45796</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24115-2020</t>
        </is>
      </c>
      <c r="B1213" s="1" t="n">
        <v>43973</v>
      </c>
      <c r="C1213" s="1" t="n">
        <v>45796</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24299-2020</t>
        </is>
      </c>
      <c r="B1214" s="1" t="n">
        <v>43976</v>
      </c>
      <c r="C1214" s="1" t="n">
        <v>45796</v>
      </c>
      <c r="D1214" t="inlineStr">
        <is>
          <t>SKÅNE LÄN</t>
        </is>
      </c>
      <c r="E1214" t="inlineStr">
        <is>
          <t>OSBY</t>
        </is>
      </c>
      <c r="F1214" t="inlineStr">
        <is>
          <t>Kyrkan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24332-2020</t>
        </is>
      </c>
      <c r="B1215" s="1" t="n">
        <v>43976</v>
      </c>
      <c r="C1215" s="1" t="n">
        <v>45796</v>
      </c>
      <c r="D1215" t="inlineStr">
        <is>
          <t>SKÅNE LÄN</t>
        </is>
      </c>
      <c r="E1215" t="inlineStr">
        <is>
          <t>OSBY</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24344-2020</t>
        </is>
      </c>
      <c r="B1216" s="1" t="n">
        <v>43976</v>
      </c>
      <c r="C1216" s="1" t="n">
        <v>45796</v>
      </c>
      <c r="D1216" t="inlineStr">
        <is>
          <t>SKÅNE LÄN</t>
        </is>
      </c>
      <c r="E1216" t="inlineStr">
        <is>
          <t>OSBY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24297-2020</t>
        </is>
      </c>
      <c r="B1217" s="1" t="n">
        <v>43976</v>
      </c>
      <c r="C1217" s="1" t="n">
        <v>45796</v>
      </c>
      <c r="D1217" t="inlineStr">
        <is>
          <t>SKÅNE LÄN</t>
        </is>
      </c>
      <c r="E1217" t="inlineStr">
        <is>
          <t>OSBY</t>
        </is>
      </c>
      <c r="F1217" t="inlineStr">
        <is>
          <t>Kyrkan</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24450-2020</t>
        </is>
      </c>
      <c r="B1218" s="1" t="n">
        <v>43976</v>
      </c>
      <c r="C1218" s="1" t="n">
        <v>45796</v>
      </c>
      <c r="D1218" t="inlineStr">
        <is>
          <t>SKÅNE LÄN</t>
        </is>
      </c>
      <c r="E1218" t="inlineStr">
        <is>
          <t>OSBY</t>
        </is>
      </c>
      <c r="F1218" t="inlineStr">
        <is>
          <t>Naturvårdsverket</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24486-2020</t>
        </is>
      </c>
      <c r="B1219" s="1" t="n">
        <v>43976</v>
      </c>
      <c r="C1219" s="1" t="n">
        <v>45796</v>
      </c>
      <c r="D1219" t="inlineStr">
        <is>
          <t>SKÅNE LÄN</t>
        </is>
      </c>
      <c r="E1219" t="inlineStr">
        <is>
          <t>OSBY</t>
        </is>
      </c>
      <c r="F1219" t="inlineStr">
        <is>
          <t>Naturvårdsverket</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24612-2020</t>
        </is>
      </c>
      <c r="B1220" s="1" t="n">
        <v>43977</v>
      </c>
      <c r="C1220" s="1" t="n">
        <v>45796</v>
      </c>
      <c r="D1220" t="inlineStr">
        <is>
          <t>SKÅNE LÄN</t>
        </is>
      </c>
      <c r="E1220" t="inlineStr">
        <is>
          <t>SKURUP</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24628-2020</t>
        </is>
      </c>
      <c r="B1221" s="1" t="n">
        <v>43977</v>
      </c>
      <c r="C1221" s="1" t="n">
        <v>45796</v>
      </c>
      <c r="D1221" t="inlineStr">
        <is>
          <t>SKÅNE LÄN</t>
        </is>
      </c>
      <c r="E1221" t="inlineStr">
        <is>
          <t>HÖÖR</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24614-2020</t>
        </is>
      </c>
      <c r="B1222" s="1" t="n">
        <v>43977</v>
      </c>
      <c r="C1222" s="1" t="n">
        <v>45796</v>
      </c>
      <c r="D1222" t="inlineStr">
        <is>
          <t>SKÅNE LÄN</t>
        </is>
      </c>
      <c r="E1222" t="inlineStr">
        <is>
          <t>SKURUP</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24659-2020</t>
        </is>
      </c>
      <c r="B1223" s="1" t="n">
        <v>43977</v>
      </c>
      <c r="C1223" s="1" t="n">
        <v>45796</v>
      </c>
      <c r="D1223" t="inlineStr">
        <is>
          <t>SKÅNE LÄN</t>
        </is>
      </c>
      <c r="E1223" t="inlineStr">
        <is>
          <t>KRISTIANSTAD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24669-2020</t>
        </is>
      </c>
      <c r="B1224" s="1" t="n">
        <v>43977</v>
      </c>
      <c r="C1224" s="1" t="n">
        <v>45796</v>
      </c>
      <c r="D1224" t="inlineStr">
        <is>
          <t>SKÅNE LÄN</t>
        </is>
      </c>
      <c r="E1224" t="inlineStr">
        <is>
          <t>HÄSSLEHOLM</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24667-2020</t>
        </is>
      </c>
      <c r="B1225" s="1" t="n">
        <v>43977</v>
      </c>
      <c r="C1225" s="1" t="n">
        <v>45796</v>
      </c>
      <c r="D1225" t="inlineStr">
        <is>
          <t>SKÅNE LÄN</t>
        </is>
      </c>
      <c r="E1225" t="inlineStr">
        <is>
          <t>KRISTIANSTAD</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24668-2020</t>
        </is>
      </c>
      <c r="B1226" s="1" t="n">
        <v>43977</v>
      </c>
      <c r="C1226" s="1" t="n">
        <v>45796</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25171-2020</t>
        </is>
      </c>
      <c r="B1227" s="1" t="n">
        <v>43978</v>
      </c>
      <c r="C1227" s="1" t="n">
        <v>45796</v>
      </c>
      <c r="D1227" t="inlineStr">
        <is>
          <t>SKÅNE LÄN</t>
        </is>
      </c>
      <c r="E1227" t="inlineStr">
        <is>
          <t>TOMELILLA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24991-2020</t>
        </is>
      </c>
      <c r="B1228" s="1" t="n">
        <v>43978</v>
      </c>
      <c r="C1228" s="1" t="n">
        <v>45796</v>
      </c>
      <c r="D1228" t="inlineStr">
        <is>
          <t>SKÅNE LÄN</t>
        </is>
      </c>
      <c r="E1228" t="inlineStr">
        <is>
          <t>TOMELILLA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24916-2020</t>
        </is>
      </c>
      <c r="B1229" s="1" t="n">
        <v>43979</v>
      </c>
      <c r="C1229" s="1" t="n">
        <v>45796</v>
      </c>
      <c r="D1229" t="inlineStr">
        <is>
          <t>SKÅNE LÄN</t>
        </is>
      </c>
      <c r="E1229" t="inlineStr">
        <is>
          <t>ÖSTRA GÖINGE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25071-2020</t>
        </is>
      </c>
      <c r="B1230" s="1" t="n">
        <v>43979</v>
      </c>
      <c r="C1230" s="1" t="n">
        <v>45796</v>
      </c>
      <c r="D1230" t="inlineStr">
        <is>
          <t>SKÅNE LÄN</t>
        </is>
      </c>
      <c r="E1230" t="inlineStr">
        <is>
          <t>HÄSSLEHOLM</t>
        </is>
      </c>
      <c r="F1230" t="inlineStr">
        <is>
          <t>Övriga Aktiebolag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24928-2020</t>
        </is>
      </c>
      <c r="B1231" s="1" t="n">
        <v>43979</v>
      </c>
      <c r="C1231" s="1" t="n">
        <v>45796</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25301-2020</t>
        </is>
      </c>
      <c r="B1232" s="1" t="n">
        <v>43979</v>
      </c>
      <c r="C1232" s="1" t="n">
        <v>45796</v>
      </c>
      <c r="D1232" t="inlineStr">
        <is>
          <t>SKÅNE LÄN</t>
        </is>
      </c>
      <c r="E1232" t="inlineStr">
        <is>
          <t>SVALÖV</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25292-2020</t>
        </is>
      </c>
      <c r="B1233" s="1" t="n">
        <v>43979</v>
      </c>
      <c r="C1233" s="1" t="n">
        <v>45796</v>
      </c>
      <c r="D1233" t="inlineStr">
        <is>
          <t>SKÅNE LÄN</t>
        </is>
      </c>
      <c r="E1233" t="inlineStr">
        <is>
          <t>ESLÖV</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25362-2020</t>
        </is>
      </c>
      <c r="B1234" s="1" t="n">
        <v>43980</v>
      </c>
      <c r="C1234" s="1" t="n">
        <v>45796</v>
      </c>
      <c r="D1234" t="inlineStr">
        <is>
          <t>SKÅNE LÄN</t>
        </is>
      </c>
      <c r="E1234" t="inlineStr">
        <is>
          <t>TRELLEBORG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25567-2020</t>
        </is>
      </c>
      <c r="B1235" s="1" t="n">
        <v>43983</v>
      </c>
      <c r="C1235" s="1" t="n">
        <v>45796</v>
      </c>
      <c r="D1235" t="inlineStr">
        <is>
          <t>SKÅNE LÄN</t>
        </is>
      </c>
      <c r="E1235" t="inlineStr">
        <is>
          <t>ÖSTRA GÖINGE</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25519-2020</t>
        </is>
      </c>
      <c r="B1236" s="1" t="n">
        <v>43983</v>
      </c>
      <c r="C1236" s="1" t="n">
        <v>45796</v>
      </c>
      <c r="D1236" t="inlineStr">
        <is>
          <t>SKÅNE LÄN</t>
        </is>
      </c>
      <c r="E1236" t="inlineStr">
        <is>
          <t>HÄSSLEHOLM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25599-2020</t>
        </is>
      </c>
      <c r="B1237" s="1" t="n">
        <v>43983</v>
      </c>
      <c r="C1237" s="1" t="n">
        <v>45796</v>
      </c>
      <c r="D1237" t="inlineStr">
        <is>
          <t>SKÅNE LÄN</t>
        </is>
      </c>
      <c r="E1237" t="inlineStr">
        <is>
          <t>KLIPPAN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25633-2020</t>
        </is>
      </c>
      <c r="B1238" s="1" t="n">
        <v>43983</v>
      </c>
      <c r="C1238" s="1" t="n">
        <v>45796</v>
      </c>
      <c r="D1238" t="inlineStr">
        <is>
          <t>SKÅNE LÄN</t>
        </is>
      </c>
      <c r="E1238" t="inlineStr">
        <is>
          <t>PERSTORP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25723-2020</t>
        </is>
      </c>
      <c r="B1239" s="1" t="n">
        <v>43984</v>
      </c>
      <c r="C1239" s="1" t="n">
        <v>45796</v>
      </c>
      <c r="D1239" t="inlineStr">
        <is>
          <t>SKÅNE LÄN</t>
        </is>
      </c>
      <c r="E1239" t="inlineStr">
        <is>
          <t>ÄNGELHOLM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25876-2020</t>
        </is>
      </c>
      <c r="B1240" s="1" t="n">
        <v>43984</v>
      </c>
      <c r="C1240" s="1" t="n">
        <v>45796</v>
      </c>
      <c r="D1240" t="inlineStr">
        <is>
          <t>SKÅNE LÄN</t>
        </is>
      </c>
      <c r="E1240" t="inlineStr">
        <is>
          <t>BROMÖLLA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25893-2020</t>
        </is>
      </c>
      <c r="B1241" s="1" t="n">
        <v>43984</v>
      </c>
      <c r="C1241" s="1" t="n">
        <v>45796</v>
      </c>
      <c r="D1241" t="inlineStr">
        <is>
          <t>SKÅNE LÄN</t>
        </is>
      </c>
      <c r="E1241" t="inlineStr">
        <is>
          <t>KRISTIANSTAD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25692-2020</t>
        </is>
      </c>
      <c r="B1242" s="1" t="n">
        <v>43984</v>
      </c>
      <c r="C1242" s="1" t="n">
        <v>45796</v>
      </c>
      <c r="D1242" t="inlineStr">
        <is>
          <t>SKÅNE LÄN</t>
        </is>
      </c>
      <c r="E1242" t="inlineStr">
        <is>
          <t>BROMÖLLA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25794-2020</t>
        </is>
      </c>
      <c r="B1243" s="1" t="n">
        <v>43984</v>
      </c>
      <c r="C1243" s="1" t="n">
        <v>45796</v>
      </c>
      <c r="D1243" t="inlineStr">
        <is>
          <t>SKÅNE LÄN</t>
        </is>
      </c>
      <c r="E1243" t="inlineStr">
        <is>
          <t>ÖSTRA GÖINGE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25808-2020</t>
        </is>
      </c>
      <c r="B1244" s="1" t="n">
        <v>43984</v>
      </c>
      <c r="C1244" s="1" t="n">
        <v>45796</v>
      </c>
      <c r="D1244" t="inlineStr">
        <is>
          <t>SKÅNE LÄN</t>
        </is>
      </c>
      <c r="E1244" t="inlineStr">
        <is>
          <t>ÖSTRA GÖINGE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25849-2020</t>
        </is>
      </c>
      <c r="B1245" s="1" t="n">
        <v>43984</v>
      </c>
      <c r="C1245" s="1" t="n">
        <v>45796</v>
      </c>
      <c r="D1245" t="inlineStr">
        <is>
          <t>SKÅNE LÄN</t>
        </is>
      </c>
      <c r="E1245" t="inlineStr">
        <is>
          <t>OSBY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26020-2020</t>
        </is>
      </c>
      <c r="B1246" s="1" t="n">
        <v>43985</v>
      </c>
      <c r="C1246" s="1" t="n">
        <v>45796</v>
      </c>
      <c r="D1246" t="inlineStr">
        <is>
          <t>SKÅNE LÄN</t>
        </is>
      </c>
      <c r="E1246" t="inlineStr">
        <is>
          <t>HÄSSLEHOLM</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26147-2020</t>
        </is>
      </c>
      <c r="B1247" s="1" t="n">
        <v>43985</v>
      </c>
      <c r="C1247" s="1" t="n">
        <v>45796</v>
      </c>
      <c r="D1247" t="inlineStr">
        <is>
          <t>SKÅNE LÄN</t>
        </is>
      </c>
      <c r="E1247" t="inlineStr">
        <is>
          <t>HÄSSLEHOLM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26019-2020</t>
        </is>
      </c>
      <c r="B1248" s="1" t="n">
        <v>43985</v>
      </c>
      <c r="C1248" s="1" t="n">
        <v>45796</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26112-2020</t>
        </is>
      </c>
      <c r="B1249" s="1" t="n">
        <v>43985</v>
      </c>
      <c r="C1249" s="1" t="n">
        <v>45796</v>
      </c>
      <c r="D1249" t="inlineStr">
        <is>
          <t>SKÅNE LÄN</t>
        </is>
      </c>
      <c r="E1249" t="inlineStr">
        <is>
          <t>ÖSTRA GÖINGE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26160-2020</t>
        </is>
      </c>
      <c r="B1250" s="1" t="n">
        <v>43985</v>
      </c>
      <c r="C1250" s="1" t="n">
        <v>45796</v>
      </c>
      <c r="D1250" t="inlineStr">
        <is>
          <t>SKÅNE LÄN</t>
        </is>
      </c>
      <c r="E1250" t="inlineStr">
        <is>
          <t>KLIPPAN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25983-2020</t>
        </is>
      </c>
      <c r="B1251" s="1" t="n">
        <v>43985</v>
      </c>
      <c r="C1251" s="1" t="n">
        <v>45796</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26363-2020</t>
        </is>
      </c>
      <c r="B1252" s="1" t="n">
        <v>43986</v>
      </c>
      <c r="C1252" s="1" t="n">
        <v>45796</v>
      </c>
      <c r="D1252" t="inlineStr">
        <is>
          <t>SKÅNE LÄN</t>
        </is>
      </c>
      <c r="E1252" t="inlineStr">
        <is>
          <t>KLIPPAN</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26338-2020</t>
        </is>
      </c>
      <c r="B1253" s="1" t="n">
        <v>43986</v>
      </c>
      <c r="C1253" s="1" t="n">
        <v>45796</v>
      </c>
      <c r="D1253" t="inlineStr">
        <is>
          <t>SKÅNE LÄN</t>
        </is>
      </c>
      <c r="E1253" t="inlineStr">
        <is>
          <t>OSBY</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26267-2020</t>
        </is>
      </c>
      <c r="B1254" s="1" t="n">
        <v>43986</v>
      </c>
      <c r="C1254" s="1" t="n">
        <v>45796</v>
      </c>
      <c r="D1254" t="inlineStr">
        <is>
          <t>SKÅNE LÄN</t>
        </is>
      </c>
      <c r="E1254" t="inlineStr">
        <is>
          <t>SKURUP</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26335-2020</t>
        </is>
      </c>
      <c r="B1255" s="1" t="n">
        <v>43986</v>
      </c>
      <c r="C1255" s="1" t="n">
        <v>45796</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26451-2020</t>
        </is>
      </c>
      <c r="B1256" s="1" t="n">
        <v>43987</v>
      </c>
      <c r="C1256" s="1" t="n">
        <v>45796</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26598-2020</t>
        </is>
      </c>
      <c r="B1257" s="1" t="n">
        <v>43987</v>
      </c>
      <c r="C1257" s="1" t="n">
        <v>45796</v>
      </c>
      <c r="D1257" t="inlineStr">
        <is>
          <t>SKÅNE LÄN</t>
        </is>
      </c>
      <c r="E1257" t="inlineStr">
        <is>
          <t>ÖSTRA GÖINGE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26524-2020</t>
        </is>
      </c>
      <c r="B1258" s="1" t="n">
        <v>43987</v>
      </c>
      <c r="C1258" s="1" t="n">
        <v>45796</v>
      </c>
      <c r="D1258" t="inlineStr">
        <is>
          <t>SKÅNE LÄN</t>
        </is>
      </c>
      <c r="E1258" t="inlineStr">
        <is>
          <t>ÖSTRA GÖINGE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26679-2020</t>
        </is>
      </c>
      <c r="B1259" s="1" t="n">
        <v>43989</v>
      </c>
      <c r="C1259" s="1" t="n">
        <v>45796</v>
      </c>
      <c r="D1259" t="inlineStr">
        <is>
          <t>SKÅNE LÄN</t>
        </is>
      </c>
      <c r="E1259" t="inlineStr">
        <is>
          <t>KLIPPAN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26884-2020</t>
        </is>
      </c>
      <c r="B1260" s="1" t="n">
        <v>43990</v>
      </c>
      <c r="C1260" s="1" t="n">
        <v>45796</v>
      </c>
      <c r="D1260" t="inlineStr">
        <is>
          <t>SKÅNE LÄN</t>
        </is>
      </c>
      <c r="E1260" t="inlineStr">
        <is>
          <t>PERSTORP</t>
        </is>
      </c>
      <c r="F1260" t="inlineStr">
        <is>
          <t>Övriga Aktiebolag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26936-2020</t>
        </is>
      </c>
      <c r="B1261" s="1" t="n">
        <v>43990</v>
      </c>
      <c r="C1261" s="1" t="n">
        <v>45796</v>
      </c>
      <c r="D1261" t="inlineStr">
        <is>
          <t>SKÅNE LÄN</t>
        </is>
      </c>
      <c r="E1261" t="inlineStr">
        <is>
          <t>ÖSTRA GÖINGE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26942-2020</t>
        </is>
      </c>
      <c r="B1262" s="1" t="n">
        <v>43990</v>
      </c>
      <c r="C1262" s="1" t="n">
        <v>45796</v>
      </c>
      <c r="D1262" t="inlineStr">
        <is>
          <t>SKÅNE LÄN</t>
        </is>
      </c>
      <c r="E1262" t="inlineStr">
        <is>
          <t>ÖSTRA GÖINGE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26991-2020</t>
        </is>
      </c>
      <c r="B1263" s="1" t="n">
        <v>43991</v>
      </c>
      <c r="C1263" s="1" t="n">
        <v>45796</v>
      </c>
      <c r="D1263" t="inlineStr">
        <is>
          <t>SKÅNE LÄN</t>
        </is>
      </c>
      <c r="E1263" t="inlineStr">
        <is>
          <t>KRISTIANSTAD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27243-2020</t>
        </is>
      </c>
      <c r="B1264" s="1" t="n">
        <v>43992</v>
      </c>
      <c r="C1264" s="1" t="n">
        <v>45796</v>
      </c>
      <c r="D1264" t="inlineStr">
        <is>
          <t>SKÅNE LÄN</t>
        </is>
      </c>
      <c r="E1264" t="inlineStr">
        <is>
          <t>HÄSSLEHOLM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27453-2020</t>
        </is>
      </c>
      <c r="B1265" s="1" t="n">
        <v>43993</v>
      </c>
      <c r="C1265" s="1" t="n">
        <v>45796</v>
      </c>
      <c r="D1265" t="inlineStr">
        <is>
          <t>SKÅNE LÄN</t>
        </is>
      </c>
      <c r="E1265" t="inlineStr">
        <is>
          <t>HÖÖR</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27935-2020</t>
        </is>
      </c>
      <c r="B1266" s="1" t="n">
        <v>43993</v>
      </c>
      <c r="C1266" s="1" t="n">
        <v>45796</v>
      </c>
      <c r="D1266" t="inlineStr">
        <is>
          <t>SKÅNE LÄN</t>
        </is>
      </c>
      <c r="E1266" t="inlineStr">
        <is>
          <t>HÄSSLEHOLM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28022-2020</t>
        </is>
      </c>
      <c r="B1267" s="1" t="n">
        <v>43994</v>
      </c>
      <c r="C1267" s="1" t="n">
        <v>45796</v>
      </c>
      <c r="D1267" t="inlineStr">
        <is>
          <t>SKÅNE LÄN</t>
        </is>
      </c>
      <c r="E1267" t="inlineStr">
        <is>
          <t>SVALÖV</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28126-2020</t>
        </is>
      </c>
      <c r="B1268" s="1" t="n">
        <v>43994</v>
      </c>
      <c r="C1268" s="1" t="n">
        <v>45796</v>
      </c>
      <c r="D1268" t="inlineStr">
        <is>
          <t>SKÅNE LÄN</t>
        </is>
      </c>
      <c r="E1268" t="inlineStr">
        <is>
          <t>KLIPPAN</t>
        </is>
      </c>
      <c r="F1268" t="inlineStr">
        <is>
          <t>Övriga Aktiebolag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28113-2020</t>
        </is>
      </c>
      <c r="B1269" s="1" t="n">
        <v>43994</v>
      </c>
      <c r="C1269" s="1" t="n">
        <v>45796</v>
      </c>
      <c r="D1269" t="inlineStr">
        <is>
          <t>SKÅNE LÄN</t>
        </is>
      </c>
      <c r="E1269" t="inlineStr">
        <is>
          <t>KLIPPAN</t>
        </is>
      </c>
      <c r="F1269" t="inlineStr">
        <is>
          <t>Övriga Aktiebolag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27897-2020</t>
        </is>
      </c>
      <c r="B1270" s="1" t="n">
        <v>43996</v>
      </c>
      <c r="C1270" s="1" t="n">
        <v>45796</v>
      </c>
      <c r="D1270" t="inlineStr">
        <is>
          <t>SKÅNE LÄN</t>
        </is>
      </c>
      <c r="E1270" t="inlineStr">
        <is>
          <t>OSBY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27892-2020</t>
        </is>
      </c>
      <c r="B1271" s="1" t="n">
        <v>43996</v>
      </c>
      <c r="C1271" s="1" t="n">
        <v>45796</v>
      </c>
      <c r="D1271" t="inlineStr">
        <is>
          <t>SKÅNE LÄN</t>
        </is>
      </c>
      <c r="E1271" t="inlineStr">
        <is>
          <t>ÖSTRA GÖINGE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28003-2020</t>
        </is>
      </c>
      <c r="B1272" s="1" t="n">
        <v>43997</v>
      </c>
      <c r="C1272" s="1" t="n">
        <v>45796</v>
      </c>
      <c r="D1272" t="inlineStr">
        <is>
          <t>SKÅNE LÄN</t>
        </is>
      </c>
      <c r="E1272" t="inlineStr">
        <is>
          <t>KRISTIANSTAD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28063-2020</t>
        </is>
      </c>
      <c r="B1273" s="1" t="n">
        <v>43997</v>
      </c>
      <c r="C1273" s="1" t="n">
        <v>45796</v>
      </c>
      <c r="D1273" t="inlineStr">
        <is>
          <t>SKÅNE LÄN</t>
        </is>
      </c>
      <c r="E1273" t="inlineStr">
        <is>
          <t>ÖRKELLJUNGA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28068-2020</t>
        </is>
      </c>
      <c r="B1274" s="1" t="n">
        <v>43997</v>
      </c>
      <c r="C1274" s="1" t="n">
        <v>45796</v>
      </c>
      <c r="D1274" t="inlineStr">
        <is>
          <t>SKÅNE LÄN</t>
        </is>
      </c>
      <c r="E1274" t="inlineStr">
        <is>
          <t>ÖRKELLJUNGA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28023-2020</t>
        </is>
      </c>
      <c r="B1275" s="1" t="n">
        <v>43997</v>
      </c>
      <c r="C1275" s="1" t="n">
        <v>45796</v>
      </c>
      <c r="D1275" t="inlineStr">
        <is>
          <t>SKÅNE LÄN</t>
        </is>
      </c>
      <c r="E1275" t="inlineStr">
        <is>
          <t>HÄSSLEHOLM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28339-2020</t>
        </is>
      </c>
      <c r="B1276" s="1" t="n">
        <v>43998</v>
      </c>
      <c r="C1276" s="1" t="n">
        <v>45796</v>
      </c>
      <c r="D1276" t="inlineStr">
        <is>
          <t>SKÅNE LÄN</t>
        </is>
      </c>
      <c r="E1276" t="inlineStr">
        <is>
          <t>ESLÖV</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28338-2020</t>
        </is>
      </c>
      <c r="B1277" s="1" t="n">
        <v>43998</v>
      </c>
      <c r="C1277" s="1" t="n">
        <v>45796</v>
      </c>
      <c r="D1277" t="inlineStr">
        <is>
          <t>SKÅNE LÄN</t>
        </is>
      </c>
      <c r="E1277" t="inlineStr">
        <is>
          <t>TOMELILLA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28567-2020</t>
        </is>
      </c>
      <c r="B1278" s="1" t="n">
        <v>43998</v>
      </c>
      <c r="C1278" s="1" t="n">
        <v>45796</v>
      </c>
      <c r="D1278" t="inlineStr">
        <is>
          <t>SKÅNE LÄN</t>
        </is>
      </c>
      <c r="E1278" t="inlineStr">
        <is>
          <t>ÖRKELLJUNGA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28530-2020</t>
        </is>
      </c>
      <c r="B1279" s="1" t="n">
        <v>43998</v>
      </c>
      <c r="C1279" s="1" t="n">
        <v>45796</v>
      </c>
      <c r="D1279" t="inlineStr">
        <is>
          <t>SKÅNE LÄN</t>
        </is>
      </c>
      <c r="E1279" t="inlineStr">
        <is>
          <t>ESLÖV</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28739-2020</t>
        </is>
      </c>
      <c r="B1280" s="1" t="n">
        <v>43999</v>
      </c>
      <c r="C1280" s="1" t="n">
        <v>45796</v>
      </c>
      <c r="D1280" t="inlineStr">
        <is>
          <t>SKÅNE LÄN</t>
        </is>
      </c>
      <c r="E1280" t="inlineStr">
        <is>
          <t>OSBY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29016-2020</t>
        </is>
      </c>
      <c r="B1281" s="1" t="n">
        <v>43999</v>
      </c>
      <c r="C1281" s="1" t="n">
        <v>45796</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28884-2020</t>
        </is>
      </c>
      <c r="B1282" s="1" t="n">
        <v>43999</v>
      </c>
      <c r="C1282" s="1" t="n">
        <v>45796</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28863-2020</t>
        </is>
      </c>
      <c r="B1283" s="1" t="n">
        <v>43999</v>
      </c>
      <c r="C1283" s="1" t="n">
        <v>45796</v>
      </c>
      <c r="D1283" t="inlineStr">
        <is>
          <t>SKÅNE LÄN</t>
        </is>
      </c>
      <c r="E1283" t="inlineStr">
        <is>
          <t>HÄSSLEHOLM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29391-2020</t>
        </is>
      </c>
      <c r="B1284" s="1" t="n">
        <v>44000</v>
      </c>
      <c r="C1284" s="1" t="n">
        <v>45796</v>
      </c>
      <c r="D1284" t="inlineStr">
        <is>
          <t>SKÅNE LÄN</t>
        </is>
      </c>
      <c r="E1284" t="inlineStr">
        <is>
          <t>YSTAD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29377-2020</t>
        </is>
      </c>
      <c r="B1285" s="1" t="n">
        <v>44000</v>
      </c>
      <c r="C1285" s="1" t="n">
        <v>45796</v>
      </c>
      <c r="D1285" t="inlineStr">
        <is>
          <t>SKÅNE LÄN</t>
        </is>
      </c>
      <c r="E1285" t="inlineStr">
        <is>
          <t>YSTAD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29399-2020</t>
        </is>
      </c>
      <c r="B1286" s="1" t="n">
        <v>44000</v>
      </c>
      <c r="C1286" s="1" t="n">
        <v>45796</v>
      </c>
      <c r="D1286" t="inlineStr">
        <is>
          <t>SKÅNE LÄN</t>
        </is>
      </c>
      <c r="E1286" t="inlineStr">
        <is>
          <t>ESLÖV</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29395-2020</t>
        </is>
      </c>
      <c r="B1287" s="1" t="n">
        <v>44000</v>
      </c>
      <c r="C1287" s="1" t="n">
        <v>45796</v>
      </c>
      <c r="D1287" t="inlineStr">
        <is>
          <t>SKÅNE LÄN</t>
        </is>
      </c>
      <c r="E1287" t="inlineStr">
        <is>
          <t>YSTAD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29106-2020</t>
        </is>
      </c>
      <c r="B1288" s="1" t="n">
        <v>44003</v>
      </c>
      <c r="C1288" s="1" t="n">
        <v>45796</v>
      </c>
      <c r="D1288" t="inlineStr">
        <is>
          <t>SKÅNE LÄN</t>
        </is>
      </c>
      <c r="E1288" t="inlineStr">
        <is>
          <t>ÖSTRA GÖINGE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29230-2020</t>
        </is>
      </c>
      <c r="B1289" s="1" t="n">
        <v>44004</v>
      </c>
      <c r="C1289" s="1" t="n">
        <v>45796</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29462-2020</t>
        </is>
      </c>
      <c r="B1290" s="1" t="n">
        <v>44004</v>
      </c>
      <c r="C1290" s="1" t="n">
        <v>45796</v>
      </c>
      <c r="D1290" t="inlineStr">
        <is>
          <t>SKÅNE LÄN</t>
        </is>
      </c>
      <c r="E1290" t="inlineStr">
        <is>
          <t>KRISTIANSTAD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29719-2020</t>
        </is>
      </c>
      <c r="B1291" s="1" t="n">
        <v>44005</v>
      </c>
      <c r="C1291" s="1" t="n">
        <v>45796</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29818-2020</t>
        </is>
      </c>
      <c r="B1292" s="1" t="n">
        <v>44005</v>
      </c>
      <c r="C1292" s="1" t="n">
        <v>45796</v>
      </c>
      <c r="D1292" t="inlineStr">
        <is>
          <t>SKÅNE LÄN</t>
        </is>
      </c>
      <c r="E1292" t="inlineStr">
        <is>
          <t>ÖSTRA GÖINGE</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29822-2020</t>
        </is>
      </c>
      <c r="B1293" s="1" t="n">
        <v>44005</v>
      </c>
      <c r="C1293" s="1" t="n">
        <v>45796</v>
      </c>
      <c r="D1293" t="inlineStr">
        <is>
          <t>SKÅNE LÄN</t>
        </is>
      </c>
      <c r="E1293" t="inlineStr">
        <is>
          <t>OSBY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29932-2020</t>
        </is>
      </c>
      <c r="B1294" s="1" t="n">
        <v>44006</v>
      </c>
      <c r="C1294" s="1" t="n">
        <v>45796</v>
      </c>
      <c r="D1294" t="inlineStr">
        <is>
          <t>SKÅNE LÄN</t>
        </is>
      </c>
      <c r="E1294" t="inlineStr">
        <is>
          <t>HÄSSLEHOLM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30011-2020</t>
        </is>
      </c>
      <c r="B1295" s="1" t="n">
        <v>44006</v>
      </c>
      <c r="C1295" s="1" t="n">
        <v>45796</v>
      </c>
      <c r="D1295" t="inlineStr">
        <is>
          <t>SKÅNE LÄN</t>
        </is>
      </c>
      <c r="E1295" t="inlineStr">
        <is>
          <t>HÖRBY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30292-2020</t>
        </is>
      </c>
      <c r="B1296" s="1" t="n">
        <v>44007</v>
      </c>
      <c r="C1296" s="1" t="n">
        <v>45796</v>
      </c>
      <c r="D1296" t="inlineStr">
        <is>
          <t>SKÅNE LÄN</t>
        </is>
      </c>
      <c r="E1296" t="inlineStr">
        <is>
          <t>HÄSSLEHOLM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30515-2020</t>
        </is>
      </c>
      <c r="B1297" s="1" t="n">
        <v>44008</v>
      </c>
      <c r="C1297" s="1" t="n">
        <v>45796</v>
      </c>
      <c r="D1297" t="inlineStr">
        <is>
          <t>SKÅNE LÄN</t>
        </is>
      </c>
      <c r="E1297" t="inlineStr">
        <is>
          <t>TOMELILLA</t>
        </is>
      </c>
      <c r="F1297" t="inlineStr">
        <is>
          <t>Övriga Aktiebolag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30719-2020</t>
        </is>
      </c>
      <c r="B1298" s="1" t="n">
        <v>44008</v>
      </c>
      <c r="C1298" s="1" t="n">
        <v>45796</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30731-2020</t>
        </is>
      </c>
      <c r="B1299" s="1" t="n">
        <v>44008</v>
      </c>
      <c r="C1299" s="1" t="n">
        <v>45796</v>
      </c>
      <c r="D1299" t="inlineStr">
        <is>
          <t>SKÅNE LÄN</t>
        </is>
      </c>
      <c r="E1299" t="inlineStr">
        <is>
          <t>OSBY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30816-2020</t>
        </is>
      </c>
      <c r="B1300" s="1" t="n">
        <v>44011</v>
      </c>
      <c r="C1300" s="1" t="n">
        <v>45796</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31165-2020</t>
        </is>
      </c>
      <c r="B1301" s="1" t="n">
        <v>44011</v>
      </c>
      <c r="C1301" s="1" t="n">
        <v>45796</v>
      </c>
      <c r="D1301" t="inlineStr">
        <is>
          <t>SKÅNE LÄN</t>
        </is>
      </c>
      <c r="E1301" t="inlineStr">
        <is>
          <t>TOMELILLA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31172-2020</t>
        </is>
      </c>
      <c r="B1302" s="1" t="n">
        <v>44011</v>
      </c>
      <c r="C1302" s="1" t="n">
        <v>45796</v>
      </c>
      <c r="D1302" t="inlineStr">
        <is>
          <t>SKÅNE LÄN</t>
        </is>
      </c>
      <c r="E1302" t="inlineStr">
        <is>
          <t>TOMELILLA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31069-2020</t>
        </is>
      </c>
      <c r="B1303" s="1" t="n">
        <v>44012</v>
      </c>
      <c r="C1303" s="1" t="n">
        <v>45796</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31542-2020</t>
        </is>
      </c>
      <c r="B1304" s="1" t="n">
        <v>44013</v>
      </c>
      <c r="C1304" s="1" t="n">
        <v>45796</v>
      </c>
      <c r="D1304" t="inlineStr">
        <is>
          <t>SKÅNE LÄN</t>
        </is>
      </c>
      <c r="E1304" t="inlineStr">
        <is>
          <t>PERSTORP</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31451-2020</t>
        </is>
      </c>
      <c r="B1305" s="1" t="n">
        <v>44013</v>
      </c>
      <c r="C1305" s="1" t="n">
        <v>45796</v>
      </c>
      <c r="D1305" t="inlineStr">
        <is>
          <t>SKÅNE LÄN</t>
        </is>
      </c>
      <c r="E1305" t="inlineStr">
        <is>
          <t>KLIPPAN</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31617-2020</t>
        </is>
      </c>
      <c r="B1306" s="1" t="n">
        <v>44013</v>
      </c>
      <c r="C1306" s="1" t="n">
        <v>45796</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31628-2020</t>
        </is>
      </c>
      <c r="B1307" s="1" t="n">
        <v>44013</v>
      </c>
      <c r="C1307" s="1" t="n">
        <v>45796</v>
      </c>
      <c r="D1307" t="inlineStr">
        <is>
          <t>SKÅNE LÄN</t>
        </is>
      </c>
      <c r="E1307" t="inlineStr">
        <is>
          <t>HÄSSLEHOLM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31625-2020</t>
        </is>
      </c>
      <c r="B1308" s="1" t="n">
        <v>44013</v>
      </c>
      <c r="C1308" s="1" t="n">
        <v>45796</v>
      </c>
      <c r="D1308" t="inlineStr">
        <is>
          <t>SKÅNE LÄN</t>
        </is>
      </c>
      <c r="E1308" t="inlineStr">
        <is>
          <t>HÄSSLEHOLM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31691-2020</t>
        </is>
      </c>
      <c r="B1309" s="1" t="n">
        <v>44013</v>
      </c>
      <c r="C1309" s="1" t="n">
        <v>45796</v>
      </c>
      <c r="D1309" t="inlineStr">
        <is>
          <t>SKÅNE LÄN</t>
        </is>
      </c>
      <c r="E1309" t="inlineStr">
        <is>
          <t>ESLÖV</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31686-2020</t>
        </is>
      </c>
      <c r="B1310" s="1" t="n">
        <v>44013</v>
      </c>
      <c r="C1310" s="1" t="n">
        <v>45796</v>
      </c>
      <c r="D1310" t="inlineStr">
        <is>
          <t>SKÅNE LÄN</t>
        </is>
      </c>
      <c r="E1310" t="inlineStr">
        <is>
          <t>SVALÖV</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31774-2020</t>
        </is>
      </c>
      <c r="B1311" s="1" t="n">
        <v>44014</v>
      </c>
      <c r="C1311" s="1" t="n">
        <v>45796</v>
      </c>
      <c r="D1311" t="inlineStr">
        <is>
          <t>SKÅNE LÄN</t>
        </is>
      </c>
      <c r="E1311" t="inlineStr">
        <is>
          <t>OSBY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31787-2020</t>
        </is>
      </c>
      <c r="B1312" s="1" t="n">
        <v>44014</v>
      </c>
      <c r="C1312" s="1" t="n">
        <v>45796</v>
      </c>
      <c r="D1312" t="inlineStr">
        <is>
          <t>SKÅNE LÄN</t>
        </is>
      </c>
      <c r="E1312" t="inlineStr">
        <is>
          <t>OSBY</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31961-2020</t>
        </is>
      </c>
      <c r="B1313" s="1" t="n">
        <v>44014</v>
      </c>
      <c r="C1313" s="1" t="n">
        <v>45796</v>
      </c>
      <c r="D1313" t="inlineStr">
        <is>
          <t>SKÅNE LÄN</t>
        </is>
      </c>
      <c r="E1313" t="inlineStr">
        <is>
          <t>OSBY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32280-2020</t>
        </is>
      </c>
      <c r="B1314" s="1" t="n">
        <v>44015</v>
      </c>
      <c r="C1314" s="1" t="n">
        <v>45796</v>
      </c>
      <c r="D1314" t="inlineStr">
        <is>
          <t>SKÅNE LÄN</t>
        </is>
      </c>
      <c r="E1314" t="inlineStr">
        <is>
          <t>OSBY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32281-2020</t>
        </is>
      </c>
      <c r="B1315" s="1" t="n">
        <v>44015</v>
      </c>
      <c r="C1315" s="1" t="n">
        <v>45796</v>
      </c>
      <c r="D1315" t="inlineStr">
        <is>
          <t>SKÅNE LÄN</t>
        </is>
      </c>
      <c r="E1315" t="inlineStr">
        <is>
          <t>OSBY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32287-2020</t>
        </is>
      </c>
      <c r="B1316" s="1" t="n">
        <v>44015</v>
      </c>
      <c r="C1316" s="1" t="n">
        <v>45796</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32081-2020</t>
        </is>
      </c>
      <c r="B1317" s="1" t="n">
        <v>44015</v>
      </c>
      <c r="C1317" s="1" t="n">
        <v>45796</v>
      </c>
      <c r="D1317" t="inlineStr">
        <is>
          <t>SKÅNE LÄN</t>
        </is>
      </c>
      <c r="E1317" t="inlineStr">
        <is>
          <t>BROMÖLLA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32460-2020</t>
        </is>
      </c>
      <c r="B1318" s="1" t="n">
        <v>44018</v>
      </c>
      <c r="C1318" s="1" t="n">
        <v>45796</v>
      </c>
      <c r="D1318" t="inlineStr">
        <is>
          <t>SKÅNE LÄN</t>
        </is>
      </c>
      <c r="E1318" t="inlineStr">
        <is>
          <t>ÖSTRA GÖINGE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32517-2020</t>
        </is>
      </c>
      <c r="B1319" s="1" t="n">
        <v>44018</v>
      </c>
      <c r="C1319" s="1" t="n">
        <v>45796</v>
      </c>
      <c r="D1319" t="inlineStr">
        <is>
          <t>SKÅNE LÄN</t>
        </is>
      </c>
      <c r="E1319" t="inlineStr">
        <is>
          <t>KRISTIANSTAD</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32499-2020</t>
        </is>
      </c>
      <c r="B1320" s="1" t="n">
        <v>44018</v>
      </c>
      <c r="C1320" s="1" t="n">
        <v>45796</v>
      </c>
      <c r="D1320" t="inlineStr">
        <is>
          <t>SKÅNE LÄN</t>
        </is>
      </c>
      <c r="E1320" t="inlineStr">
        <is>
          <t>HÖRBY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32616-2020</t>
        </is>
      </c>
      <c r="B1321" s="1" t="n">
        <v>44019</v>
      </c>
      <c r="C1321" s="1" t="n">
        <v>45796</v>
      </c>
      <c r="D1321" t="inlineStr">
        <is>
          <t>SKÅNE LÄN</t>
        </is>
      </c>
      <c r="E1321" t="inlineStr">
        <is>
          <t>ESLÖV</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32593-2020</t>
        </is>
      </c>
      <c r="B1322" s="1" t="n">
        <v>44019</v>
      </c>
      <c r="C1322" s="1" t="n">
        <v>45796</v>
      </c>
      <c r="D1322" t="inlineStr">
        <is>
          <t>SKÅNE LÄN</t>
        </is>
      </c>
      <c r="E1322" t="inlineStr">
        <is>
          <t>KRISTIANSTAD</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32687-2020</t>
        </is>
      </c>
      <c r="B1323" s="1" t="n">
        <v>44019</v>
      </c>
      <c r="C1323" s="1" t="n">
        <v>45796</v>
      </c>
      <c r="D1323" t="inlineStr">
        <is>
          <t>SKÅNE LÄN</t>
        </is>
      </c>
      <c r="E1323" t="inlineStr">
        <is>
          <t>OSBY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32727-2020</t>
        </is>
      </c>
      <c r="B1324" s="1" t="n">
        <v>44019</v>
      </c>
      <c r="C1324" s="1" t="n">
        <v>45796</v>
      </c>
      <c r="D1324" t="inlineStr">
        <is>
          <t>SKÅNE LÄN</t>
        </is>
      </c>
      <c r="E1324" t="inlineStr">
        <is>
          <t>HÄSSLEHOLM</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33029-2020</t>
        </is>
      </c>
      <c r="B1325" s="1" t="n">
        <v>44019</v>
      </c>
      <c r="C1325" s="1" t="n">
        <v>45796</v>
      </c>
      <c r="D1325" t="inlineStr">
        <is>
          <t>SKÅNE LÄN</t>
        </is>
      </c>
      <c r="E1325" t="inlineStr">
        <is>
          <t>ÖSTRA GÖINGE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33030-2020</t>
        </is>
      </c>
      <c r="B1326" s="1" t="n">
        <v>44019</v>
      </c>
      <c r="C1326" s="1" t="n">
        <v>45796</v>
      </c>
      <c r="D1326" t="inlineStr">
        <is>
          <t>SKÅNE LÄN</t>
        </is>
      </c>
      <c r="E1326" t="inlineStr">
        <is>
          <t>ÖSTRA GÖINGE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32912-2020</t>
        </is>
      </c>
      <c r="B1327" s="1" t="n">
        <v>44020</v>
      </c>
      <c r="C1327" s="1" t="n">
        <v>45796</v>
      </c>
      <c r="D1327" t="inlineStr">
        <is>
          <t>SKÅNE LÄN</t>
        </is>
      </c>
      <c r="E1327" t="inlineStr">
        <is>
          <t>ÖRKELLJUNGA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32910-2020</t>
        </is>
      </c>
      <c r="B1328" s="1" t="n">
        <v>44020</v>
      </c>
      <c r="C1328" s="1" t="n">
        <v>45796</v>
      </c>
      <c r="D1328" t="inlineStr">
        <is>
          <t>SKÅNE LÄN</t>
        </is>
      </c>
      <c r="E1328" t="inlineStr">
        <is>
          <t>ÖRKELLJUNGA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33176-2020</t>
        </is>
      </c>
      <c r="B1329" s="1" t="n">
        <v>44021</v>
      </c>
      <c r="C1329" s="1" t="n">
        <v>45796</v>
      </c>
      <c r="D1329" t="inlineStr">
        <is>
          <t>SKÅNE LÄN</t>
        </is>
      </c>
      <c r="E1329" t="inlineStr">
        <is>
          <t>ÖRKELLJUNGA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33550-2020</t>
        </is>
      </c>
      <c r="B1330" s="1" t="n">
        <v>44021</v>
      </c>
      <c r="C1330" s="1" t="n">
        <v>45796</v>
      </c>
      <c r="D1330" t="inlineStr">
        <is>
          <t>SKÅNE LÄN</t>
        </is>
      </c>
      <c r="E1330" t="inlineStr">
        <is>
          <t>ÖRKELLJUNGA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34426-2020</t>
        </is>
      </c>
      <c r="B1331" s="1" t="n">
        <v>44021</v>
      </c>
      <c r="C1331" s="1" t="n">
        <v>45796</v>
      </c>
      <c r="D1331" t="inlineStr">
        <is>
          <t>SKÅNE LÄN</t>
        </is>
      </c>
      <c r="E1331" t="inlineStr">
        <is>
          <t>ÖRKELLJUNGA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33302-2020</t>
        </is>
      </c>
      <c r="B1332" s="1" t="n">
        <v>44022</v>
      </c>
      <c r="C1332" s="1" t="n">
        <v>45796</v>
      </c>
      <c r="D1332" t="inlineStr">
        <is>
          <t>SKÅNE LÄN</t>
        </is>
      </c>
      <c r="E1332" t="inlineStr">
        <is>
          <t>HÄSSLEHOLM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33516-2020</t>
        </is>
      </c>
      <c r="B1333" s="1" t="n">
        <v>44022</v>
      </c>
      <c r="C1333" s="1" t="n">
        <v>45796</v>
      </c>
      <c r="D1333" t="inlineStr">
        <is>
          <t>SKÅNE LÄN</t>
        </is>
      </c>
      <c r="E1333" t="inlineStr">
        <is>
          <t>KRISTIANSTAD</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33300-2020</t>
        </is>
      </c>
      <c r="B1334" s="1" t="n">
        <v>44022</v>
      </c>
      <c r="C1334" s="1" t="n">
        <v>45796</v>
      </c>
      <c r="D1334" t="inlineStr">
        <is>
          <t>SKÅNE LÄN</t>
        </is>
      </c>
      <c r="E1334" t="inlineStr">
        <is>
          <t>HÄSSLEHOLM</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33511-2020</t>
        </is>
      </c>
      <c r="B1335" s="1" t="n">
        <v>44022</v>
      </c>
      <c r="C1335" s="1" t="n">
        <v>45796</v>
      </c>
      <c r="D1335" t="inlineStr">
        <is>
          <t>SKÅNE LÄN</t>
        </is>
      </c>
      <c r="E1335" t="inlineStr">
        <is>
          <t>KRISTIANSTAD</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33515-2020</t>
        </is>
      </c>
      <c r="B1336" s="1" t="n">
        <v>44022</v>
      </c>
      <c r="C1336" s="1" t="n">
        <v>45796</v>
      </c>
      <c r="D1336" t="inlineStr">
        <is>
          <t>SKÅNE LÄN</t>
        </is>
      </c>
      <c r="E1336" t="inlineStr">
        <is>
          <t>KRISTIANSTAD</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33739-2020</t>
        </is>
      </c>
      <c r="B1337" s="1" t="n">
        <v>44025</v>
      </c>
      <c r="C1337" s="1" t="n">
        <v>45796</v>
      </c>
      <c r="D1337" t="inlineStr">
        <is>
          <t>SKÅNE LÄN</t>
        </is>
      </c>
      <c r="E1337" t="inlineStr">
        <is>
          <t>KRISTIANSTAD</t>
        </is>
      </c>
      <c r="F1337" t="inlineStr">
        <is>
          <t>Övriga Aktiebolag</t>
        </is>
      </c>
      <c r="G1337" t="n">
        <v>18.3</v>
      </c>
      <c r="H1337" t="n">
        <v>0</v>
      </c>
      <c r="I1337" t="n">
        <v>0</v>
      </c>
      <c r="J1337" t="n">
        <v>0</v>
      </c>
      <c r="K1337" t="n">
        <v>0</v>
      </c>
      <c r="L1337" t="n">
        <v>0</v>
      </c>
      <c r="M1337" t="n">
        <v>0</v>
      </c>
      <c r="N1337" t="n">
        <v>0</v>
      </c>
      <c r="O1337" t="n">
        <v>0</v>
      </c>
      <c r="P1337" t="n">
        <v>0</v>
      </c>
      <c r="Q1337" t="n">
        <v>0</v>
      </c>
      <c r="R1337" s="2" t="inlineStr"/>
    </row>
    <row r="1338" ht="15" customHeight="1">
      <c r="A1338" t="inlineStr">
        <is>
          <t>A 33505-2020</t>
        </is>
      </c>
      <c r="B1338" s="1" t="n">
        <v>44025</v>
      </c>
      <c r="C1338" s="1" t="n">
        <v>45796</v>
      </c>
      <c r="D1338" t="inlineStr">
        <is>
          <t>SKÅNE LÄN</t>
        </is>
      </c>
      <c r="E1338" t="inlineStr">
        <is>
          <t>PERSTORP</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33544-2020</t>
        </is>
      </c>
      <c r="B1339" s="1" t="n">
        <v>44025</v>
      </c>
      <c r="C1339" s="1" t="n">
        <v>45796</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33742-2020</t>
        </is>
      </c>
      <c r="B1340" s="1" t="n">
        <v>44025</v>
      </c>
      <c r="C1340" s="1" t="n">
        <v>45796</v>
      </c>
      <c r="D1340" t="inlineStr">
        <is>
          <t>SKÅNE LÄN</t>
        </is>
      </c>
      <c r="E1340" t="inlineStr">
        <is>
          <t>KRISTIANSTAD</t>
        </is>
      </c>
      <c r="F1340" t="inlineStr">
        <is>
          <t>Övriga Aktiebolag</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33737-2020</t>
        </is>
      </c>
      <c r="B1341" s="1" t="n">
        <v>44025</v>
      </c>
      <c r="C1341" s="1" t="n">
        <v>45796</v>
      </c>
      <c r="D1341" t="inlineStr">
        <is>
          <t>SKÅNE LÄN</t>
        </is>
      </c>
      <c r="E1341" t="inlineStr">
        <is>
          <t>KRISTIANSTAD</t>
        </is>
      </c>
      <c r="F1341" t="inlineStr">
        <is>
          <t>Övriga Aktiebolag</t>
        </is>
      </c>
      <c r="G1341" t="n">
        <v>20.3</v>
      </c>
      <c r="H1341" t="n">
        <v>0</v>
      </c>
      <c r="I1341" t="n">
        <v>0</v>
      </c>
      <c r="J1341" t="n">
        <v>0</v>
      </c>
      <c r="K1341" t="n">
        <v>0</v>
      </c>
      <c r="L1341" t="n">
        <v>0</v>
      </c>
      <c r="M1341" t="n">
        <v>0</v>
      </c>
      <c r="N1341" t="n">
        <v>0</v>
      </c>
      <c r="O1341" t="n">
        <v>0</v>
      </c>
      <c r="P1341" t="n">
        <v>0</v>
      </c>
      <c r="Q1341" t="n">
        <v>0</v>
      </c>
      <c r="R1341" s="2" t="inlineStr"/>
    </row>
    <row r="1342" ht="15" customHeight="1">
      <c r="A1342" t="inlineStr">
        <is>
          <t>A 33866-2020</t>
        </is>
      </c>
      <c r="B1342" s="1" t="n">
        <v>44025</v>
      </c>
      <c r="C1342" s="1" t="n">
        <v>45796</v>
      </c>
      <c r="D1342" t="inlineStr">
        <is>
          <t>SKÅNE LÄN</t>
        </is>
      </c>
      <c r="E1342" t="inlineStr">
        <is>
          <t>KRISTIANSTAD</t>
        </is>
      </c>
      <c r="F1342" t="inlineStr">
        <is>
          <t>Övriga Aktiebolag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33696-2020</t>
        </is>
      </c>
      <c r="B1343" s="1" t="n">
        <v>44026</v>
      </c>
      <c r="C1343" s="1" t="n">
        <v>45796</v>
      </c>
      <c r="D1343" t="inlineStr">
        <is>
          <t>SKÅNE LÄN</t>
        </is>
      </c>
      <c r="E1343" t="inlineStr">
        <is>
          <t>KRISTIANSTAD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33807-2020</t>
        </is>
      </c>
      <c r="B1344" s="1" t="n">
        <v>44026</v>
      </c>
      <c r="C1344" s="1" t="n">
        <v>45796</v>
      </c>
      <c r="D1344" t="inlineStr">
        <is>
          <t>SKÅNE LÄN</t>
        </is>
      </c>
      <c r="E1344" t="inlineStr">
        <is>
          <t>SKURUP</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33697-2020</t>
        </is>
      </c>
      <c r="B1345" s="1" t="n">
        <v>44026</v>
      </c>
      <c r="C1345" s="1" t="n">
        <v>45796</v>
      </c>
      <c r="D1345" t="inlineStr">
        <is>
          <t>SKÅNE LÄN</t>
        </is>
      </c>
      <c r="E1345" t="inlineStr">
        <is>
          <t>HÖRBY</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33824-2020</t>
        </is>
      </c>
      <c r="B1346" s="1" t="n">
        <v>44027</v>
      </c>
      <c r="C1346" s="1" t="n">
        <v>45796</v>
      </c>
      <c r="D1346" t="inlineStr">
        <is>
          <t>SKÅNE LÄN</t>
        </is>
      </c>
      <c r="E1346" t="inlineStr">
        <is>
          <t>HÄSSLEHOLM</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33854-2020</t>
        </is>
      </c>
      <c r="B1347" s="1" t="n">
        <v>44027</v>
      </c>
      <c r="C1347" s="1" t="n">
        <v>45796</v>
      </c>
      <c r="D1347" t="inlineStr">
        <is>
          <t>SKÅNE LÄN</t>
        </is>
      </c>
      <c r="E1347" t="inlineStr">
        <is>
          <t>HÄSSLEHOLM</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34038-2020</t>
        </is>
      </c>
      <c r="B1348" s="1" t="n">
        <v>44028</v>
      </c>
      <c r="C1348" s="1" t="n">
        <v>45796</v>
      </c>
      <c r="D1348" t="inlineStr">
        <is>
          <t>SKÅNE LÄN</t>
        </is>
      </c>
      <c r="E1348" t="inlineStr">
        <is>
          <t>KLIPPAN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34032-2020</t>
        </is>
      </c>
      <c r="B1349" s="1" t="n">
        <v>44028</v>
      </c>
      <c r="C1349" s="1" t="n">
        <v>45796</v>
      </c>
      <c r="D1349" t="inlineStr">
        <is>
          <t>SKÅNE LÄN</t>
        </is>
      </c>
      <c r="E1349" t="inlineStr">
        <is>
          <t>KLIPPAN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34355-2020</t>
        </is>
      </c>
      <c r="B1350" s="1" t="n">
        <v>44028</v>
      </c>
      <c r="C1350" s="1" t="n">
        <v>45796</v>
      </c>
      <c r="D1350" t="inlineStr">
        <is>
          <t>SKÅNE LÄN</t>
        </is>
      </c>
      <c r="E1350" t="inlineStr">
        <is>
          <t>OSBY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34375-2020</t>
        </is>
      </c>
      <c r="B1351" s="1" t="n">
        <v>44032</v>
      </c>
      <c r="C1351" s="1" t="n">
        <v>45796</v>
      </c>
      <c r="D1351" t="inlineStr">
        <is>
          <t>SKÅNE LÄN</t>
        </is>
      </c>
      <c r="E1351" t="inlineStr">
        <is>
          <t>ÖSTRA GÖINGE</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34433-2020</t>
        </is>
      </c>
      <c r="B1352" s="1" t="n">
        <v>44032</v>
      </c>
      <c r="C1352" s="1" t="n">
        <v>45796</v>
      </c>
      <c r="D1352" t="inlineStr">
        <is>
          <t>SKÅNE LÄN</t>
        </is>
      </c>
      <c r="E1352" t="inlineStr">
        <is>
          <t>ÖSTRA GÖINGE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34548-2020</t>
        </is>
      </c>
      <c r="B1353" s="1" t="n">
        <v>44033</v>
      </c>
      <c r="C1353" s="1" t="n">
        <v>45796</v>
      </c>
      <c r="D1353" t="inlineStr">
        <is>
          <t>SKÅNE LÄN</t>
        </is>
      </c>
      <c r="E1353" t="inlineStr">
        <is>
          <t>KRISTIANSTAD</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34533-2020</t>
        </is>
      </c>
      <c r="B1354" s="1" t="n">
        <v>44033</v>
      </c>
      <c r="C1354" s="1" t="n">
        <v>45796</v>
      </c>
      <c r="D1354" t="inlineStr">
        <is>
          <t>SKÅNE LÄN</t>
        </is>
      </c>
      <c r="E1354" t="inlineStr">
        <is>
          <t>KLIPPAN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34871-2020</t>
        </is>
      </c>
      <c r="B1355" s="1" t="n">
        <v>44036</v>
      </c>
      <c r="C1355" s="1" t="n">
        <v>45796</v>
      </c>
      <c r="D1355" t="inlineStr">
        <is>
          <t>SKÅNE LÄN</t>
        </is>
      </c>
      <c r="E1355" t="inlineStr">
        <is>
          <t>HÄSSLEHOLM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34873-2020</t>
        </is>
      </c>
      <c r="B1356" s="1" t="n">
        <v>44036</v>
      </c>
      <c r="C1356" s="1" t="n">
        <v>45796</v>
      </c>
      <c r="D1356" t="inlineStr">
        <is>
          <t>SKÅNE LÄN</t>
        </is>
      </c>
      <c r="E1356" t="inlineStr">
        <is>
          <t>HÄSSLEHOLM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35188-2020</t>
        </is>
      </c>
      <c r="B1357" s="1" t="n">
        <v>44040</v>
      </c>
      <c r="C1357" s="1" t="n">
        <v>45796</v>
      </c>
      <c r="D1357" t="inlineStr">
        <is>
          <t>SKÅNE LÄN</t>
        </is>
      </c>
      <c r="E1357" t="inlineStr">
        <is>
          <t>HÄSSLEHOLM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35175-2020</t>
        </is>
      </c>
      <c r="B1358" s="1" t="n">
        <v>44040</v>
      </c>
      <c r="C1358" s="1" t="n">
        <v>45796</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35399-2020</t>
        </is>
      </c>
      <c r="B1359" s="1" t="n">
        <v>44042</v>
      </c>
      <c r="C1359" s="1" t="n">
        <v>45796</v>
      </c>
      <c r="D1359" t="inlineStr">
        <is>
          <t>SKÅNE LÄN</t>
        </is>
      </c>
      <c r="E1359" t="inlineStr">
        <is>
          <t>HÄSSLEHOLM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35435-2020</t>
        </is>
      </c>
      <c r="B1360" s="1" t="n">
        <v>44042</v>
      </c>
      <c r="C1360" s="1" t="n">
        <v>45796</v>
      </c>
      <c r="D1360" t="inlineStr">
        <is>
          <t>SKÅNE LÄN</t>
        </is>
      </c>
      <c r="E1360" t="inlineStr">
        <is>
          <t>ÄNGELHOLM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35442-2020</t>
        </is>
      </c>
      <c r="B1361" s="1" t="n">
        <v>44042</v>
      </c>
      <c r="C1361" s="1" t="n">
        <v>45796</v>
      </c>
      <c r="D1361" t="inlineStr">
        <is>
          <t>SKÅNE LÄN</t>
        </is>
      </c>
      <c r="E1361" t="inlineStr">
        <is>
          <t>ÄNGELHOLM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35463-2020</t>
        </is>
      </c>
      <c r="B1362" s="1" t="n">
        <v>44042</v>
      </c>
      <c r="C1362" s="1" t="n">
        <v>45796</v>
      </c>
      <c r="D1362" t="inlineStr">
        <is>
          <t>SKÅNE LÄN</t>
        </is>
      </c>
      <c r="E1362" t="inlineStr">
        <is>
          <t>KRISTIANSTAD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35439-2020</t>
        </is>
      </c>
      <c r="B1363" s="1" t="n">
        <v>44042</v>
      </c>
      <c r="C1363" s="1" t="n">
        <v>45796</v>
      </c>
      <c r="D1363" t="inlineStr">
        <is>
          <t>SKÅNE LÄN</t>
        </is>
      </c>
      <c r="E1363" t="inlineStr">
        <is>
          <t>ÄNGELHOLM</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35460-2020</t>
        </is>
      </c>
      <c r="B1364" s="1" t="n">
        <v>44042</v>
      </c>
      <c r="C1364" s="1" t="n">
        <v>45796</v>
      </c>
      <c r="D1364" t="inlineStr">
        <is>
          <t>SKÅNE LÄN</t>
        </is>
      </c>
      <c r="E1364" t="inlineStr">
        <is>
          <t>OSBY</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35572-2020</t>
        </is>
      </c>
      <c r="B1365" s="1" t="n">
        <v>44043</v>
      </c>
      <c r="C1365" s="1" t="n">
        <v>45796</v>
      </c>
      <c r="D1365" t="inlineStr">
        <is>
          <t>SKÅNE LÄN</t>
        </is>
      </c>
      <c r="E1365" t="inlineStr">
        <is>
          <t>KLIPPAN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35732-2020</t>
        </is>
      </c>
      <c r="B1366" s="1" t="n">
        <v>44046</v>
      </c>
      <c r="C1366" s="1" t="n">
        <v>45796</v>
      </c>
      <c r="D1366" t="inlineStr">
        <is>
          <t>SKÅNE LÄN</t>
        </is>
      </c>
      <c r="E1366" t="inlineStr">
        <is>
          <t>ÖSTRA GÖINGE</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35728-2020</t>
        </is>
      </c>
      <c r="B1367" s="1" t="n">
        <v>44046</v>
      </c>
      <c r="C1367" s="1" t="n">
        <v>45796</v>
      </c>
      <c r="D1367" t="inlineStr">
        <is>
          <t>SKÅNE LÄN</t>
        </is>
      </c>
      <c r="E1367" t="inlineStr">
        <is>
          <t>ÖSTRA GÖINGE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35857-2020</t>
        </is>
      </c>
      <c r="B1368" s="1" t="n">
        <v>44047</v>
      </c>
      <c r="C1368" s="1" t="n">
        <v>45796</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35912-2020</t>
        </is>
      </c>
      <c r="B1369" s="1" t="n">
        <v>44047</v>
      </c>
      <c r="C1369" s="1" t="n">
        <v>45796</v>
      </c>
      <c r="D1369" t="inlineStr">
        <is>
          <t>SKÅNE LÄN</t>
        </is>
      </c>
      <c r="E1369" t="inlineStr">
        <is>
          <t>SVEDALA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35872-2020</t>
        </is>
      </c>
      <c r="B1370" s="1" t="n">
        <v>44047</v>
      </c>
      <c r="C1370" s="1" t="n">
        <v>45796</v>
      </c>
      <c r="D1370" t="inlineStr">
        <is>
          <t>SKÅNE LÄN</t>
        </is>
      </c>
      <c r="E1370" t="inlineStr">
        <is>
          <t>HÖRBY</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35973-2020</t>
        </is>
      </c>
      <c r="B1371" s="1" t="n">
        <v>44047</v>
      </c>
      <c r="C1371" s="1" t="n">
        <v>45796</v>
      </c>
      <c r="D1371" t="inlineStr">
        <is>
          <t>SKÅNE LÄN</t>
        </is>
      </c>
      <c r="E1371" t="inlineStr">
        <is>
          <t>ÖSTRA GÖINGE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36178-2020</t>
        </is>
      </c>
      <c r="B1372" s="1" t="n">
        <v>44048</v>
      </c>
      <c r="C1372" s="1" t="n">
        <v>45796</v>
      </c>
      <c r="D1372" t="inlineStr">
        <is>
          <t>SKÅNE LÄN</t>
        </is>
      </c>
      <c r="E1372" t="inlineStr">
        <is>
          <t>OSBY</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36232-2020</t>
        </is>
      </c>
      <c r="B1373" s="1" t="n">
        <v>44049</v>
      </c>
      <c r="C1373" s="1" t="n">
        <v>45796</v>
      </c>
      <c r="D1373" t="inlineStr">
        <is>
          <t>SKÅNE LÄN</t>
        </is>
      </c>
      <c r="E1373" t="inlineStr">
        <is>
          <t>ÖSTRA GÖINGE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36281-2020</t>
        </is>
      </c>
      <c r="B1374" s="1" t="n">
        <v>44049</v>
      </c>
      <c r="C1374" s="1" t="n">
        <v>45796</v>
      </c>
      <c r="D1374" t="inlineStr">
        <is>
          <t>SKÅNE LÄN</t>
        </is>
      </c>
      <c r="E1374" t="inlineStr">
        <is>
          <t>HÖRBY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36231-2020</t>
        </is>
      </c>
      <c r="B1375" s="1" t="n">
        <v>44049</v>
      </c>
      <c r="C1375" s="1" t="n">
        <v>45796</v>
      </c>
      <c r="D1375" t="inlineStr">
        <is>
          <t>SKÅNE LÄN</t>
        </is>
      </c>
      <c r="E1375" t="inlineStr">
        <is>
          <t>ÖSTRA GÖINGE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36319-2020</t>
        </is>
      </c>
      <c r="B1376" s="1" t="n">
        <v>44049</v>
      </c>
      <c r="C1376" s="1" t="n">
        <v>45796</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36397-2020</t>
        </is>
      </c>
      <c r="B1377" s="1" t="n">
        <v>44049</v>
      </c>
      <c r="C1377" s="1" t="n">
        <v>45796</v>
      </c>
      <c r="D1377" t="inlineStr">
        <is>
          <t>SKÅNE LÄN</t>
        </is>
      </c>
      <c r="E1377" t="inlineStr">
        <is>
          <t>ÖRKELLJUNGA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36591-2020</t>
        </is>
      </c>
      <c r="B1378" s="1" t="n">
        <v>44050</v>
      </c>
      <c r="C1378" s="1" t="n">
        <v>45796</v>
      </c>
      <c r="D1378" t="inlineStr">
        <is>
          <t>SKÅNE LÄN</t>
        </is>
      </c>
      <c r="E1378" t="inlineStr">
        <is>
          <t>ÖSTRA GÖINGE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36595-2020</t>
        </is>
      </c>
      <c r="B1379" s="1" t="n">
        <v>44050</v>
      </c>
      <c r="C1379" s="1" t="n">
        <v>45796</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36721-2020</t>
        </is>
      </c>
      <c r="B1380" s="1" t="n">
        <v>44053</v>
      </c>
      <c r="C1380" s="1" t="n">
        <v>45796</v>
      </c>
      <c r="D1380" t="inlineStr">
        <is>
          <t>SKÅNE LÄN</t>
        </is>
      </c>
      <c r="E1380" t="inlineStr">
        <is>
          <t>HÄSSLEHOLM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36728-2020</t>
        </is>
      </c>
      <c r="B1381" s="1" t="n">
        <v>44053</v>
      </c>
      <c r="C1381" s="1" t="n">
        <v>45796</v>
      </c>
      <c r="D1381" t="inlineStr">
        <is>
          <t>SKÅNE LÄN</t>
        </is>
      </c>
      <c r="E1381" t="inlineStr">
        <is>
          <t>HÄSSLEHOLM</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37180-2020</t>
        </is>
      </c>
      <c r="B1382" s="1" t="n">
        <v>44054</v>
      </c>
      <c r="C1382" s="1" t="n">
        <v>45796</v>
      </c>
      <c r="D1382" t="inlineStr">
        <is>
          <t>SKÅNE LÄN</t>
        </is>
      </c>
      <c r="E1382" t="inlineStr">
        <is>
          <t>KRISTIANSTAD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37351-2020</t>
        </is>
      </c>
      <c r="B1383" s="1" t="n">
        <v>44055</v>
      </c>
      <c r="C1383" s="1" t="n">
        <v>45796</v>
      </c>
      <c r="D1383" t="inlineStr">
        <is>
          <t>SKÅNE LÄN</t>
        </is>
      </c>
      <c r="E1383" t="inlineStr">
        <is>
          <t>HÖÖR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37311-2020</t>
        </is>
      </c>
      <c r="B1384" s="1" t="n">
        <v>44055</v>
      </c>
      <c r="C1384" s="1" t="n">
        <v>45796</v>
      </c>
      <c r="D1384" t="inlineStr">
        <is>
          <t>SKÅNE LÄN</t>
        </is>
      </c>
      <c r="E1384" t="inlineStr">
        <is>
          <t>OSBY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37358-2020</t>
        </is>
      </c>
      <c r="B1385" s="1" t="n">
        <v>44055</v>
      </c>
      <c r="C1385" s="1" t="n">
        <v>45796</v>
      </c>
      <c r="D1385" t="inlineStr">
        <is>
          <t>SKÅNE LÄN</t>
        </is>
      </c>
      <c r="E1385" t="inlineStr">
        <is>
          <t>HÖÖR</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37655-2020</t>
        </is>
      </c>
      <c r="B1386" s="1" t="n">
        <v>44056</v>
      </c>
      <c r="C1386" s="1" t="n">
        <v>45796</v>
      </c>
      <c r="D1386" t="inlineStr">
        <is>
          <t>SKÅNE LÄN</t>
        </is>
      </c>
      <c r="E1386" t="inlineStr">
        <is>
          <t>HÄSSLEHOLM</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37825-2020</t>
        </is>
      </c>
      <c r="B1387" s="1" t="n">
        <v>44057</v>
      </c>
      <c r="C1387" s="1" t="n">
        <v>45796</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38110-2020</t>
        </is>
      </c>
      <c r="B1388" s="1" t="n">
        <v>44058</v>
      </c>
      <c r="C1388" s="1" t="n">
        <v>45796</v>
      </c>
      <c r="D1388" t="inlineStr">
        <is>
          <t>SKÅNE LÄN</t>
        </is>
      </c>
      <c r="E1388" t="inlineStr">
        <is>
          <t>HÄSSLEHOLM</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38138-2020</t>
        </is>
      </c>
      <c r="B1389" s="1" t="n">
        <v>44060</v>
      </c>
      <c r="C1389" s="1" t="n">
        <v>45796</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38350-2020</t>
        </is>
      </c>
      <c r="B1390" s="1" t="n">
        <v>44060</v>
      </c>
      <c r="C1390" s="1" t="n">
        <v>45796</v>
      </c>
      <c r="D1390" t="inlineStr">
        <is>
          <t>SKÅNE LÄN</t>
        </is>
      </c>
      <c r="E1390" t="inlineStr">
        <is>
          <t>OSBY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38356-2020</t>
        </is>
      </c>
      <c r="B1391" s="1" t="n">
        <v>44060</v>
      </c>
      <c r="C1391" s="1" t="n">
        <v>45796</v>
      </c>
      <c r="D1391" t="inlineStr">
        <is>
          <t>SKÅNE LÄN</t>
        </is>
      </c>
      <c r="E1391" t="inlineStr">
        <is>
          <t>OSBY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38354-2020</t>
        </is>
      </c>
      <c r="B1392" s="1" t="n">
        <v>44060</v>
      </c>
      <c r="C1392" s="1" t="n">
        <v>45796</v>
      </c>
      <c r="D1392" t="inlineStr">
        <is>
          <t>SKÅNE LÄN</t>
        </is>
      </c>
      <c r="E1392" t="inlineStr">
        <is>
          <t>OSBY</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38589-2020</t>
        </is>
      </c>
      <c r="B1393" s="1" t="n">
        <v>44061</v>
      </c>
      <c r="C1393" s="1" t="n">
        <v>45796</v>
      </c>
      <c r="D1393" t="inlineStr">
        <is>
          <t>SKÅNE LÄN</t>
        </is>
      </c>
      <c r="E1393" t="inlineStr">
        <is>
          <t>OSBY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38491-2020</t>
        </is>
      </c>
      <c r="B1394" s="1" t="n">
        <v>44061</v>
      </c>
      <c r="C1394" s="1" t="n">
        <v>45796</v>
      </c>
      <c r="D1394" t="inlineStr">
        <is>
          <t>SKÅNE LÄN</t>
        </is>
      </c>
      <c r="E1394" t="inlineStr">
        <is>
          <t>HÖRBY</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38688-2020</t>
        </is>
      </c>
      <c r="B1395" s="1" t="n">
        <v>44061</v>
      </c>
      <c r="C1395" s="1" t="n">
        <v>45796</v>
      </c>
      <c r="D1395" t="inlineStr">
        <is>
          <t>SKÅNE LÄN</t>
        </is>
      </c>
      <c r="E1395" t="inlineStr">
        <is>
          <t>LUND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39241-2020</t>
        </is>
      </c>
      <c r="B1396" s="1" t="n">
        <v>44063</v>
      </c>
      <c r="C1396" s="1" t="n">
        <v>45796</v>
      </c>
      <c r="D1396" t="inlineStr">
        <is>
          <t>SKÅNE LÄN</t>
        </is>
      </c>
      <c r="E1396" t="inlineStr">
        <is>
          <t>ÖSTRA GÖINGE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39895-2020</t>
        </is>
      </c>
      <c r="B1397" s="1" t="n">
        <v>44063</v>
      </c>
      <c r="C1397" s="1" t="n">
        <v>45796</v>
      </c>
      <c r="D1397" t="inlineStr">
        <is>
          <t>SKÅNE LÄN</t>
        </is>
      </c>
      <c r="E1397" t="inlineStr">
        <is>
          <t>HÖRBY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39672-2020</t>
        </is>
      </c>
      <c r="B1398" s="1" t="n">
        <v>44065</v>
      </c>
      <c r="C1398" s="1" t="n">
        <v>45796</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40041-2020</t>
        </is>
      </c>
      <c r="B1399" s="1" t="n">
        <v>44067</v>
      </c>
      <c r="C1399" s="1" t="n">
        <v>45796</v>
      </c>
      <c r="D1399" t="inlineStr">
        <is>
          <t>SKÅNE LÄN</t>
        </is>
      </c>
      <c r="E1399" t="inlineStr">
        <is>
          <t>KLIPPAN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40286-2020</t>
        </is>
      </c>
      <c r="B1400" s="1" t="n">
        <v>44067</v>
      </c>
      <c r="C1400" s="1" t="n">
        <v>45796</v>
      </c>
      <c r="D1400" t="inlineStr">
        <is>
          <t>SKÅNE LÄN</t>
        </is>
      </c>
      <c r="E1400" t="inlineStr">
        <is>
          <t>ÖRKELLJUNGA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40260-2020</t>
        </is>
      </c>
      <c r="B1401" s="1" t="n">
        <v>44067</v>
      </c>
      <c r="C1401" s="1" t="n">
        <v>45796</v>
      </c>
      <c r="D1401" t="inlineStr">
        <is>
          <t>SKÅNE LÄN</t>
        </is>
      </c>
      <c r="E1401" t="inlineStr">
        <is>
          <t>ÖRKELLJUNGA</t>
        </is>
      </c>
      <c r="G1401" t="n">
        <v>12.9</v>
      </c>
      <c r="H1401" t="n">
        <v>0</v>
      </c>
      <c r="I1401" t="n">
        <v>0</v>
      </c>
      <c r="J1401" t="n">
        <v>0</v>
      </c>
      <c r="K1401" t="n">
        <v>0</v>
      </c>
      <c r="L1401" t="n">
        <v>0</v>
      </c>
      <c r="M1401" t="n">
        <v>0</v>
      </c>
      <c r="N1401" t="n">
        <v>0</v>
      </c>
      <c r="O1401" t="n">
        <v>0</v>
      </c>
      <c r="P1401" t="n">
        <v>0</v>
      </c>
      <c r="Q1401" t="n">
        <v>0</v>
      </c>
      <c r="R1401" s="2" t="inlineStr"/>
    </row>
    <row r="1402" ht="15" customHeight="1">
      <c r="A1402" t="inlineStr">
        <is>
          <t>A 40304-2020</t>
        </is>
      </c>
      <c r="B1402" s="1" t="n">
        <v>44067</v>
      </c>
      <c r="C1402" s="1" t="n">
        <v>45796</v>
      </c>
      <c r="D1402" t="inlineStr">
        <is>
          <t>SKÅNE LÄN</t>
        </is>
      </c>
      <c r="E1402" t="inlineStr">
        <is>
          <t>KLIPPAN</t>
        </is>
      </c>
      <c r="F1402" t="inlineStr">
        <is>
          <t>Övriga Aktiebolag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40315-2020</t>
        </is>
      </c>
      <c r="B1403" s="1" t="n">
        <v>44067</v>
      </c>
      <c r="C1403" s="1" t="n">
        <v>45796</v>
      </c>
      <c r="D1403" t="inlineStr">
        <is>
          <t>SKÅNE LÄN</t>
        </is>
      </c>
      <c r="E1403" t="inlineStr">
        <is>
          <t>SJÖBO</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40256-2020</t>
        </is>
      </c>
      <c r="B1404" s="1" t="n">
        <v>44067</v>
      </c>
      <c r="C1404" s="1" t="n">
        <v>45796</v>
      </c>
      <c r="D1404" t="inlineStr">
        <is>
          <t>SKÅNE LÄN</t>
        </is>
      </c>
      <c r="E1404" t="inlineStr">
        <is>
          <t>ÖRKELLJUNGA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40329-2020</t>
        </is>
      </c>
      <c r="B1405" s="1" t="n">
        <v>44067</v>
      </c>
      <c r="C1405" s="1" t="n">
        <v>45796</v>
      </c>
      <c r="D1405" t="inlineStr">
        <is>
          <t>SKÅNE LÄN</t>
        </is>
      </c>
      <c r="E1405" t="inlineStr">
        <is>
          <t>HÄSSLEHOLM</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39746-2020</t>
        </is>
      </c>
      <c r="B1406" s="1" t="n">
        <v>44067</v>
      </c>
      <c r="C1406" s="1" t="n">
        <v>45796</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40319-2020</t>
        </is>
      </c>
      <c r="B1407" s="1" t="n">
        <v>44068</v>
      </c>
      <c r="C1407" s="1" t="n">
        <v>45796</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40292-2020</t>
        </is>
      </c>
      <c r="B1408" s="1" t="n">
        <v>44068</v>
      </c>
      <c r="C1408" s="1" t="n">
        <v>45796</v>
      </c>
      <c r="D1408" t="inlineStr">
        <is>
          <t>SKÅNE LÄN</t>
        </is>
      </c>
      <c r="E1408" t="inlineStr">
        <is>
          <t>HÄSSLEHOLM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40864-2020</t>
        </is>
      </c>
      <c r="B1409" s="1" t="n">
        <v>44068</v>
      </c>
      <c r="C1409" s="1" t="n">
        <v>45796</v>
      </c>
      <c r="D1409" t="inlineStr">
        <is>
          <t>SKÅNE LÄN</t>
        </is>
      </c>
      <c r="E1409" t="inlineStr">
        <is>
          <t>KLIPPAN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41733-2020</t>
        </is>
      </c>
      <c r="B1410" s="1" t="n">
        <v>44070</v>
      </c>
      <c r="C1410" s="1" t="n">
        <v>45796</v>
      </c>
      <c r="D1410" t="inlineStr">
        <is>
          <t>SKÅNE LÄN</t>
        </is>
      </c>
      <c r="E1410" t="inlineStr">
        <is>
          <t>ESLÖV</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41795-2020</t>
        </is>
      </c>
      <c r="B1411" s="1" t="n">
        <v>44070</v>
      </c>
      <c r="C1411" s="1" t="n">
        <v>45796</v>
      </c>
      <c r="D1411" t="inlineStr">
        <is>
          <t>SKÅNE LÄN</t>
        </is>
      </c>
      <c r="E1411" t="inlineStr">
        <is>
          <t>SVALÖV</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41312-2020</t>
        </is>
      </c>
      <c r="B1412" s="1" t="n">
        <v>44071</v>
      </c>
      <c r="C1412" s="1" t="n">
        <v>45796</v>
      </c>
      <c r="D1412" t="inlineStr">
        <is>
          <t>SKÅNE LÄN</t>
        </is>
      </c>
      <c r="E1412" t="inlineStr">
        <is>
          <t>ÖSTRA GÖINGE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41309-2020</t>
        </is>
      </c>
      <c r="B1413" s="1" t="n">
        <v>44071</v>
      </c>
      <c r="C1413" s="1" t="n">
        <v>45796</v>
      </c>
      <c r="D1413" t="inlineStr">
        <is>
          <t>SKÅNE LÄN</t>
        </is>
      </c>
      <c r="E1413" t="inlineStr">
        <is>
          <t>ÖSTRA GÖINGE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41315-2020</t>
        </is>
      </c>
      <c r="B1414" s="1" t="n">
        <v>44071</v>
      </c>
      <c r="C1414" s="1" t="n">
        <v>45796</v>
      </c>
      <c r="D1414" t="inlineStr">
        <is>
          <t>SKÅNE LÄN</t>
        </is>
      </c>
      <c r="E1414" t="inlineStr">
        <is>
          <t>ÖSTRA GÖINGE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42262-2020</t>
        </is>
      </c>
      <c r="B1415" s="1" t="n">
        <v>44074</v>
      </c>
      <c r="C1415" s="1" t="n">
        <v>45796</v>
      </c>
      <c r="D1415" t="inlineStr">
        <is>
          <t>SKÅNE LÄN</t>
        </is>
      </c>
      <c r="E1415" t="inlineStr">
        <is>
          <t>KRISTIANSTAD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42363-2020</t>
        </is>
      </c>
      <c r="B1416" s="1" t="n">
        <v>44074</v>
      </c>
      <c r="C1416" s="1" t="n">
        <v>45796</v>
      </c>
      <c r="D1416" t="inlineStr">
        <is>
          <t>SKÅNE LÄN</t>
        </is>
      </c>
      <c r="E1416" t="inlineStr">
        <is>
          <t>SJÖBO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42311-2020</t>
        </is>
      </c>
      <c r="B1417" s="1" t="n">
        <v>44076</v>
      </c>
      <c r="C1417" s="1" t="n">
        <v>45796</v>
      </c>
      <c r="D1417" t="inlineStr">
        <is>
          <t>SKÅNE LÄN</t>
        </is>
      </c>
      <c r="E1417" t="inlineStr">
        <is>
          <t>KLIPPAN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42353-2020</t>
        </is>
      </c>
      <c r="B1418" s="1" t="n">
        <v>44076</v>
      </c>
      <c r="C1418" s="1" t="n">
        <v>45796</v>
      </c>
      <c r="D1418" t="inlineStr">
        <is>
          <t>SKÅNE LÄN</t>
        </is>
      </c>
      <c r="E1418" t="inlineStr">
        <is>
          <t>KRISTIANSTAD</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42565-2020</t>
        </is>
      </c>
      <c r="B1419" s="1" t="n">
        <v>44077</v>
      </c>
      <c r="C1419" s="1" t="n">
        <v>45796</v>
      </c>
      <c r="D1419" t="inlineStr">
        <is>
          <t>SKÅNE LÄN</t>
        </is>
      </c>
      <c r="E1419" t="inlineStr">
        <is>
          <t>ÄNGELHOLM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42729-2020</t>
        </is>
      </c>
      <c r="B1420" s="1" t="n">
        <v>44077</v>
      </c>
      <c r="C1420" s="1" t="n">
        <v>45796</v>
      </c>
      <c r="D1420" t="inlineStr">
        <is>
          <t>SKÅNE LÄN</t>
        </is>
      </c>
      <c r="E1420" t="inlineStr">
        <is>
          <t>OSBY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43414-2020</t>
        </is>
      </c>
      <c r="B1421" s="1" t="n">
        <v>44077</v>
      </c>
      <c r="C1421" s="1" t="n">
        <v>45796</v>
      </c>
      <c r="D1421" t="inlineStr">
        <is>
          <t>SKÅNE LÄN</t>
        </is>
      </c>
      <c r="E1421" t="inlineStr">
        <is>
          <t>KRISTIANSTAD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42839-2020</t>
        </is>
      </c>
      <c r="B1422" s="1" t="n">
        <v>44078</v>
      </c>
      <c r="C1422" s="1" t="n">
        <v>45796</v>
      </c>
      <c r="D1422" t="inlineStr">
        <is>
          <t>SKÅNE LÄN</t>
        </is>
      </c>
      <c r="E1422" t="inlineStr">
        <is>
          <t>HÄSSLEHOLM</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43572-2020</t>
        </is>
      </c>
      <c r="B1423" s="1" t="n">
        <v>44078</v>
      </c>
      <c r="C1423" s="1" t="n">
        <v>45796</v>
      </c>
      <c r="D1423" t="inlineStr">
        <is>
          <t>SKÅNE LÄN</t>
        </is>
      </c>
      <c r="E1423" t="inlineStr">
        <is>
          <t>ÖSTRA GÖINGE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42812-2020</t>
        </is>
      </c>
      <c r="B1424" s="1" t="n">
        <v>44078</v>
      </c>
      <c r="C1424" s="1" t="n">
        <v>45796</v>
      </c>
      <c r="D1424" t="inlineStr">
        <is>
          <t>SKÅNE LÄN</t>
        </is>
      </c>
      <c r="E1424" t="inlineStr">
        <is>
          <t>HÄSSLEHOLM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42815-2020</t>
        </is>
      </c>
      <c r="B1425" s="1" t="n">
        <v>44078</v>
      </c>
      <c r="C1425" s="1" t="n">
        <v>45796</v>
      </c>
      <c r="D1425" t="inlineStr">
        <is>
          <t>SKÅNE LÄN</t>
        </is>
      </c>
      <c r="E1425" t="inlineStr">
        <is>
          <t>HÄSSLEHOLM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43045-2020</t>
        </is>
      </c>
      <c r="B1426" s="1" t="n">
        <v>44078</v>
      </c>
      <c r="C1426" s="1" t="n">
        <v>45796</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43574-2020</t>
        </is>
      </c>
      <c r="B1427" s="1" t="n">
        <v>44078</v>
      </c>
      <c r="C1427" s="1" t="n">
        <v>45796</v>
      </c>
      <c r="D1427" t="inlineStr">
        <is>
          <t>SKÅNE LÄN</t>
        </is>
      </c>
      <c r="E1427" t="inlineStr">
        <is>
          <t>ÖSTRA GÖINGE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43645-2020</t>
        </is>
      </c>
      <c r="B1428" s="1" t="n">
        <v>44078</v>
      </c>
      <c r="C1428" s="1" t="n">
        <v>45796</v>
      </c>
      <c r="D1428" t="inlineStr">
        <is>
          <t>SKÅNE LÄN</t>
        </is>
      </c>
      <c r="E1428" t="inlineStr">
        <is>
          <t>ÄNGELHOLM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43409-2020</t>
        </is>
      </c>
      <c r="B1429" s="1" t="n">
        <v>44081</v>
      </c>
      <c r="C1429" s="1" t="n">
        <v>45796</v>
      </c>
      <c r="D1429" t="inlineStr">
        <is>
          <t>SKÅNE LÄN</t>
        </is>
      </c>
      <c r="E1429" t="inlineStr">
        <is>
          <t>BJUV</t>
        </is>
      </c>
      <c r="F1429" t="inlineStr">
        <is>
          <t>Kyrkan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43419-2020</t>
        </is>
      </c>
      <c r="B1430" s="1" t="n">
        <v>44081</v>
      </c>
      <c r="C1430" s="1" t="n">
        <v>45796</v>
      </c>
      <c r="D1430" t="inlineStr">
        <is>
          <t>SKÅNE LÄN</t>
        </is>
      </c>
      <c r="E1430" t="inlineStr">
        <is>
          <t>ÖSTRA GÖINGE</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44079-2020</t>
        </is>
      </c>
      <c r="B1431" s="1" t="n">
        <v>44081</v>
      </c>
      <c r="C1431" s="1" t="n">
        <v>45796</v>
      </c>
      <c r="D1431" t="inlineStr">
        <is>
          <t>SKÅNE LÄN</t>
        </is>
      </c>
      <c r="E1431" t="inlineStr">
        <is>
          <t>HÖRBY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43580-2020</t>
        </is>
      </c>
      <c r="B1432" s="1" t="n">
        <v>44082</v>
      </c>
      <c r="C1432" s="1" t="n">
        <v>45796</v>
      </c>
      <c r="D1432" t="inlineStr">
        <is>
          <t>SKÅNE LÄN</t>
        </is>
      </c>
      <c r="E1432" t="inlineStr">
        <is>
          <t>HÄSSLEHOLM</t>
        </is>
      </c>
      <c r="F1432" t="inlineStr">
        <is>
          <t>Kyrkan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43595-2020</t>
        </is>
      </c>
      <c r="B1433" s="1" t="n">
        <v>44082</v>
      </c>
      <c r="C1433" s="1" t="n">
        <v>45796</v>
      </c>
      <c r="D1433" t="inlineStr">
        <is>
          <t>SKÅNE LÄN</t>
        </is>
      </c>
      <c r="E1433" t="inlineStr">
        <is>
          <t>HÄSSLEHOLM</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43600-2020</t>
        </is>
      </c>
      <c r="B1434" s="1" t="n">
        <v>44082</v>
      </c>
      <c r="C1434" s="1" t="n">
        <v>45796</v>
      </c>
      <c r="D1434" t="inlineStr">
        <is>
          <t>SKÅNE LÄN</t>
        </is>
      </c>
      <c r="E1434" t="inlineStr">
        <is>
          <t>HÄSSLEHOLM</t>
        </is>
      </c>
      <c r="F1434" t="inlineStr">
        <is>
          <t>Kyrkan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43795-2020</t>
        </is>
      </c>
      <c r="B1435" s="1" t="n">
        <v>44082</v>
      </c>
      <c r="C1435" s="1" t="n">
        <v>45796</v>
      </c>
      <c r="D1435" t="inlineStr">
        <is>
          <t>SKÅNE LÄN</t>
        </is>
      </c>
      <c r="E1435" t="inlineStr">
        <is>
          <t>OSBY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44297-2020</t>
        </is>
      </c>
      <c r="B1436" s="1" t="n">
        <v>44082</v>
      </c>
      <c r="C1436" s="1" t="n">
        <v>45796</v>
      </c>
      <c r="D1436" t="inlineStr">
        <is>
          <t>SKÅNE LÄN</t>
        </is>
      </c>
      <c r="E1436" t="inlineStr">
        <is>
          <t>KLIPPAN</t>
        </is>
      </c>
      <c r="F1436" t="inlineStr">
        <is>
          <t>Övriga Aktiebolag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44318-2020</t>
        </is>
      </c>
      <c r="B1437" s="1" t="n">
        <v>44082</v>
      </c>
      <c r="C1437" s="1" t="n">
        <v>45796</v>
      </c>
      <c r="D1437" t="inlineStr">
        <is>
          <t>SKÅNE LÄN</t>
        </is>
      </c>
      <c r="E1437" t="inlineStr">
        <is>
          <t>KLIPPAN</t>
        </is>
      </c>
      <c r="F1437" t="inlineStr">
        <is>
          <t>Övriga Aktiebolag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44228-2020</t>
        </is>
      </c>
      <c r="B1438" s="1" t="n">
        <v>44082</v>
      </c>
      <c r="C1438" s="1" t="n">
        <v>45796</v>
      </c>
      <c r="D1438" t="inlineStr">
        <is>
          <t>SKÅNE LÄN</t>
        </is>
      </c>
      <c r="E1438" t="inlineStr">
        <is>
          <t>HÄSSLEHOLM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44327-2020</t>
        </is>
      </c>
      <c r="B1439" s="1" t="n">
        <v>44082</v>
      </c>
      <c r="C1439" s="1" t="n">
        <v>45796</v>
      </c>
      <c r="D1439" t="inlineStr">
        <is>
          <t>SKÅNE LÄN</t>
        </is>
      </c>
      <c r="E1439" t="inlineStr">
        <is>
          <t>ESLÖV</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44316-2020</t>
        </is>
      </c>
      <c r="B1440" s="1" t="n">
        <v>44084</v>
      </c>
      <c r="C1440" s="1" t="n">
        <v>45796</v>
      </c>
      <c r="D1440" t="inlineStr">
        <is>
          <t>SKÅNE LÄN</t>
        </is>
      </c>
      <c r="E1440" t="inlineStr">
        <is>
          <t>KRISTIANSTAD</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44403-2020</t>
        </is>
      </c>
      <c r="B1441" s="1" t="n">
        <v>44084</v>
      </c>
      <c r="C1441" s="1" t="n">
        <v>45796</v>
      </c>
      <c r="D1441" t="inlineStr">
        <is>
          <t>SKÅNE LÄN</t>
        </is>
      </c>
      <c r="E1441" t="inlineStr">
        <is>
          <t>ÖSTRA GÖINGE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44463-2020</t>
        </is>
      </c>
      <c r="B1442" s="1" t="n">
        <v>44084</v>
      </c>
      <c r="C1442" s="1" t="n">
        <v>45796</v>
      </c>
      <c r="D1442" t="inlineStr">
        <is>
          <t>SKÅNE LÄN</t>
        </is>
      </c>
      <c r="E1442" t="inlineStr">
        <is>
          <t>KRISTIANSTAD</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44464-2020</t>
        </is>
      </c>
      <c r="B1443" s="1" t="n">
        <v>44084</v>
      </c>
      <c r="C1443" s="1" t="n">
        <v>45796</v>
      </c>
      <c r="D1443" t="inlineStr">
        <is>
          <t>SKÅNE LÄN</t>
        </is>
      </c>
      <c r="E1443" t="inlineStr">
        <is>
          <t>KRISTIANSTAD</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44527-2020</t>
        </is>
      </c>
      <c r="B1444" s="1" t="n">
        <v>44085</v>
      </c>
      <c r="C1444" s="1" t="n">
        <v>45796</v>
      </c>
      <c r="D1444" t="inlineStr">
        <is>
          <t>SKÅNE LÄN</t>
        </is>
      </c>
      <c r="E1444" t="inlineStr">
        <is>
          <t>HÄSSLEHOLM</t>
        </is>
      </c>
      <c r="F1444" t="inlineStr">
        <is>
          <t>Kommuner</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44515-2020</t>
        </is>
      </c>
      <c r="B1445" s="1" t="n">
        <v>44085</v>
      </c>
      <c r="C1445" s="1" t="n">
        <v>45796</v>
      </c>
      <c r="D1445" t="inlineStr">
        <is>
          <t>SKÅNE LÄN</t>
        </is>
      </c>
      <c r="E1445" t="inlineStr">
        <is>
          <t>OSBY</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44651-2020</t>
        </is>
      </c>
      <c r="B1446" s="1" t="n">
        <v>44085</v>
      </c>
      <c r="C1446" s="1" t="n">
        <v>45796</v>
      </c>
      <c r="D1446" t="inlineStr">
        <is>
          <t>SKÅNE LÄN</t>
        </is>
      </c>
      <c r="E1446" t="inlineStr">
        <is>
          <t>OSBY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44704-2020</t>
        </is>
      </c>
      <c r="B1447" s="1" t="n">
        <v>44085</v>
      </c>
      <c r="C1447" s="1" t="n">
        <v>45796</v>
      </c>
      <c r="D1447" t="inlineStr">
        <is>
          <t>SKÅNE LÄN</t>
        </is>
      </c>
      <c r="E1447" t="inlineStr">
        <is>
          <t>ÖRKELLJUNGA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44717-2020</t>
        </is>
      </c>
      <c r="B1448" s="1" t="n">
        <v>44085</v>
      </c>
      <c r="C1448" s="1" t="n">
        <v>45796</v>
      </c>
      <c r="D1448" t="inlineStr">
        <is>
          <t>SKÅNE LÄN</t>
        </is>
      </c>
      <c r="E1448" t="inlineStr">
        <is>
          <t>BROMÖLLA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44698-2020</t>
        </is>
      </c>
      <c r="B1449" s="1" t="n">
        <v>44085</v>
      </c>
      <c r="C1449" s="1" t="n">
        <v>45796</v>
      </c>
      <c r="D1449" t="inlineStr">
        <is>
          <t>SKÅNE LÄN</t>
        </is>
      </c>
      <c r="E1449" t="inlineStr">
        <is>
          <t>ÖRKELLJUNGA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45138-2020</t>
        </is>
      </c>
      <c r="B1450" s="1" t="n">
        <v>44088</v>
      </c>
      <c r="C1450" s="1" t="n">
        <v>45796</v>
      </c>
      <c r="D1450" t="inlineStr">
        <is>
          <t>SKÅNE LÄN</t>
        </is>
      </c>
      <c r="E1450" t="inlineStr">
        <is>
          <t>OSBY</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45512-2020</t>
        </is>
      </c>
      <c r="B1451" s="1" t="n">
        <v>44089</v>
      </c>
      <c r="C1451" s="1" t="n">
        <v>45796</v>
      </c>
      <c r="D1451" t="inlineStr">
        <is>
          <t>SKÅNE LÄN</t>
        </is>
      </c>
      <c r="E1451" t="inlineStr">
        <is>
          <t>SVALÖV</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45555-2020</t>
        </is>
      </c>
      <c r="B1452" s="1" t="n">
        <v>44089</v>
      </c>
      <c r="C1452" s="1" t="n">
        <v>45796</v>
      </c>
      <c r="D1452" t="inlineStr">
        <is>
          <t>SKÅNE LÄN</t>
        </is>
      </c>
      <c r="E1452" t="inlineStr">
        <is>
          <t>HÄSSLEHOLM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46619-2020</t>
        </is>
      </c>
      <c r="B1453" s="1" t="n">
        <v>44089</v>
      </c>
      <c r="C1453" s="1" t="n">
        <v>45796</v>
      </c>
      <c r="D1453" t="inlineStr">
        <is>
          <t>SKÅNE LÄN</t>
        </is>
      </c>
      <c r="E1453" t="inlineStr">
        <is>
          <t>OSBY</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45632-2020</t>
        </is>
      </c>
      <c r="B1454" s="1" t="n">
        <v>44090</v>
      </c>
      <c r="C1454" s="1" t="n">
        <v>45796</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45814-2020</t>
        </is>
      </c>
      <c r="B1455" s="1" t="n">
        <v>44090</v>
      </c>
      <c r="C1455" s="1" t="n">
        <v>45796</v>
      </c>
      <c r="D1455" t="inlineStr">
        <is>
          <t>SKÅNE LÄN</t>
        </is>
      </c>
      <c r="E1455" t="inlineStr">
        <is>
          <t>HÄSSLEHOLM</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45815-2020</t>
        </is>
      </c>
      <c r="B1456" s="1" t="n">
        <v>44090</v>
      </c>
      <c r="C1456" s="1" t="n">
        <v>45796</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45882-2020</t>
        </is>
      </c>
      <c r="B1457" s="1" t="n">
        <v>44091</v>
      </c>
      <c r="C1457" s="1" t="n">
        <v>45796</v>
      </c>
      <c r="D1457" t="inlineStr">
        <is>
          <t>SKÅNE LÄN</t>
        </is>
      </c>
      <c r="E1457" t="inlineStr">
        <is>
          <t>ÖRKELLJUNGA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46125-2020</t>
        </is>
      </c>
      <c r="B1458" s="1" t="n">
        <v>44091</v>
      </c>
      <c r="C1458" s="1" t="n">
        <v>45796</v>
      </c>
      <c r="D1458" t="inlineStr">
        <is>
          <t>SKÅNE LÄN</t>
        </is>
      </c>
      <c r="E1458" t="inlineStr">
        <is>
          <t>HÄSSLEHOLM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46145-2020</t>
        </is>
      </c>
      <c r="B1459" s="1" t="n">
        <v>44091</v>
      </c>
      <c r="C1459" s="1" t="n">
        <v>45796</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46170-2020</t>
        </is>
      </c>
      <c r="B1460" s="1" t="n">
        <v>44092</v>
      </c>
      <c r="C1460" s="1" t="n">
        <v>45796</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46172-2020</t>
        </is>
      </c>
      <c r="B1461" s="1" t="n">
        <v>44092</v>
      </c>
      <c r="C1461" s="1" t="n">
        <v>45796</v>
      </c>
      <c r="D1461" t="inlineStr">
        <is>
          <t>SKÅNE LÄN</t>
        </is>
      </c>
      <c r="E1461" t="inlineStr">
        <is>
          <t>OSBY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46465-2020</t>
        </is>
      </c>
      <c r="B1462" s="1" t="n">
        <v>44092</v>
      </c>
      <c r="C1462" s="1" t="n">
        <v>45796</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46452-2020</t>
        </is>
      </c>
      <c r="B1463" s="1" t="n">
        <v>44092</v>
      </c>
      <c r="C1463" s="1" t="n">
        <v>45796</v>
      </c>
      <c r="D1463" t="inlineStr">
        <is>
          <t>SKÅNE LÄN</t>
        </is>
      </c>
      <c r="E1463" t="inlineStr">
        <is>
          <t>ÖSTRA GÖINGE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46472-2020</t>
        </is>
      </c>
      <c r="B1464" s="1" t="n">
        <v>44092</v>
      </c>
      <c r="C1464" s="1" t="n">
        <v>45796</v>
      </c>
      <c r="D1464" t="inlineStr">
        <is>
          <t>SKÅNE LÄN</t>
        </is>
      </c>
      <c r="E1464" t="inlineStr">
        <is>
          <t>ÖSTRA GÖINGE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46606-2020</t>
        </is>
      </c>
      <c r="B1465" s="1" t="n">
        <v>44092</v>
      </c>
      <c r="C1465" s="1" t="n">
        <v>45796</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46480-2020</t>
        </is>
      </c>
      <c r="B1466" s="1" t="n">
        <v>44092</v>
      </c>
      <c r="C1466" s="1" t="n">
        <v>45796</v>
      </c>
      <c r="D1466" t="inlineStr">
        <is>
          <t>SKÅNE LÄN</t>
        </is>
      </c>
      <c r="E1466" t="inlineStr">
        <is>
          <t>ÖSTRA GÖINGE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46476-2020</t>
        </is>
      </c>
      <c r="B1467" s="1" t="n">
        <v>44092</v>
      </c>
      <c r="C1467" s="1" t="n">
        <v>45796</v>
      </c>
      <c r="D1467" t="inlineStr">
        <is>
          <t>SKÅNE LÄN</t>
        </is>
      </c>
      <c r="E1467" t="inlineStr">
        <is>
          <t>ÖSTRA GÖINGE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46609-2020</t>
        </is>
      </c>
      <c r="B1468" s="1" t="n">
        <v>44092</v>
      </c>
      <c r="C1468" s="1" t="n">
        <v>45796</v>
      </c>
      <c r="D1468" t="inlineStr">
        <is>
          <t>SKÅNE LÄN</t>
        </is>
      </c>
      <c r="E1468" t="inlineStr">
        <is>
          <t>ÖSTRA GÖINGE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46515-2020</t>
        </is>
      </c>
      <c r="B1469" s="1" t="n">
        <v>44092</v>
      </c>
      <c r="C1469" s="1" t="n">
        <v>45796</v>
      </c>
      <c r="D1469" t="inlineStr">
        <is>
          <t>SKÅNE LÄN</t>
        </is>
      </c>
      <c r="E1469" t="inlineStr">
        <is>
          <t>ÖSTRA GÖINGE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46479-2020</t>
        </is>
      </c>
      <c r="B1470" s="1" t="n">
        <v>44095</v>
      </c>
      <c r="C1470" s="1" t="n">
        <v>45796</v>
      </c>
      <c r="D1470" t="inlineStr">
        <is>
          <t>SKÅNE LÄN</t>
        </is>
      </c>
      <c r="E1470" t="inlineStr">
        <is>
          <t>HÄSSLEHOLM</t>
        </is>
      </c>
      <c r="F1470" t="inlineStr">
        <is>
          <t>Kyrkan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47693-2020</t>
        </is>
      </c>
      <c r="B1471" s="1" t="n">
        <v>44095</v>
      </c>
      <c r="C1471" s="1" t="n">
        <v>45796</v>
      </c>
      <c r="D1471" t="inlineStr">
        <is>
          <t>SKÅNE LÄN</t>
        </is>
      </c>
      <c r="E1471" t="inlineStr">
        <is>
          <t>KRISTIANSTAD</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47613-2020</t>
        </is>
      </c>
      <c r="B1472" s="1" t="n">
        <v>44095</v>
      </c>
      <c r="C1472" s="1" t="n">
        <v>45796</v>
      </c>
      <c r="D1472" t="inlineStr">
        <is>
          <t>SKÅNE LÄN</t>
        </is>
      </c>
      <c r="E1472" t="inlineStr">
        <is>
          <t>KRISTIANSTAD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47594-2020</t>
        </is>
      </c>
      <c r="B1473" s="1" t="n">
        <v>44095</v>
      </c>
      <c r="C1473" s="1" t="n">
        <v>45796</v>
      </c>
      <c r="D1473" t="inlineStr">
        <is>
          <t>SKÅNE LÄN</t>
        </is>
      </c>
      <c r="E1473" t="inlineStr">
        <is>
          <t>KRISTIANSTAD</t>
        </is>
      </c>
      <c r="G1473" t="n">
        <v>13.5</v>
      </c>
      <c r="H1473" t="n">
        <v>0</v>
      </c>
      <c r="I1473" t="n">
        <v>0</v>
      </c>
      <c r="J1473" t="n">
        <v>0</v>
      </c>
      <c r="K1473" t="n">
        <v>0</v>
      </c>
      <c r="L1473" t="n">
        <v>0</v>
      </c>
      <c r="M1473" t="n">
        <v>0</v>
      </c>
      <c r="N1473" t="n">
        <v>0</v>
      </c>
      <c r="O1473" t="n">
        <v>0</v>
      </c>
      <c r="P1473" t="n">
        <v>0</v>
      </c>
      <c r="Q1473" t="n">
        <v>0</v>
      </c>
      <c r="R1473" s="2" t="inlineStr"/>
    </row>
    <row r="1474" ht="15" customHeight="1">
      <c r="A1474" t="inlineStr">
        <is>
          <t>A 47715-2020</t>
        </is>
      </c>
      <c r="B1474" s="1" t="n">
        <v>44095</v>
      </c>
      <c r="C1474" s="1" t="n">
        <v>45796</v>
      </c>
      <c r="D1474" t="inlineStr">
        <is>
          <t>SKÅNE LÄN</t>
        </is>
      </c>
      <c r="E1474" t="inlineStr">
        <is>
          <t>KRISTIANSTAD</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47011-2020</t>
        </is>
      </c>
      <c r="B1475" s="1" t="n">
        <v>44096</v>
      </c>
      <c r="C1475" s="1" t="n">
        <v>45796</v>
      </c>
      <c r="D1475" t="inlineStr">
        <is>
          <t>SKÅNE LÄN</t>
        </is>
      </c>
      <c r="E1475" t="inlineStr">
        <is>
          <t>YSTAD</t>
        </is>
      </c>
      <c r="G1475" t="n">
        <v>12.4</v>
      </c>
      <c r="H1475" t="n">
        <v>0</v>
      </c>
      <c r="I1475" t="n">
        <v>0</v>
      </c>
      <c r="J1475" t="n">
        <v>0</v>
      </c>
      <c r="K1475" t="n">
        <v>0</v>
      </c>
      <c r="L1475" t="n">
        <v>0</v>
      </c>
      <c r="M1475" t="n">
        <v>0</v>
      </c>
      <c r="N1475" t="n">
        <v>0</v>
      </c>
      <c r="O1475" t="n">
        <v>0</v>
      </c>
      <c r="P1475" t="n">
        <v>0</v>
      </c>
      <c r="Q1475" t="n">
        <v>0</v>
      </c>
      <c r="R1475" s="2" t="inlineStr"/>
    </row>
    <row r="1476" ht="15" customHeight="1">
      <c r="A1476" t="inlineStr">
        <is>
          <t>A 47121-2020</t>
        </is>
      </c>
      <c r="B1476" s="1" t="n">
        <v>44096</v>
      </c>
      <c r="C1476" s="1" t="n">
        <v>45796</v>
      </c>
      <c r="D1476" t="inlineStr">
        <is>
          <t>SKÅNE LÄN</t>
        </is>
      </c>
      <c r="E1476" t="inlineStr">
        <is>
          <t>HÄSSLEHOLM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47007-2020</t>
        </is>
      </c>
      <c r="B1477" s="1" t="n">
        <v>44096</v>
      </c>
      <c r="C1477" s="1" t="n">
        <v>45796</v>
      </c>
      <c r="D1477" t="inlineStr">
        <is>
          <t>SKÅNE LÄN</t>
        </is>
      </c>
      <c r="E1477" t="inlineStr">
        <is>
          <t>HÄSSLEHOLM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48397-2020</t>
        </is>
      </c>
      <c r="B1478" s="1" t="n">
        <v>44097</v>
      </c>
      <c r="C1478" s="1" t="n">
        <v>45796</v>
      </c>
      <c r="D1478" t="inlineStr">
        <is>
          <t>SKÅNE LÄN</t>
        </is>
      </c>
      <c r="E1478" t="inlineStr">
        <is>
          <t>HÄSSLEHOLM</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47283-2020</t>
        </is>
      </c>
      <c r="B1479" s="1" t="n">
        <v>44097</v>
      </c>
      <c r="C1479" s="1" t="n">
        <v>45796</v>
      </c>
      <c r="D1479" t="inlineStr">
        <is>
          <t>SKÅNE LÄN</t>
        </is>
      </c>
      <c r="E1479" t="inlineStr">
        <is>
          <t>HÄSSLEHOLM</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47245-2020</t>
        </is>
      </c>
      <c r="B1480" s="1" t="n">
        <v>44097</v>
      </c>
      <c r="C1480" s="1" t="n">
        <v>45796</v>
      </c>
      <c r="D1480" t="inlineStr">
        <is>
          <t>SKÅNE LÄN</t>
        </is>
      </c>
      <c r="E1480" t="inlineStr">
        <is>
          <t>KLIPPAN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47521-2020</t>
        </is>
      </c>
      <c r="B1481" s="1" t="n">
        <v>44098</v>
      </c>
      <c r="C1481" s="1" t="n">
        <v>45796</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47566-2020</t>
        </is>
      </c>
      <c r="B1482" s="1" t="n">
        <v>44098</v>
      </c>
      <c r="C1482" s="1" t="n">
        <v>45796</v>
      </c>
      <c r="D1482" t="inlineStr">
        <is>
          <t>SKÅNE LÄN</t>
        </is>
      </c>
      <c r="E1482" t="inlineStr">
        <is>
          <t>ÄNGELHOLM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48627-2020</t>
        </is>
      </c>
      <c r="B1483" s="1" t="n">
        <v>44098</v>
      </c>
      <c r="C1483" s="1" t="n">
        <v>45796</v>
      </c>
      <c r="D1483" t="inlineStr">
        <is>
          <t>SKÅNE LÄN</t>
        </is>
      </c>
      <c r="E1483" t="inlineStr">
        <is>
          <t>KLIPPAN</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47531-2020</t>
        </is>
      </c>
      <c r="B1484" s="1" t="n">
        <v>44098</v>
      </c>
      <c r="C1484" s="1" t="n">
        <v>45796</v>
      </c>
      <c r="D1484" t="inlineStr">
        <is>
          <t>SKÅNE LÄN</t>
        </is>
      </c>
      <c r="E1484" t="inlineStr">
        <is>
          <t>HÄSSLEHOLM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47925-2020</t>
        </is>
      </c>
      <c r="B1485" s="1" t="n">
        <v>44099</v>
      </c>
      <c r="C1485" s="1" t="n">
        <v>45796</v>
      </c>
      <c r="D1485" t="inlineStr">
        <is>
          <t>SKÅNE LÄN</t>
        </is>
      </c>
      <c r="E1485" t="inlineStr">
        <is>
          <t>ÖSTRA GÖINGE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47931-2020</t>
        </is>
      </c>
      <c r="B1486" s="1" t="n">
        <v>44099</v>
      </c>
      <c r="C1486" s="1" t="n">
        <v>45796</v>
      </c>
      <c r="D1486" t="inlineStr">
        <is>
          <t>SKÅNE LÄN</t>
        </is>
      </c>
      <c r="E1486" t="inlineStr">
        <is>
          <t>ÖSTRA GÖINGE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48220-2020</t>
        </is>
      </c>
      <c r="B1487" s="1" t="n">
        <v>44102</v>
      </c>
      <c r="C1487" s="1" t="n">
        <v>45796</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48311-2020</t>
        </is>
      </c>
      <c r="B1488" s="1" t="n">
        <v>44102</v>
      </c>
      <c r="C1488" s="1" t="n">
        <v>45796</v>
      </c>
      <c r="D1488" t="inlineStr">
        <is>
          <t>SKÅNE LÄN</t>
        </is>
      </c>
      <c r="E1488" t="inlineStr">
        <is>
          <t>ÖSTRA GÖINGE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48223-2020</t>
        </is>
      </c>
      <c r="B1489" s="1" t="n">
        <v>44102</v>
      </c>
      <c r="C1489" s="1" t="n">
        <v>45796</v>
      </c>
      <c r="D1489" t="inlineStr">
        <is>
          <t>SKÅNE LÄN</t>
        </is>
      </c>
      <c r="E1489" t="inlineStr">
        <is>
          <t>OSBY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48295-2020</t>
        </is>
      </c>
      <c r="B1490" s="1" t="n">
        <v>44102</v>
      </c>
      <c r="C1490" s="1" t="n">
        <v>45796</v>
      </c>
      <c r="D1490" t="inlineStr">
        <is>
          <t>SKÅNE LÄN</t>
        </is>
      </c>
      <c r="E1490" t="inlineStr">
        <is>
          <t>LUND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48212-2020</t>
        </is>
      </c>
      <c r="B1491" s="1" t="n">
        <v>44102</v>
      </c>
      <c r="C1491" s="1" t="n">
        <v>45796</v>
      </c>
      <c r="D1491" t="inlineStr">
        <is>
          <t>SKÅNE LÄN</t>
        </is>
      </c>
      <c r="E1491" t="inlineStr">
        <is>
          <t>HÄSSLEHOLM</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48268-2020</t>
        </is>
      </c>
      <c r="B1492" s="1" t="n">
        <v>44102</v>
      </c>
      <c r="C1492" s="1" t="n">
        <v>45796</v>
      </c>
      <c r="D1492" t="inlineStr">
        <is>
          <t>SKÅNE LÄN</t>
        </is>
      </c>
      <c r="E1492" t="inlineStr">
        <is>
          <t>OSBY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48412-2020</t>
        </is>
      </c>
      <c r="B1493" s="1" t="n">
        <v>44102</v>
      </c>
      <c r="C1493" s="1" t="n">
        <v>45796</v>
      </c>
      <c r="D1493" t="inlineStr">
        <is>
          <t>SKÅNE LÄN</t>
        </is>
      </c>
      <c r="E1493" t="inlineStr">
        <is>
          <t>OSBY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48792-2020</t>
        </is>
      </c>
      <c r="B1494" s="1" t="n">
        <v>44103</v>
      </c>
      <c r="C1494" s="1" t="n">
        <v>45796</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48486-2020</t>
        </is>
      </c>
      <c r="B1495" s="1" t="n">
        <v>44103</v>
      </c>
      <c r="C1495" s="1" t="n">
        <v>45796</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49786-2020</t>
        </is>
      </c>
      <c r="B1496" s="1" t="n">
        <v>44103</v>
      </c>
      <c r="C1496" s="1" t="n">
        <v>45796</v>
      </c>
      <c r="D1496" t="inlineStr">
        <is>
          <t>SKÅNE LÄN</t>
        </is>
      </c>
      <c r="E1496" t="inlineStr">
        <is>
          <t>HÄSSLEHOLM</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49132-2020</t>
        </is>
      </c>
      <c r="B1497" s="1" t="n">
        <v>44104</v>
      </c>
      <c r="C1497" s="1" t="n">
        <v>45796</v>
      </c>
      <c r="D1497" t="inlineStr">
        <is>
          <t>SKÅNE LÄN</t>
        </is>
      </c>
      <c r="E1497" t="inlineStr">
        <is>
          <t>ÖSTRA GÖINGE</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49389-2020</t>
        </is>
      </c>
      <c r="B1498" s="1" t="n">
        <v>44105</v>
      </c>
      <c r="C1498" s="1" t="n">
        <v>45796</v>
      </c>
      <c r="D1498" t="inlineStr">
        <is>
          <t>SKÅNE LÄN</t>
        </is>
      </c>
      <c r="E1498" t="inlineStr">
        <is>
          <t>HÄSSLEHOLM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49577-2020</t>
        </is>
      </c>
      <c r="B1499" s="1" t="n">
        <v>44106</v>
      </c>
      <c r="C1499" s="1" t="n">
        <v>45796</v>
      </c>
      <c r="D1499" t="inlineStr">
        <is>
          <t>SKÅNE LÄN</t>
        </is>
      </c>
      <c r="E1499" t="inlineStr">
        <is>
          <t>ÖRKELLJUNGA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49823-2020</t>
        </is>
      </c>
      <c r="B1500" s="1" t="n">
        <v>44106</v>
      </c>
      <c r="C1500" s="1" t="n">
        <v>45796</v>
      </c>
      <c r="D1500" t="inlineStr">
        <is>
          <t>SKÅNE LÄN</t>
        </is>
      </c>
      <c r="E1500" t="inlineStr">
        <is>
          <t>OSBY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49865-2020</t>
        </is>
      </c>
      <c r="B1501" s="1" t="n">
        <v>44107</v>
      </c>
      <c r="C1501" s="1" t="n">
        <v>45796</v>
      </c>
      <c r="D1501" t="inlineStr">
        <is>
          <t>SKÅNE LÄN</t>
        </is>
      </c>
      <c r="E1501" t="inlineStr">
        <is>
          <t>HÄSSLEHOLM</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50039-2020</t>
        </is>
      </c>
      <c r="B1502" s="1" t="n">
        <v>44109</v>
      </c>
      <c r="C1502" s="1" t="n">
        <v>45796</v>
      </c>
      <c r="D1502" t="inlineStr">
        <is>
          <t>SKÅNE LÄN</t>
        </is>
      </c>
      <c r="E1502" t="inlineStr">
        <is>
          <t>ÖSTRA GÖINGE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50094-2020</t>
        </is>
      </c>
      <c r="B1503" s="1" t="n">
        <v>44109</v>
      </c>
      <c r="C1503" s="1" t="n">
        <v>45796</v>
      </c>
      <c r="D1503" t="inlineStr">
        <is>
          <t>SKÅNE LÄN</t>
        </is>
      </c>
      <c r="E1503" t="inlineStr">
        <is>
          <t>OSBY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50046-2020</t>
        </is>
      </c>
      <c r="B1504" s="1" t="n">
        <v>44109</v>
      </c>
      <c r="C1504" s="1" t="n">
        <v>45796</v>
      </c>
      <c r="D1504" t="inlineStr">
        <is>
          <t>SKÅNE LÄN</t>
        </is>
      </c>
      <c r="E1504" t="inlineStr">
        <is>
          <t>HÄSSLEHOLM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50185-2020</t>
        </is>
      </c>
      <c r="B1505" s="1" t="n">
        <v>44109</v>
      </c>
      <c r="C1505" s="1" t="n">
        <v>45796</v>
      </c>
      <c r="D1505" t="inlineStr">
        <is>
          <t>SKÅNE LÄN</t>
        </is>
      </c>
      <c r="E1505" t="inlineStr">
        <is>
          <t>HÖÖR</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51470-2020</t>
        </is>
      </c>
      <c r="B1506" s="1" t="n">
        <v>44109</v>
      </c>
      <c r="C1506" s="1" t="n">
        <v>45796</v>
      </c>
      <c r="D1506" t="inlineStr">
        <is>
          <t>SKÅNE LÄN</t>
        </is>
      </c>
      <c r="E1506" t="inlineStr">
        <is>
          <t>ÖRKELLJUNGA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51939-2020</t>
        </is>
      </c>
      <c r="B1507" s="1" t="n">
        <v>44109</v>
      </c>
      <c r="C1507" s="1" t="n">
        <v>45796</v>
      </c>
      <c r="D1507" t="inlineStr">
        <is>
          <t>SKÅNE LÄN</t>
        </is>
      </c>
      <c r="E1507" t="inlineStr">
        <is>
          <t>KLIPPAN</t>
        </is>
      </c>
      <c r="F1507" t="inlineStr">
        <is>
          <t>Övriga Aktiebolag</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51463-2020</t>
        </is>
      </c>
      <c r="B1508" s="1" t="n">
        <v>44109</v>
      </c>
      <c r="C1508" s="1" t="n">
        <v>45796</v>
      </c>
      <c r="D1508" t="inlineStr">
        <is>
          <t>SKÅNE LÄN</t>
        </is>
      </c>
      <c r="E1508" t="inlineStr">
        <is>
          <t>ÖRKELLJUNGA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50372-2020</t>
        </is>
      </c>
      <c r="B1509" s="1" t="n">
        <v>44110</v>
      </c>
      <c r="C1509" s="1" t="n">
        <v>45796</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50371-2020</t>
        </is>
      </c>
      <c r="B1510" s="1" t="n">
        <v>44110</v>
      </c>
      <c r="C1510" s="1" t="n">
        <v>45796</v>
      </c>
      <c r="D1510" t="inlineStr">
        <is>
          <t>SKÅNE LÄN</t>
        </is>
      </c>
      <c r="E1510" t="inlineStr">
        <is>
          <t>HÄSSLEHOLM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51046-2020</t>
        </is>
      </c>
      <c r="B1511" s="1" t="n">
        <v>44112</v>
      </c>
      <c r="C1511" s="1" t="n">
        <v>45796</v>
      </c>
      <c r="D1511" t="inlineStr">
        <is>
          <t>SKÅNE LÄN</t>
        </is>
      </c>
      <c r="E1511" t="inlineStr">
        <is>
          <t>KLIPPAN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51052-2020</t>
        </is>
      </c>
      <c r="B1512" s="1" t="n">
        <v>44112</v>
      </c>
      <c r="C1512" s="1" t="n">
        <v>45796</v>
      </c>
      <c r="D1512" t="inlineStr">
        <is>
          <t>SKÅNE LÄN</t>
        </is>
      </c>
      <c r="E1512" t="inlineStr">
        <is>
          <t>KLIPPAN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52383-2020</t>
        </is>
      </c>
      <c r="B1513" s="1" t="n">
        <v>44112</v>
      </c>
      <c r="C1513" s="1" t="n">
        <v>45796</v>
      </c>
      <c r="D1513" t="inlineStr">
        <is>
          <t>SKÅNE LÄN</t>
        </is>
      </c>
      <c r="E1513" t="inlineStr">
        <is>
          <t>KRISTIANSTAD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51588-2020</t>
        </is>
      </c>
      <c r="B1514" s="1" t="n">
        <v>44113</v>
      </c>
      <c r="C1514" s="1" t="n">
        <v>45796</v>
      </c>
      <c r="D1514" t="inlineStr">
        <is>
          <t>SKÅNE LÄN</t>
        </is>
      </c>
      <c r="E1514" t="inlineStr">
        <is>
          <t>OSBY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51576-2020</t>
        </is>
      </c>
      <c r="B1515" s="1" t="n">
        <v>44113</v>
      </c>
      <c r="C1515" s="1" t="n">
        <v>45796</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51844-2020</t>
        </is>
      </c>
      <c r="B1516" s="1" t="n">
        <v>44116</v>
      </c>
      <c r="C1516" s="1" t="n">
        <v>45796</v>
      </c>
      <c r="D1516" t="inlineStr">
        <is>
          <t>SKÅNE LÄN</t>
        </is>
      </c>
      <c r="E1516" t="inlineStr">
        <is>
          <t>HÖÖR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52023-2020</t>
        </is>
      </c>
      <c r="B1517" s="1" t="n">
        <v>44116</v>
      </c>
      <c r="C1517" s="1" t="n">
        <v>45796</v>
      </c>
      <c r="D1517" t="inlineStr">
        <is>
          <t>SKÅNE LÄN</t>
        </is>
      </c>
      <c r="E1517" t="inlineStr">
        <is>
          <t>TOMELILLA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52561-2020</t>
        </is>
      </c>
      <c r="B1518" s="1" t="n">
        <v>44116</v>
      </c>
      <c r="C1518" s="1" t="n">
        <v>45796</v>
      </c>
      <c r="D1518" t="inlineStr">
        <is>
          <t>SKÅNE LÄN</t>
        </is>
      </c>
      <c r="E1518" t="inlineStr">
        <is>
          <t>HÄSSLEHOLM</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51857-2020</t>
        </is>
      </c>
      <c r="B1519" s="1" t="n">
        <v>44116</v>
      </c>
      <c r="C1519" s="1" t="n">
        <v>45796</v>
      </c>
      <c r="D1519" t="inlineStr">
        <is>
          <t>SKÅNE LÄN</t>
        </is>
      </c>
      <c r="E1519" t="inlineStr">
        <is>
          <t>HÖÖR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52496-2020</t>
        </is>
      </c>
      <c r="B1520" s="1" t="n">
        <v>44116</v>
      </c>
      <c r="C1520" s="1" t="n">
        <v>45796</v>
      </c>
      <c r="D1520" t="inlineStr">
        <is>
          <t>SKÅNE LÄN</t>
        </is>
      </c>
      <c r="E1520" t="inlineStr">
        <is>
          <t>TOMELILLA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52708-2020</t>
        </is>
      </c>
      <c r="B1521" s="1" t="n">
        <v>44116</v>
      </c>
      <c r="C1521" s="1" t="n">
        <v>45796</v>
      </c>
      <c r="D1521" t="inlineStr">
        <is>
          <t>SKÅNE LÄN</t>
        </is>
      </c>
      <c r="E1521" t="inlineStr">
        <is>
          <t>HÖÖR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52132-2020</t>
        </is>
      </c>
      <c r="B1522" s="1" t="n">
        <v>44117</v>
      </c>
      <c r="C1522" s="1" t="n">
        <v>45796</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52145-2020</t>
        </is>
      </c>
      <c r="B1523" s="1" t="n">
        <v>44117</v>
      </c>
      <c r="C1523" s="1" t="n">
        <v>45796</v>
      </c>
      <c r="D1523" t="inlineStr">
        <is>
          <t>SKÅNE LÄN</t>
        </is>
      </c>
      <c r="E1523" t="inlineStr">
        <is>
          <t>ÖRKELLJUNGA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52653-2020</t>
        </is>
      </c>
      <c r="B1524" s="1" t="n">
        <v>44117</v>
      </c>
      <c r="C1524" s="1" t="n">
        <v>45796</v>
      </c>
      <c r="D1524" t="inlineStr">
        <is>
          <t>SKÅNE LÄN</t>
        </is>
      </c>
      <c r="E1524" t="inlineStr">
        <is>
          <t>KLIPPAN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52266-2020</t>
        </is>
      </c>
      <c r="B1525" s="1" t="n">
        <v>44117</v>
      </c>
      <c r="C1525" s="1" t="n">
        <v>45796</v>
      </c>
      <c r="D1525" t="inlineStr">
        <is>
          <t>SKÅNE LÄN</t>
        </is>
      </c>
      <c r="E1525" t="inlineStr">
        <is>
          <t>HÖÖR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52852-2020</t>
        </is>
      </c>
      <c r="B1526" s="1" t="n">
        <v>44119</v>
      </c>
      <c r="C1526" s="1" t="n">
        <v>45796</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52863-2020</t>
        </is>
      </c>
      <c r="B1527" s="1" t="n">
        <v>44119</v>
      </c>
      <c r="C1527" s="1" t="n">
        <v>45796</v>
      </c>
      <c r="D1527" t="inlineStr">
        <is>
          <t>SKÅNE LÄN</t>
        </is>
      </c>
      <c r="E1527" t="inlineStr">
        <is>
          <t>HÄSSLEHOLM</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52860-2020</t>
        </is>
      </c>
      <c r="B1528" s="1" t="n">
        <v>44119</v>
      </c>
      <c r="C1528" s="1" t="n">
        <v>45796</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53159-2020</t>
        </is>
      </c>
      <c r="B1529" s="1" t="n">
        <v>44120</v>
      </c>
      <c r="C1529" s="1" t="n">
        <v>45796</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53252-2020</t>
        </is>
      </c>
      <c r="B1530" s="1" t="n">
        <v>44123</v>
      </c>
      <c r="C1530" s="1" t="n">
        <v>45796</v>
      </c>
      <c r="D1530" t="inlineStr">
        <is>
          <t>SKÅNE LÄN</t>
        </is>
      </c>
      <c r="E1530" t="inlineStr">
        <is>
          <t>BROMÖLLA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53328-2020</t>
        </is>
      </c>
      <c r="B1531" s="1" t="n">
        <v>44123</v>
      </c>
      <c r="C1531" s="1" t="n">
        <v>45796</v>
      </c>
      <c r="D1531" t="inlineStr">
        <is>
          <t>SKÅNE LÄN</t>
        </is>
      </c>
      <c r="E1531" t="inlineStr">
        <is>
          <t>ÖSTRA GÖINGE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53658-2020</t>
        </is>
      </c>
      <c r="B1532" s="1" t="n">
        <v>44124</v>
      </c>
      <c r="C1532" s="1" t="n">
        <v>45796</v>
      </c>
      <c r="D1532" t="inlineStr">
        <is>
          <t>SKÅNE LÄN</t>
        </is>
      </c>
      <c r="E1532" t="inlineStr">
        <is>
          <t>OSBY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53656-2020</t>
        </is>
      </c>
      <c r="B1533" s="1" t="n">
        <v>44124</v>
      </c>
      <c r="C1533" s="1" t="n">
        <v>45796</v>
      </c>
      <c r="D1533" t="inlineStr">
        <is>
          <t>SKÅNE LÄN</t>
        </is>
      </c>
      <c r="E1533" t="inlineStr">
        <is>
          <t>OSBY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54081-2020</t>
        </is>
      </c>
      <c r="B1534" s="1" t="n">
        <v>44125</v>
      </c>
      <c r="C1534" s="1" t="n">
        <v>45796</v>
      </c>
      <c r="D1534" t="inlineStr">
        <is>
          <t>SKÅNE LÄN</t>
        </is>
      </c>
      <c r="E1534" t="inlineStr">
        <is>
          <t>HÄSSLEHOLM</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54079-2020</t>
        </is>
      </c>
      <c r="B1535" s="1" t="n">
        <v>44125</v>
      </c>
      <c r="C1535" s="1" t="n">
        <v>45796</v>
      </c>
      <c r="D1535" t="inlineStr">
        <is>
          <t>SKÅNE LÄN</t>
        </is>
      </c>
      <c r="E1535" t="inlineStr">
        <is>
          <t>HÄSSLEHOLM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54046-2020</t>
        </is>
      </c>
      <c r="B1536" s="1" t="n">
        <v>44125</v>
      </c>
      <c r="C1536" s="1" t="n">
        <v>45796</v>
      </c>
      <c r="D1536" t="inlineStr">
        <is>
          <t>SKÅNE LÄN</t>
        </is>
      </c>
      <c r="E1536" t="inlineStr">
        <is>
          <t>BROMÖLLA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54084-2020</t>
        </is>
      </c>
      <c r="B1537" s="1" t="n">
        <v>44125</v>
      </c>
      <c r="C1537" s="1" t="n">
        <v>45796</v>
      </c>
      <c r="D1537" t="inlineStr">
        <is>
          <t>SKÅNE LÄN</t>
        </is>
      </c>
      <c r="E1537" t="inlineStr">
        <is>
          <t>HÄSSLEHOLM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54371-2020</t>
        </is>
      </c>
      <c r="B1538" s="1" t="n">
        <v>44126</v>
      </c>
      <c r="C1538" s="1" t="n">
        <v>45796</v>
      </c>
      <c r="D1538" t="inlineStr">
        <is>
          <t>SKÅNE LÄN</t>
        </is>
      </c>
      <c r="E1538" t="inlineStr">
        <is>
          <t>HÄSSLEHOLM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54363-2020</t>
        </is>
      </c>
      <c r="B1539" s="1" t="n">
        <v>44126</v>
      </c>
      <c r="C1539" s="1" t="n">
        <v>45796</v>
      </c>
      <c r="D1539" t="inlineStr">
        <is>
          <t>SKÅNE LÄN</t>
        </is>
      </c>
      <c r="E1539" t="inlineStr">
        <is>
          <t>HÄSSLEHOLM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54493-2020</t>
        </is>
      </c>
      <c r="B1540" s="1" t="n">
        <v>44126</v>
      </c>
      <c r="C1540" s="1" t="n">
        <v>45796</v>
      </c>
      <c r="D1540" t="inlineStr">
        <is>
          <t>SKÅNE LÄN</t>
        </is>
      </c>
      <c r="E1540" t="inlineStr">
        <is>
          <t>HÄSSLEHOLM</t>
        </is>
      </c>
      <c r="F1540" t="inlineStr">
        <is>
          <t>Kyrkan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54359-2020</t>
        </is>
      </c>
      <c r="B1541" s="1" t="n">
        <v>44126</v>
      </c>
      <c r="C1541" s="1" t="n">
        <v>45796</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54365-2020</t>
        </is>
      </c>
      <c r="B1542" s="1" t="n">
        <v>44126</v>
      </c>
      <c r="C1542" s="1" t="n">
        <v>45796</v>
      </c>
      <c r="D1542" t="inlineStr">
        <is>
          <t>SKÅNE LÄN</t>
        </is>
      </c>
      <c r="E1542" t="inlineStr">
        <is>
          <t>HÄSSLEHOLM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54374-2020</t>
        </is>
      </c>
      <c r="B1543" s="1" t="n">
        <v>44126</v>
      </c>
      <c r="C1543" s="1" t="n">
        <v>45796</v>
      </c>
      <c r="D1543" t="inlineStr">
        <is>
          <t>SKÅNE LÄN</t>
        </is>
      </c>
      <c r="E1543" t="inlineStr">
        <is>
          <t>HÄSSLEHOLM</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54544-2020</t>
        </is>
      </c>
      <c r="B1544" s="1" t="n">
        <v>44126</v>
      </c>
      <c r="C1544" s="1" t="n">
        <v>45796</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54545-2020</t>
        </is>
      </c>
      <c r="B1545" s="1" t="n">
        <v>44126</v>
      </c>
      <c r="C1545" s="1" t="n">
        <v>45796</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54362-2020</t>
        </is>
      </c>
      <c r="B1546" s="1" t="n">
        <v>44126</v>
      </c>
      <c r="C1546" s="1" t="n">
        <v>45796</v>
      </c>
      <c r="D1546" t="inlineStr">
        <is>
          <t>SKÅNE LÄN</t>
        </is>
      </c>
      <c r="E1546" t="inlineStr">
        <is>
          <t>HÄSSLEHOLM</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55066-2020</t>
        </is>
      </c>
      <c r="B1547" s="1" t="n">
        <v>44127</v>
      </c>
      <c r="C1547" s="1" t="n">
        <v>45796</v>
      </c>
      <c r="D1547" t="inlineStr">
        <is>
          <t>SKÅNE LÄN</t>
        </is>
      </c>
      <c r="E1547" t="inlineStr">
        <is>
          <t>YSTAD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54937-2020</t>
        </is>
      </c>
      <c r="B1548" s="1" t="n">
        <v>44127</v>
      </c>
      <c r="C1548" s="1" t="n">
        <v>45796</v>
      </c>
      <c r="D1548" t="inlineStr">
        <is>
          <t>SKÅNE LÄN</t>
        </is>
      </c>
      <c r="E1548" t="inlineStr">
        <is>
          <t>SJÖBO</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54965-2020</t>
        </is>
      </c>
      <c r="B1549" s="1" t="n">
        <v>44130</v>
      </c>
      <c r="C1549" s="1" t="n">
        <v>45796</v>
      </c>
      <c r="D1549" t="inlineStr">
        <is>
          <t>SKÅNE LÄN</t>
        </is>
      </c>
      <c r="E1549" t="inlineStr">
        <is>
          <t>OSBY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55638-2020</t>
        </is>
      </c>
      <c r="B1550" s="1" t="n">
        <v>44131</v>
      </c>
      <c r="C1550" s="1" t="n">
        <v>45796</v>
      </c>
      <c r="D1550" t="inlineStr">
        <is>
          <t>SKÅNE LÄN</t>
        </is>
      </c>
      <c r="E1550" t="inlineStr">
        <is>
          <t>HÖÖR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55636-2020</t>
        </is>
      </c>
      <c r="B1551" s="1" t="n">
        <v>44131</v>
      </c>
      <c r="C1551" s="1" t="n">
        <v>45796</v>
      </c>
      <c r="D1551" t="inlineStr">
        <is>
          <t>SKÅNE LÄN</t>
        </is>
      </c>
      <c r="E1551" t="inlineStr">
        <is>
          <t>HÖÖR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55639-2020</t>
        </is>
      </c>
      <c r="B1552" s="1" t="n">
        <v>44131</v>
      </c>
      <c r="C1552" s="1" t="n">
        <v>45796</v>
      </c>
      <c r="D1552" t="inlineStr">
        <is>
          <t>SKÅNE LÄN</t>
        </is>
      </c>
      <c r="E1552" t="inlineStr">
        <is>
          <t>HÖÖR</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56158-2020</t>
        </is>
      </c>
      <c r="B1553" s="1" t="n">
        <v>44133</v>
      </c>
      <c r="C1553" s="1" t="n">
        <v>45796</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55979-2020</t>
        </is>
      </c>
      <c r="B1554" s="1" t="n">
        <v>44133</v>
      </c>
      <c r="C1554" s="1" t="n">
        <v>45796</v>
      </c>
      <c r="D1554" t="inlineStr">
        <is>
          <t>SKÅNE LÄN</t>
        </is>
      </c>
      <c r="E1554" t="inlineStr">
        <is>
          <t>KRISTIANSTAD</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56150-2020</t>
        </is>
      </c>
      <c r="B1555" s="1" t="n">
        <v>44133</v>
      </c>
      <c r="C1555" s="1" t="n">
        <v>45796</v>
      </c>
      <c r="D1555" t="inlineStr">
        <is>
          <t>SKÅNE LÄN</t>
        </is>
      </c>
      <c r="E1555" t="inlineStr">
        <is>
          <t>ÖSTRA GÖINGE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56521-2020</t>
        </is>
      </c>
      <c r="B1556" s="1" t="n">
        <v>44133</v>
      </c>
      <c r="C1556" s="1" t="n">
        <v>45796</v>
      </c>
      <c r="D1556" t="inlineStr">
        <is>
          <t>SKÅNE LÄN</t>
        </is>
      </c>
      <c r="E1556" t="inlineStr">
        <is>
          <t>KRISTIANSTAD</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56462-2020</t>
        </is>
      </c>
      <c r="B1557" s="1" t="n">
        <v>44133</v>
      </c>
      <c r="C1557" s="1" t="n">
        <v>45796</v>
      </c>
      <c r="D1557" t="inlineStr">
        <is>
          <t>SKÅNE LÄN</t>
        </is>
      </c>
      <c r="E1557" t="inlineStr">
        <is>
          <t>TOMELILLA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56734-2020</t>
        </is>
      </c>
      <c r="B1558" s="1" t="n">
        <v>44137</v>
      </c>
      <c r="C1558" s="1" t="n">
        <v>45796</v>
      </c>
      <c r="D1558" t="inlineStr">
        <is>
          <t>SKÅNE LÄN</t>
        </is>
      </c>
      <c r="E1558" t="inlineStr">
        <is>
          <t>OSBY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57017-2020</t>
        </is>
      </c>
      <c r="B1559" s="1" t="n">
        <v>44138</v>
      </c>
      <c r="C1559" s="1" t="n">
        <v>45796</v>
      </c>
      <c r="D1559" t="inlineStr">
        <is>
          <t>SKÅNE LÄN</t>
        </is>
      </c>
      <c r="E1559" t="inlineStr">
        <is>
          <t>ÖSTRA GÖINGE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57452-2020</t>
        </is>
      </c>
      <c r="B1560" s="1" t="n">
        <v>44140</v>
      </c>
      <c r="C1560" s="1" t="n">
        <v>45796</v>
      </c>
      <c r="D1560" t="inlineStr">
        <is>
          <t>SKÅNE LÄN</t>
        </is>
      </c>
      <c r="E1560" t="inlineStr">
        <is>
          <t>PERSTORP</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57669-2020</t>
        </is>
      </c>
      <c r="B1561" s="1" t="n">
        <v>44140</v>
      </c>
      <c r="C1561" s="1" t="n">
        <v>45796</v>
      </c>
      <c r="D1561" t="inlineStr">
        <is>
          <t>SKÅNE LÄN</t>
        </is>
      </c>
      <c r="E1561" t="inlineStr">
        <is>
          <t>OSBY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57671-2020</t>
        </is>
      </c>
      <c r="B1562" s="1" t="n">
        <v>44140</v>
      </c>
      <c r="C1562" s="1" t="n">
        <v>45796</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57928-2020</t>
        </is>
      </c>
      <c r="B1563" s="1" t="n">
        <v>44141</v>
      </c>
      <c r="C1563" s="1" t="n">
        <v>45796</v>
      </c>
      <c r="D1563" t="inlineStr">
        <is>
          <t>SKÅNE LÄN</t>
        </is>
      </c>
      <c r="E1563" t="inlineStr">
        <is>
          <t>KRISTIANSTAD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57832-2020</t>
        </is>
      </c>
      <c r="B1564" s="1" t="n">
        <v>44141</v>
      </c>
      <c r="C1564" s="1" t="n">
        <v>45796</v>
      </c>
      <c r="D1564" t="inlineStr">
        <is>
          <t>SKÅNE LÄN</t>
        </is>
      </c>
      <c r="E1564" t="inlineStr">
        <is>
          <t>KRISTIANSTAD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57811-2020</t>
        </is>
      </c>
      <c r="B1565" s="1" t="n">
        <v>44141</v>
      </c>
      <c r="C1565" s="1" t="n">
        <v>45796</v>
      </c>
      <c r="D1565" t="inlineStr">
        <is>
          <t>SKÅNE LÄN</t>
        </is>
      </c>
      <c r="E1565" t="inlineStr">
        <is>
          <t>HÄSSLEHOLM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57840-2020</t>
        </is>
      </c>
      <c r="B1566" s="1" t="n">
        <v>44141</v>
      </c>
      <c r="C1566" s="1" t="n">
        <v>45796</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57956-2020</t>
        </is>
      </c>
      <c r="B1567" s="1" t="n">
        <v>44143</v>
      </c>
      <c r="C1567" s="1" t="n">
        <v>45796</v>
      </c>
      <c r="D1567" t="inlineStr">
        <is>
          <t>SKÅNE LÄN</t>
        </is>
      </c>
      <c r="E1567" t="inlineStr">
        <is>
          <t>OSBY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58091-2020</t>
        </is>
      </c>
      <c r="B1568" s="1" t="n">
        <v>44144</v>
      </c>
      <c r="C1568" s="1" t="n">
        <v>45796</v>
      </c>
      <c r="D1568" t="inlineStr">
        <is>
          <t>SKÅNE LÄN</t>
        </is>
      </c>
      <c r="E1568" t="inlineStr">
        <is>
          <t>HÄSSLEHOLM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58297-2020</t>
        </is>
      </c>
      <c r="B1569" s="1" t="n">
        <v>44144</v>
      </c>
      <c r="C1569" s="1" t="n">
        <v>45796</v>
      </c>
      <c r="D1569" t="inlineStr">
        <is>
          <t>SKÅNE LÄN</t>
        </is>
      </c>
      <c r="E1569" t="inlineStr">
        <is>
          <t>KRISTIANSTAD</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58370-2020</t>
        </is>
      </c>
      <c r="B1570" s="1" t="n">
        <v>44144</v>
      </c>
      <c r="C1570" s="1" t="n">
        <v>45796</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58509-2020</t>
        </is>
      </c>
      <c r="B1571" s="1" t="n">
        <v>44144</v>
      </c>
      <c r="C1571" s="1" t="n">
        <v>45796</v>
      </c>
      <c r="D1571" t="inlineStr">
        <is>
          <t>SKÅNE LÄN</t>
        </is>
      </c>
      <c r="E1571" t="inlineStr">
        <is>
          <t>HÄSSLEHOLM</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58595-2020</t>
        </is>
      </c>
      <c r="B1572" s="1" t="n">
        <v>44145</v>
      </c>
      <c r="C1572" s="1" t="n">
        <v>45796</v>
      </c>
      <c r="D1572" t="inlineStr">
        <is>
          <t>SKÅNE LÄN</t>
        </is>
      </c>
      <c r="E1572" t="inlineStr">
        <is>
          <t>HÖRBY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58887-2020</t>
        </is>
      </c>
      <c r="B1573" s="1" t="n">
        <v>44146</v>
      </c>
      <c r="C1573" s="1" t="n">
        <v>45796</v>
      </c>
      <c r="D1573" t="inlineStr">
        <is>
          <t>SKÅNE LÄN</t>
        </is>
      </c>
      <c r="E1573" t="inlineStr">
        <is>
          <t>KRISTIANSTAD</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58848-2020</t>
        </is>
      </c>
      <c r="B1574" s="1" t="n">
        <v>44146</v>
      </c>
      <c r="C1574" s="1" t="n">
        <v>45796</v>
      </c>
      <c r="D1574" t="inlineStr">
        <is>
          <t>SKÅNE LÄN</t>
        </is>
      </c>
      <c r="E1574" t="inlineStr">
        <is>
          <t>KRISTIANSTAD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59145-2020</t>
        </is>
      </c>
      <c r="B1575" s="1" t="n">
        <v>44147</v>
      </c>
      <c r="C1575" s="1" t="n">
        <v>45796</v>
      </c>
      <c r="D1575" t="inlineStr">
        <is>
          <t>SKÅNE LÄN</t>
        </is>
      </c>
      <c r="E1575" t="inlineStr">
        <is>
          <t>HÖÖR</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59295-2020</t>
        </is>
      </c>
      <c r="B1576" s="1" t="n">
        <v>44147</v>
      </c>
      <c r="C1576" s="1" t="n">
        <v>45796</v>
      </c>
      <c r="D1576" t="inlineStr">
        <is>
          <t>SKÅNE LÄN</t>
        </is>
      </c>
      <c r="E1576" t="inlineStr">
        <is>
          <t>HÄSSLEHOLM</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59302-2020</t>
        </is>
      </c>
      <c r="B1577" s="1" t="n">
        <v>44147</v>
      </c>
      <c r="C1577" s="1" t="n">
        <v>45796</v>
      </c>
      <c r="D1577" t="inlineStr">
        <is>
          <t>SKÅNE LÄN</t>
        </is>
      </c>
      <c r="E1577" t="inlineStr">
        <is>
          <t>HÄSSLEHOLM</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59418-2020</t>
        </is>
      </c>
      <c r="B1578" s="1" t="n">
        <v>44148</v>
      </c>
      <c r="C1578" s="1" t="n">
        <v>45796</v>
      </c>
      <c r="D1578" t="inlineStr">
        <is>
          <t>SKÅNE LÄN</t>
        </is>
      </c>
      <c r="E1578" t="inlineStr">
        <is>
          <t>HÄSSLEHOLM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59542-2020</t>
        </is>
      </c>
      <c r="B1579" s="1" t="n">
        <v>44148</v>
      </c>
      <c r="C1579" s="1" t="n">
        <v>45796</v>
      </c>
      <c r="D1579" t="inlineStr">
        <is>
          <t>SKÅNE LÄN</t>
        </is>
      </c>
      <c r="E1579" t="inlineStr">
        <is>
          <t>HÄSSLEHOLM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59341-2020</t>
        </is>
      </c>
      <c r="B1580" s="1" t="n">
        <v>44148</v>
      </c>
      <c r="C1580" s="1" t="n">
        <v>45796</v>
      </c>
      <c r="D1580" t="inlineStr">
        <is>
          <t>SKÅNE LÄN</t>
        </is>
      </c>
      <c r="E1580" t="inlineStr">
        <is>
          <t>ÖRKELLJUNGA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59744-2020</t>
        </is>
      </c>
      <c r="B1581" s="1" t="n">
        <v>44151</v>
      </c>
      <c r="C1581" s="1" t="n">
        <v>45796</v>
      </c>
      <c r="D1581" t="inlineStr">
        <is>
          <t>SKÅNE LÄN</t>
        </is>
      </c>
      <c r="E1581" t="inlineStr">
        <is>
          <t>SVALÖV</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60206-2020</t>
        </is>
      </c>
      <c r="B1582" s="1" t="n">
        <v>44152</v>
      </c>
      <c r="C1582" s="1" t="n">
        <v>45796</v>
      </c>
      <c r="D1582" t="inlineStr">
        <is>
          <t>SKÅNE LÄN</t>
        </is>
      </c>
      <c r="E1582" t="inlineStr">
        <is>
          <t>ÖSTRA GÖINGE</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60597-2020</t>
        </is>
      </c>
      <c r="B1583" s="1" t="n">
        <v>44152</v>
      </c>
      <c r="C1583" s="1" t="n">
        <v>45796</v>
      </c>
      <c r="D1583" t="inlineStr">
        <is>
          <t>SKÅNE LÄN</t>
        </is>
      </c>
      <c r="E1583" t="inlineStr">
        <is>
          <t>HÄSSLEHOLM</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60449-2020</t>
        </is>
      </c>
      <c r="B1584" s="1" t="n">
        <v>44153</v>
      </c>
      <c r="C1584" s="1" t="n">
        <v>45796</v>
      </c>
      <c r="D1584" t="inlineStr">
        <is>
          <t>SKÅNE LÄN</t>
        </is>
      </c>
      <c r="E1584" t="inlineStr">
        <is>
          <t>BROMÖLLA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60682-2020</t>
        </is>
      </c>
      <c r="B1585" s="1" t="n">
        <v>44153</v>
      </c>
      <c r="C1585" s="1" t="n">
        <v>45796</v>
      </c>
      <c r="D1585" t="inlineStr">
        <is>
          <t>SKÅNE LÄN</t>
        </is>
      </c>
      <c r="E1585" t="inlineStr">
        <is>
          <t>OSBY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61038-2020</t>
        </is>
      </c>
      <c r="B1586" s="1" t="n">
        <v>44154</v>
      </c>
      <c r="C1586" s="1" t="n">
        <v>45796</v>
      </c>
      <c r="D1586" t="inlineStr">
        <is>
          <t>SKÅNE LÄN</t>
        </is>
      </c>
      <c r="E1586" t="inlineStr">
        <is>
          <t>KLIPPAN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60837-2020</t>
        </is>
      </c>
      <c r="B1587" s="1" t="n">
        <v>44154</v>
      </c>
      <c r="C1587" s="1" t="n">
        <v>45796</v>
      </c>
      <c r="D1587" t="inlineStr">
        <is>
          <t>SKÅNE LÄN</t>
        </is>
      </c>
      <c r="E1587" t="inlineStr">
        <is>
          <t>ÖSTRA GÖINGE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60875-2020</t>
        </is>
      </c>
      <c r="B1588" s="1" t="n">
        <v>44154</v>
      </c>
      <c r="C1588" s="1" t="n">
        <v>45796</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60879-2020</t>
        </is>
      </c>
      <c r="B1589" s="1" t="n">
        <v>44154</v>
      </c>
      <c r="C1589" s="1" t="n">
        <v>45796</v>
      </c>
      <c r="D1589" t="inlineStr">
        <is>
          <t>SKÅNE LÄN</t>
        </is>
      </c>
      <c r="E1589" t="inlineStr">
        <is>
          <t>ÖRKELLJUNGA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60840-2020</t>
        </is>
      </c>
      <c r="B1590" s="1" t="n">
        <v>44154</v>
      </c>
      <c r="C1590" s="1" t="n">
        <v>45796</v>
      </c>
      <c r="D1590" t="inlineStr">
        <is>
          <t>SKÅNE LÄN</t>
        </is>
      </c>
      <c r="E1590" t="inlineStr">
        <is>
          <t>ÖSTRA GÖINGE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61108-2020</t>
        </is>
      </c>
      <c r="B1591" s="1" t="n">
        <v>44154</v>
      </c>
      <c r="C1591" s="1" t="n">
        <v>45796</v>
      </c>
      <c r="D1591" t="inlineStr">
        <is>
          <t>SKÅNE LÄN</t>
        </is>
      </c>
      <c r="E1591" t="inlineStr">
        <is>
          <t>ÖRKELLJUNGA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61276-2020</t>
        </is>
      </c>
      <c r="B1592" s="1" t="n">
        <v>44155</v>
      </c>
      <c r="C1592" s="1" t="n">
        <v>45796</v>
      </c>
      <c r="D1592" t="inlineStr">
        <is>
          <t>SKÅNE LÄN</t>
        </is>
      </c>
      <c r="E1592" t="inlineStr">
        <is>
          <t>ÖSTRA GÖINGE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61211-2020</t>
        </is>
      </c>
      <c r="B1593" s="1" t="n">
        <v>44155</v>
      </c>
      <c r="C1593" s="1" t="n">
        <v>45796</v>
      </c>
      <c r="D1593" t="inlineStr">
        <is>
          <t>SKÅNE LÄN</t>
        </is>
      </c>
      <c r="E1593" t="inlineStr">
        <is>
          <t>ÖRKELLJUNGA</t>
        </is>
      </c>
      <c r="F1593" t="inlineStr">
        <is>
          <t>Kyrkan</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61223-2020</t>
        </is>
      </c>
      <c r="B1594" s="1" t="n">
        <v>44155</v>
      </c>
      <c r="C1594" s="1" t="n">
        <v>45796</v>
      </c>
      <c r="D1594" t="inlineStr">
        <is>
          <t>SKÅNE LÄN</t>
        </is>
      </c>
      <c r="E1594" t="inlineStr">
        <is>
          <t>SVALÖV</t>
        </is>
      </c>
      <c r="F1594" t="inlineStr">
        <is>
          <t>Kyrkan</t>
        </is>
      </c>
      <c r="G1594" t="n">
        <v>11.1</v>
      </c>
      <c r="H1594" t="n">
        <v>0</v>
      </c>
      <c r="I1594" t="n">
        <v>0</v>
      </c>
      <c r="J1594" t="n">
        <v>0</v>
      </c>
      <c r="K1594" t="n">
        <v>0</v>
      </c>
      <c r="L1594" t="n">
        <v>0</v>
      </c>
      <c r="M1594" t="n">
        <v>0</v>
      </c>
      <c r="N1594" t="n">
        <v>0</v>
      </c>
      <c r="O1594" t="n">
        <v>0</v>
      </c>
      <c r="P1594" t="n">
        <v>0</v>
      </c>
      <c r="Q1594" t="n">
        <v>0</v>
      </c>
      <c r="R1594" s="2" t="inlineStr"/>
    </row>
    <row r="1595" ht="15" customHeight="1">
      <c r="A1595" t="inlineStr">
        <is>
          <t>A 61238-2020</t>
        </is>
      </c>
      <c r="B1595" s="1" t="n">
        <v>44155</v>
      </c>
      <c r="C1595" s="1" t="n">
        <v>45796</v>
      </c>
      <c r="D1595" t="inlineStr">
        <is>
          <t>SKÅNE LÄN</t>
        </is>
      </c>
      <c r="E1595" t="inlineStr">
        <is>
          <t>HÖRBY</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61216-2020</t>
        </is>
      </c>
      <c r="B1596" s="1" t="n">
        <v>44155</v>
      </c>
      <c r="C1596" s="1" t="n">
        <v>45796</v>
      </c>
      <c r="D1596" t="inlineStr">
        <is>
          <t>SKÅNE LÄN</t>
        </is>
      </c>
      <c r="E1596" t="inlineStr">
        <is>
          <t>HÄSSLEHOLM</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61233-2020</t>
        </is>
      </c>
      <c r="B1597" s="1" t="n">
        <v>44155</v>
      </c>
      <c r="C1597" s="1" t="n">
        <v>45796</v>
      </c>
      <c r="D1597" t="inlineStr">
        <is>
          <t>SKÅNE LÄN</t>
        </is>
      </c>
      <c r="E1597" t="inlineStr">
        <is>
          <t>HÄSSLEHOLM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61779-2020</t>
        </is>
      </c>
      <c r="B1598" s="1" t="n">
        <v>44158</v>
      </c>
      <c r="C1598" s="1" t="n">
        <v>45796</v>
      </c>
      <c r="D1598" t="inlineStr">
        <is>
          <t>SKÅNE LÄN</t>
        </is>
      </c>
      <c r="E1598" t="inlineStr">
        <is>
          <t>KLIPPAN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61592-2020</t>
        </is>
      </c>
      <c r="B1599" s="1" t="n">
        <v>44158</v>
      </c>
      <c r="C1599" s="1" t="n">
        <v>45796</v>
      </c>
      <c r="D1599" t="inlineStr">
        <is>
          <t>SKÅNE LÄN</t>
        </is>
      </c>
      <c r="E1599" t="inlineStr">
        <is>
          <t>OSBY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62300-2020</t>
        </is>
      </c>
      <c r="B1600" s="1" t="n">
        <v>44158</v>
      </c>
      <c r="C1600" s="1" t="n">
        <v>45796</v>
      </c>
      <c r="D1600" t="inlineStr">
        <is>
          <t>SKÅNE LÄN</t>
        </is>
      </c>
      <c r="E1600" t="inlineStr">
        <is>
          <t>SVEDALA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62111-2020</t>
        </is>
      </c>
      <c r="B1601" s="1" t="n">
        <v>44159</v>
      </c>
      <c r="C1601" s="1" t="n">
        <v>45796</v>
      </c>
      <c r="D1601" t="inlineStr">
        <is>
          <t>SKÅNE LÄN</t>
        </is>
      </c>
      <c r="E1601" t="inlineStr">
        <is>
          <t>OSBY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62122-2020</t>
        </is>
      </c>
      <c r="B1602" s="1" t="n">
        <v>44159</v>
      </c>
      <c r="C1602" s="1" t="n">
        <v>45796</v>
      </c>
      <c r="D1602" t="inlineStr">
        <is>
          <t>SKÅNE LÄN</t>
        </is>
      </c>
      <c r="E1602" t="inlineStr">
        <is>
          <t>OSBY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62425-2020</t>
        </is>
      </c>
      <c r="B1603" s="1" t="n">
        <v>44159</v>
      </c>
      <c r="C1603" s="1" t="n">
        <v>45796</v>
      </c>
      <c r="D1603" t="inlineStr">
        <is>
          <t>SKÅNE LÄN</t>
        </is>
      </c>
      <c r="E1603" t="inlineStr">
        <is>
          <t>SVALÖV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62422-2020</t>
        </is>
      </c>
      <c r="B1604" s="1" t="n">
        <v>44159</v>
      </c>
      <c r="C1604" s="1" t="n">
        <v>45796</v>
      </c>
      <c r="D1604" t="inlineStr">
        <is>
          <t>SKÅNE LÄN</t>
        </is>
      </c>
      <c r="E1604" t="inlineStr">
        <is>
          <t>ESLÖV</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62447-2020</t>
        </is>
      </c>
      <c r="B1605" s="1" t="n">
        <v>44159</v>
      </c>
      <c r="C1605" s="1" t="n">
        <v>45796</v>
      </c>
      <c r="D1605" t="inlineStr">
        <is>
          <t>SKÅNE LÄN</t>
        </is>
      </c>
      <c r="E1605" t="inlineStr">
        <is>
          <t>KRISTIANSTAD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62347-2020</t>
        </is>
      </c>
      <c r="B1606" s="1" t="n">
        <v>44159</v>
      </c>
      <c r="C1606" s="1" t="n">
        <v>45796</v>
      </c>
      <c r="D1606" t="inlineStr">
        <is>
          <t>SKÅNE LÄN</t>
        </is>
      </c>
      <c r="E1606" t="inlineStr">
        <is>
          <t>HÄSSLEHOLM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62420-2020</t>
        </is>
      </c>
      <c r="B1607" s="1" t="n">
        <v>44159</v>
      </c>
      <c r="C1607" s="1" t="n">
        <v>45796</v>
      </c>
      <c r="D1607" t="inlineStr">
        <is>
          <t>SKÅNE LÄN</t>
        </is>
      </c>
      <c r="E1607" t="inlineStr">
        <is>
          <t>ESLÖV</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62802-2020</t>
        </is>
      </c>
      <c r="B1608" s="1" t="n">
        <v>44161</v>
      </c>
      <c r="C1608" s="1" t="n">
        <v>45796</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62648-2020</t>
        </is>
      </c>
      <c r="B1609" s="1" t="n">
        <v>44161</v>
      </c>
      <c r="C1609" s="1" t="n">
        <v>45796</v>
      </c>
      <c r="D1609" t="inlineStr">
        <is>
          <t>SKÅNE LÄN</t>
        </is>
      </c>
      <c r="E1609" t="inlineStr">
        <is>
          <t>OSBY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62734-2020</t>
        </is>
      </c>
      <c r="B1610" s="1" t="n">
        <v>44161</v>
      </c>
      <c r="C1610" s="1" t="n">
        <v>45796</v>
      </c>
      <c r="D1610" t="inlineStr">
        <is>
          <t>SKÅNE LÄN</t>
        </is>
      </c>
      <c r="E1610" t="inlineStr">
        <is>
          <t>BROMÖLLA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62781-2020</t>
        </is>
      </c>
      <c r="B1611" s="1" t="n">
        <v>44161</v>
      </c>
      <c r="C1611" s="1" t="n">
        <v>45796</v>
      </c>
      <c r="D1611" t="inlineStr">
        <is>
          <t>SKÅNE LÄN</t>
        </is>
      </c>
      <c r="E1611" t="inlineStr">
        <is>
          <t>ÖRKELLJUNGA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62782-2020</t>
        </is>
      </c>
      <c r="B1612" s="1" t="n">
        <v>44161</v>
      </c>
      <c r="C1612" s="1" t="n">
        <v>45796</v>
      </c>
      <c r="D1612" t="inlineStr">
        <is>
          <t>SKÅNE LÄN</t>
        </is>
      </c>
      <c r="E1612" t="inlineStr">
        <is>
          <t>HÄSSLEHOLM</t>
        </is>
      </c>
      <c r="F1612" t="inlineStr">
        <is>
          <t>Kyrkan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62783-2020</t>
        </is>
      </c>
      <c r="B1613" s="1" t="n">
        <v>44161</v>
      </c>
      <c r="C1613" s="1" t="n">
        <v>45796</v>
      </c>
      <c r="D1613" t="inlineStr">
        <is>
          <t>SKÅNE LÄN</t>
        </is>
      </c>
      <c r="E1613" t="inlineStr">
        <is>
          <t>ÖRKELLJUNGA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62858-2020</t>
        </is>
      </c>
      <c r="B1614" s="1" t="n">
        <v>44161</v>
      </c>
      <c r="C1614" s="1" t="n">
        <v>45796</v>
      </c>
      <c r="D1614" t="inlineStr">
        <is>
          <t>SKÅNE LÄN</t>
        </is>
      </c>
      <c r="E1614" t="inlineStr">
        <is>
          <t>HÄSSLEHOLM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63456-2020</t>
        </is>
      </c>
      <c r="B1615" s="1" t="n">
        <v>44161</v>
      </c>
      <c r="C1615" s="1" t="n">
        <v>45796</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63389-2020</t>
        </is>
      </c>
      <c r="B1616" s="1" t="n">
        <v>44161</v>
      </c>
      <c r="C1616" s="1" t="n">
        <v>45796</v>
      </c>
      <c r="D1616" t="inlineStr">
        <is>
          <t>SKÅNE LÄN</t>
        </is>
      </c>
      <c r="E1616" t="inlineStr">
        <is>
          <t>KRISTIANSTAD</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63073-2020</t>
        </is>
      </c>
      <c r="B1617" s="1" t="n">
        <v>44162</v>
      </c>
      <c r="C1617" s="1" t="n">
        <v>45796</v>
      </c>
      <c r="D1617" t="inlineStr">
        <is>
          <t>SKÅNE LÄN</t>
        </is>
      </c>
      <c r="E1617" t="inlineStr">
        <is>
          <t>KLIPPAN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63082-2020</t>
        </is>
      </c>
      <c r="B1618" s="1" t="n">
        <v>44162</v>
      </c>
      <c r="C1618" s="1" t="n">
        <v>45796</v>
      </c>
      <c r="D1618" t="inlineStr">
        <is>
          <t>SKÅNE LÄN</t>
        </is>
      </c>
      <c r="E1618" t="inlineStr">
        <is>
          <t>KLIPPAN</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63109-2020</t>
        </is>
      </c>
      <c r="B1619" s="1" t="n">
        <v>44162</v>
      </c>
      <c r="C1619" s="1" t="n">
        <v>45796</v>
      </c>
      <c r="D1619" t="inlineStr">
        <is>
          <t>SKÅNE LÄN</t>
        </is>
      </c>
      <c r="E1619" t="inlineStr">
        <is>
          <t>SJÖBO</t>
        </is>
      </c>
      <c r="G1619" t="n">
        <v>16.1</v>
      </c>
      <c r="H1619" t="n">
        <v>0</v>
      </c>
      <c r="I1619" t="n">
        <v>0</v>
      </c>
      <c r="J1619" t="n">
        <v>0</v>
      </c>
      <c r="K1619" t="n">
        <v>0</v>
      </c>
      <c r="L1619" t="n">
        <v>0</v>
      </c>
      <c r="M1619" t="n">
        <v>0</v>
      </c>
      <c r="N1619" t="n">
        <v>0</v>
      </c>
      <c r="O1619" t="n">
        <v>0</v>
      </c>
      <c r="P1619" t="n">
        <v>0</v>
      </c>
      <c r="Q1619" t="n">
        <v>0</v>
      </c>
      <c r="R1619" s="2" t="inlineStr"/>
    </row>
    <row r="1620" ht="15" customHeight="1">
      <c r="A1620" t="inlineStr">
        <is>
          <t>A 64341-2020</t>
        </is>
      </c>
      <c r="B1620" s="1" t="n">
        <v>44165</v>
      </c>
      <c r="C1620" s="1" t="n">
        <v>45796</v>
      </c>
      <c r="D1620" t="inlineStr">
        <is>
          <t>SKÅNE LÄN</t>
        </is>
      </c>
      <c r="E1620" t="inlineStr">
        <is>
          <t>HÖRBY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64161-2020</t>
        </is>
      </c>
      <c r="B1621" s="1" t="n">
        <v>44167</v>
      </c>
      <c r="C1621" s="1" t="n">
        <v>45796</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65040-2020</t>
        </is>
      </c>
      <c r="B1622" s="1" t="n">
        <v>44167</v>
      </c>
      <c r="C1622" s="1" t="n">
        <v>45796</v>
      </c>
      <c r="D1622" t="inlineStr">
        <is>
          <t>SKÅNE LÄN</t>
        </is>
      </c>
      <c r="E1622" t="inlineStr">
        <is>
          <t>KRISTIANSTAD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64361-2020</t>
        </is>
      </c>
      <c r="B1623" s="1" t="n">
        <v>44168</v>
      </c>
      <c r="C1623" s="1" t="n">
        <v>45796</v>
      </c>
      <c r="D1623" t="inlineStr">
        <is>
          <t>SKÅNE LÄN</t>
        </is>
      </c>
      <c r="E1623" t="inlineStr">
        <is>
          <t>HÄSSLEHOLM</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64211-2020</t>
        </is>
      </c>
      <c r="B1624" s="1" t="n">
        <v>44168</v>
      </c>
      <c r="C1624" s="1" t="n">
        <v>45796</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64342-2020</t>
        </is>
      </c>
      <c r="B1625" s="1" t="n">
        <v>44168</v>
      </c>
      <c r="C1625" s="1" t="n">
        <v>45796</v>
      </c>
      <c r="D1625" t="inlineStr">
        <is>
          <t>SKÅNE LÄN</t>
        </is>
      </c>
      <c r="E1625" t="inlineStr">
        <is>
          <t>HÄSSLEHOLM</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64601-2020</t>
        </is>
      </c>
      <c r="B1626" s="1" t="n">
        <v>44169</v>
      </c>
      <c r="C1626" s="1" t="n">
        <v>45796</v>
      </c>
      <c r="D1626" t="inlineStr">
        <is>
          <t>SKÅNE LÄN</t>
        </is>
      </c>
      <c r="E1626" t="inlineStr">
        <is>
          <t>ÖRKELLJUNGA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64694-2020</t>
        </is>
      </c>
      <c r="B1627" s="1" t="n">
        <v>44169</v>
      </c>
      <c r="C1627" s="1" t="n">
        <v>45796</v>
      </c>
      <c r="D1627" t="inlineStr">
        <is>
          <t>SKÅNE LÄN</t>
        </is>
      </c>
      <c r="E1627" t="inlineStr">
        <is>
          <t>ÖSTRA GÖINGE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64703-2020</t>
        </is>
      </c>
      <c r="B1628" s="1" t="n">
        <v>44169</v>
      </c>
      <c r="C1628" s="1" t="n">
        <v>45796</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65033-2020</t>
        </is>
      </c>
      <c r="B1629" s="1" t="n">
        <v>44172</v>
      </c>
      <c r="C1629" s="1" t="n">
        <v>45796</v>
      </c>
      <c r="D1629" t="inlineStr">
        <is>
          <t>SKÅNE LÄN</t>
        </is>
      </c>
      <c r="E1629" t="inlineStr">
        <is>
          <t>TOMELILLA</t>
        </is>
      </c>
      <c r="F1629" t="inlineStr">
        <is>
          <t>Kyrkan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65173-2020</t>
        </is>
      </c>
      <c r="B1630" s="1" t="n">
        <v>44172</v>
      </c>
      <c r="C1630" s="1" t="n">
        <v>45796</v>
      </c>
      <c r="D1630" t="inlineStr">
        <is>
          <t>SKÅNE LÄN</t>
        </is>
      </c>
      <c r="E1630" t="inlineStr">
        <is>
          <t>ÖSTRA GÖINGE</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65863-2020</t>
        </is>
      </c>
      <c r="B1631" s="1" t="n">
        <v>44173</v>
      </c>
      <c r="C1631" s="1" t="n">
        <v>45796</v>
      </c>
      <c r="D1631" t="inlineStr">
        <is>
          <t>SKÅNE LÄN</t>
        </is>
      </c>
      <c r="E1631" t="inlineStr">
        <is>
          <t>SVALÖV</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65288-2020</t>
        </is>
      </c>
      <c r="B1632" s="1" t="n">
        <v>44173</v>
      </c>
      <c r="C1632" s="1" t="n">
        <v>45796</v>
      </c>
      <c r="D1632" t="inlineStr">
        <is>
          <t>SKÅNE LÄN</t>
        </is>
      </c>
      <c r="E1632" t="inlineStr">
        <is>
          <t>KRISTIANSTAD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65640-2020</t>
        </is>
      </c>
      <c r="B1633" s="1" t="n">
        <v>44174</v>
      </c>
      <c r="C1633" s="1" t="n">
        <v>45796</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65753-2020</t>
        </is>
      </c>
      <c r="B1634" s="1" t="n">
        <v>44174</v>
      </c>
      <c r="C1634" s="1" t="n">
        <v>45796</v>
      </c>
      <c r="D1634" t="inlineStr">
        <is>
          <t>SKÅNE LÄN</t>
        </is>
      </c>
      <c r="E1634" t="inlineStr">
        <is>
          <t>ÖRKELLJUNGA</t>
        </is>
      </c>
      <c r="F1634" t="inlineStr">
        <is>
          <t>Kyrkan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65760-2020</t>
        </is>
      </c>
      <c r="B1635" s="1" t="n">
        <v>44174</v>
      </c>
      <c r="C1635" s="1" t="n">
        <v>45796</v>
      </c>
      <c r="D1635" t="inlineStr">
        <is>
          <t>SKÅNE LÄN</t>
        </is>
      </c>
      <c r="E1635" t="inlineStr">
        <is>
          <t>ÖSTRA GÖINGE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65788-2020</t>
        </is>
      </c>
      <c r="B1636" s="1" t="n">
        <v>44174</v>
      </c>
      <c r="C1636" s="1" t="n">
        <v>45796</v>
      </c>
      <c r="D1636" t="inlineStr">
        <is>
          <t>SKÅNE LÄN</t>
        </is>
      </c>
      <c r="E1636" t="inlineStr">
        <is>
          <t>HÖRBY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66171-2020</t>
        </is>
      </c>
      <c r="B1637" s="1" t="n">
        <v>44174</v>
      </c>
      <c r="C1637" s="1" t="n">
        <v>45796</v>
      </c>
      <c r="D1637" t="inlineStr">
        <is>
          <t>SKÅNE LÄN</t>
        </is>
      </c>
      <c r="E1637" t="inlineStr">
        <is>
          <t>SJÖBO</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66177-2020</t>
        </is>
      </c>
      <c r="B1638" s="1" t="n">
        <v>44174</v>
      </c>
      <c r="C1638" s="1" t="n">
        <v>45796</v>
      </c>
      <c r="D1638" t="inlineStr">
        <is>
          <t>SKÅNE LÄN</t>
        </is>
      </c>
      <c r="E1638" t="inlineStr">
        <is>
          <t>SJÖBO</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66173-2020</t>
        </is>
      </c>
      <c r="B1639" s="1" t="n">
        <v>44174</v>
      </c>
      <c r="C1639" s="1" t="n">
        <v>45796</v>
      </c>
      <c r="D1639" t="inlineStr">
        <is>
          <t>SKÅNE LÄN</t>
        </is>
      </c>
      <c r="E1639" t="inlineStr">
        <is>
          <t>SJÖBO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66045-2020</t>
        </is>
      </c>
      <c r="B1640" s="1" t="n">
        <v>44175</v>
      </c>
      <c r="C1640" s="1" t="n">
        <v>45796</v>
      </c>
      <c r="D1640" t="inlineStr">
        <is>
          <t>SKÅNE LÄN</t>
        </is>
      </c>
      <c r="E1640" t="inlineStr">
        <is>
          <t>TOMELILLA</t>
        </is>
      </c>
      <c r="F1640" t="inlineStr">
        <is>
          <t>Kyrkan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66043-2020</t>
        </is>
      </c>
      <c r="B1641" s="1" t="n">
        <v>44175</v>
      </c>
      <c r="C1641" s="1" t="n">
        <v>45796</v>
      </c>
      <c r="D1641" t="inlineStr">
        <is>
          <t>SKÅNE LÄN</t>
        </is>
      </c>
      <c r="E1641" t="inlineStr">
        <is>
          <t>HÖÖR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66474-2020</t>
        </is>
      </c>
      <c r="B1642" s="1" t="n">
        <v>44177</v>
      </c>
      <c r="C1642" s="1" t="n">
        <v>45796</v>
      </c>
      <c r="D1642" t="inlineStr">
        <is>
          <t>SKÅNE LÄN</t>
        </is>
      </c>
      <c r="E1642" t="inlineStr">
        <is>
          <t>HÄSSLEHOLM</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66505-2020</t>
        </is>
      </c>
      <c r="B1643" s="1" t="n">
        <v>44178</v>
      </c>
      <c r="C1643" s="1" t="n">
        <v>45796</v>
      </c>
      <c r="D1643" t="inlineStr">
        <is>
          <t>SKÅNE LÄN</t>
        </is>
      </c>
      <c r="E1643" t="inlineStr">
        <is>
          <t>HÖÖR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66507-2020</t>
        </is>
      </c>
      <c r="B1644" s="1" t="n">
        <v>44178</v>
      </c>
      <c r="C1644" s="1" t="n">
        <v>45796</v>
      </c>
      <c r="D1644" t="inlineStr">
        <is>
          <t>SKÅNE LÄN</t>
        </is>
      </c>
      <c r="E1644" t="inlineStr">
        <is>
          <t>HÖÖR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66520-2020</t>
        </is>
      </c>
      <c r="B1645" s="1" t="n">
        <v>44179</v>
      </c>
      <c r="C1645" s="1" t="n">
        <v>45796</v>
      </c>
      <c r="D1645" t="inlineStr">
        <is>
          <t>SKÅNE LÄN</t>
        </is>
      </c>
      <c r="E1645" t="inlineStr">
        <is>
          <t>HÄSSLEHOLM</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66543-2020</t>
        </is>
      </c>
      <c r="B1646" s="1" t="n">
        <v>44179</v>
      </c>
      <c r="C1646" s="1" t="n">
        <v>45796</v>
      </c>
      <c r="D1646" t="inlineStr">
        <is>
          <t>SKÅNE LÄN</t>
        </is>
      </c>
      <c r="E1646" t="inlineStr">
        <is>
          <t>OSBY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66666-2020</t>
        </is>
      </c>
      <c r="B1647" s="1" t="n">
        <v>44179</v>
      </c>
      <c r="C1647" s="1" t="n">
        <v>45796</v>
      </c>
      <c r="D1647" t="inlineStr">
        <is>
          <t>SKÅNE LÄN</t>
        </is>
      </c>
      <c r="E1647" t="inlineStr">
        <is>
          <t>PERSTORP</t>
        </is>
      </c>
      <c r="F1647" t="inlineStr">
        <is>
          <t>Kyrkan</t>
        </is>
      </c>
      <c r="G1647" t="n">
        <v>18.4</v>
      </c>
      <c r="H1647" t="n">
        <v>0</v>
      </c>
      <c r="I1647" t="n">
        <v>0</v>
      </c>
      <c r="J1647" t="n">
        <v>0</v>
      </c>
      <c r="K1647" t="n">
        <v>0</v>
      </c>
      <c r="L1647" t="n">
        <v>0</v>
      </c>
      <c r="M1647" t="n">
        <v>0</v>
      </c>
      <c r="N1647" t="n">
        <v>0</v>
      </c>
      <c r="O1647" t="n">
        <v>0</v>
      </c>
      <c r="P1647" t="n">
        <v>0</v>
      </c>
      <c r="Q1647" t="n">
        <v>0</v>
      </c>
      <c r="R1647" s="2" t="inlineStr"/>
    </row>
    <row r="1648" ht="15" customHeight="1">
      <c r="A1648" t="inlineStr">
        <is>
          <t>A 66668-2020</t>
        </is>
      </c>
      <c r="B1648" s="1" t="n">
        <v>44179</v>
      </c>
      <c r="C1648" s="1" t="n">
        <v>45796</v>
      </c>
      <c r="D1648" t="inlineStr">
        <is>
          <t>SKÅNE LÄN</t>
        </is>
      </c>
      <c r="E1648" t="inlineStr">
        <is>
          <t>PERSTORP</t>
        </is>
      </c>
      <c r="F1648" t="inlineStr">
        <is>
          <t>Kyrkan</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66941-2020</t>
        </is>
      </c>
      <c r="B1649" s="1" t="n">
        <v>44180</v>
      </c>
      <c r="C1649" s="1" t="n">
        <v>45796</v>
      </c>
      <c r="D1649" t="inlineStr">
        <is>
          <t>SKÅNE LÄN</t>
        </is>
      </c>
      <c r="E1649" t="inlineStr">
        <is>
          <t>OSBY</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67083-2020</t>
        </is>
      </c>
      <c r="B1650" s="1" t="n">
        <v>44180</v>
      </c>
      <c r="C1650" s="1" t="n">
        <v>45796</v>
      </c>
      <c r="D1650" t="inlineStr">
        <is>
          <t>SKÅNE LÄN</t>
        </is>
      </c>
      <c r="E1650" t="inlineStr">
        <is>
          <t>KRISTIANSTAD</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67778-2020</t>
        </is>
      </c>
      <c r="B1651" s="1" t="n">
        <v>44182</v>
      </c>
      <c r="C1651" s="1" t="n">
        <v>45796</v>
      </c>
      <c r="D1651" t="inlineStr">
        <is>
          <t>SKÅNE LÄN</t>
        </is>
      </c>
      <c r="E1651" t="inlineStr">
        <is>
          <t>SVEDALA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67630-2020</t>
        </is>
      </c>
      <c r="B1652" s="1" t="n">
        <v>44182</v>
      </c>
      <c r="C1652" s="1" t="n">
        <v>45796</v>
      </c>
      <c r="D1652" t="inlineStr">
        <is>
          <t>SKÅNE LÄN</t>
        </is>
      </c>
      <c r="E1652" t="inlineStr">
        <is>
          <t>PERSTORP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67974-2020</t>
        </is>
      </c>
      <c r="B1653" s="1" t="n">
        <v>44182</v>
      </c>
      <c r="C1653" s="1" t="n">
        <v>45796</v>
      </c>
      <c r="D1653" t="inlineStr">
        <is>
          <t>SKÅNE LÄN</t>
        </is>
      </c>
      <c r="E1653" t="inlineStr">
        <is>
          <t>HÄSSLEHOLM</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68105-2020</t>
        </is>
      </c>
      <c r="B1654" s="1" t="n">
        <v>44183</v>
      </c>
      <c r="C1654" s="1" t="n">
        <v>45796</v>
      </c>
      <c r="D1654" t="inlineStr">
        <is>
          <t>SKÅNE LÄN</t>
        </is>
      </c>
      <c r="E1654" t="inlineStr">
        <is>
          <t>KRISTIANSTAD</t>
        </is>
      </c>
      <c r="F1654" t="inlineStr">
        <is>
          <t>Kyrkan</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68053-2020</t>
        </is>
      </c>
      <c r="B1655" s="1" t="n">
        <v>44183</v>
      </c>
      <c r="C1655" s="1" t="n">
        <v>45796</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68200-2020</t>
        </is>
      </c>
      <c r="B1656" s="1" t="n">
        <v>44183</v>
      </c>
      <c r="C1656" s="1" t="n">
        <v>45796</v>
      </c>
      <c r="D1656" t="inlineStr">
        <is>
          <t>SKÅNE LÄN</t>
        </is>
      </c>
      <c r="E1656" t="inlineStr">
        <is>
          <t>HÄSSLEHOLM</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68428-2020</t>
        </is>
      </c>
      <c r="B1657" s="1" t="n">
        <v>44183</v>
      </c>
      <c r="C1657" s="1" t="n">
        <v>45796</v>
      </c>
      <c r="D1657" t="inlineStr">
        <is>
          <t>SKÅNE LÄN</t>
        </is>
      </c>
      <c r="E1657" t="inlineStr">
        <is>
          <t>ÄNGELHOLM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68508-2020</t>
        </is>
      </c>
      <c r="B1658" s="1" t="n">
        <v>44186</v>
      </c>
      <c r="C1658" s="1" t="n">
        <v>45796</v>
      </c>
      <c r="D1658" t="inlineStr">
        <is>
          <t>SKÅNE LÄN</t>
        </is>
      </c>
      <c r="E1658" t="inlineStr">
        <is>
          <t>ÖRKELLJUNGA</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68402-2020</t>
        </is>
      </c>
      <c r="B1659" s="1" t="n">
        <v>44186</v>
      </c>
      <c r="C1659" s="1" t="n">
        <v>45796</v>
      </c>
      <c r="D1659" t="inlineStr">
        <is>
          <t>SKÅNE LÄN</t>
        </is>
      </c>
      <c r="E1659" t="inlineStr">
        <is>
          <t>OSBY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68502-2020</t>
        </is>
      </c>
      <c r="B1660" s="1" t="n">
        <v>44186</v>
      </c>
      <c r="C1660" s="1" t="n">
        <v>45796</v>
      </c>
      <c r="D1660" t="inlineStr">
        <is>
          <t>SKÅNE LÄN</t>
        </is>
      </c>
      <c r="E1660" t="inlineStr">
        <is>
          <t>ÖRKELLJUNGA</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68794-2020</t>
        </is>
      </c>
      <c r="B1661" s="1" t="n">
        <v>44186</v>
      </c>
      <c r="C1661" s="1" t="n">
        <v>45796</v>
      </c>
      <c r="D1661" t="inlineStr">
        <is>
          <t>SKÅNE LÄN</t>
        </is>
      </c>
      <c r="E1661" t="inlineStr">
        <is>
          <t>HÄSSLEHOLM</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68634-2020</t>
        </is>
      </c>
      <c r="B1662" s="1" t="n">
        <v>44186</v>
      </c>
      <c r="C1662" s="1" t="n">
        <v>45796</v>
      </c>
      <c r="D1662" t="inlineStr">
        <is>
          <t>SKÅNE LÄN</t>
        </is>
      </c>
      <c r="E1662" t="inlineStr">
        <is>
          <t>KRISTIANSTAD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68838-2020</t>
        </is>
      </c>
      <c r="B1663" s="1" t="n">
        <v>44186</v>
      </c>
      <c r="C1663" s="1" t="n">
        <v>45796</v>
      </c>
      <c r="D1663" t="inlineStr">
        <is>
          <t>SKÅNE LÄN</t>
        </is>
      </c>
      <c r="E1663" t="inlineStr">
        <is>
          <t>ESLÖV</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68845-2020</t>
        </is>
      </c>
      <c r="B1664" s="1" t="n">
        <v>44186</v>
      </c>
      <c r="C1664" s="1" t="n">
        <v>45796</v>
      </c>
      <c r="D1664" t="inlineStr">
        <is>
          <t>SKÅNE LÄN</t>
        </is>
      </c>
      <c r="E1664" t="inlineStr">
        <is>
          <t>KRISTIANSTAD</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68840-2020</t>
        </is>
      </c>
      <c r="B1665" s="1" t="n">
        <v>44186</v>
      </c>
      <c r="C1665" s="1" t="n">
        <v>45796</v>
      </c>
      <c r="D1665" t="inlineStr">
        <is>
          <t>SKÅNE LÄN</t>
        </is>
      </c>
      <c r="E1665" t="inlineStr">
        <is>
          <t>KRISTIANSTAD</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68854-2020</t>
        </is>
      </c>
      <c r="B1666" s="1" t="n">
        <v>44187</v>
      </c>
      <c r="C1666" s="1" t="n">
        <v>45796</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69103-2020</t>
        </is>
      </c>
      <c r="B1667" s="1" t="n">
        <v>44188</v>
      </c>
      <c r="C1667" s="1" t="n">
        <v>45796</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69109-2020</t>
        </is>
      </c>
      <c r="B1668" s="1" t="n">
        <v>44188</v>
      </c>
      <c r="C1668" s="1" t="n">
        <v>45796</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69160-2020</t>
        </is>
      </c>
      <c r="B1669" s="1" t="n">
        <v>44188</v>
      </c>
      <c r="C1669" s="1" t="n">
        <v>45796</v>
      </c>
      <c r="D1669" t="inlineStr">
        <is>
          <t>SKÅNE LÄN</t>
        </is>
      </c>
      <c r="E1669" t="inlineStr">
        <is>
          <t>OSBY</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69112-2020</t>
        </is>
      </c>
      <c r="B1670" s="1" t="n">
        <v>44188</v>
      </c>
      <c r="C1670" s="1" t="n">
        <v>45796</v>
      </c>
      <c r="D1670" t="inlineStr">
        <is>
          <t>SKÅNE LÄN</t>
        </is>
      </c>
      <c r="E1670" t="inlineStr">
        <is>
          <t>HÄSSLEHOLM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69339-2020</t>
        </is>
      </c>
      <c r="B1671" s="1" t="n">
        <v>44188</v>
      </c>
      <c r="C1671" s="1" t="n">
        <v>45796</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69201-2020</t>
        </is>
      </c>
      <c r="B1672" s="1" t="n">
        <v>44191</v>
      </c>
      <c r="C1672" s="1" t="n">
        <v>45796</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69198-2020</t>
        </is>
      </c>
      <c r="B1673" s="1" t="n">
        <v>44191</v>
      </c>
      <c r="C1673" s="1" t="n">
        <v>45796</v>
      </c>
      <c r="D1673" t="inlineStr">
        <is>
          <t>SKÅNE LÄN</t>
        </is>
      </c>
      <c r="E1673" t="inlineStr">
        <is>
          <t>HÄSSLEHOLM</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69190-2020</t>
        </is>
      </c>
      <c r="B1674" s="1" t="n">
        <v>44191</v>
      </c>
      <c r="C1674" s="1" t="n">
        <v>45796</v>
      </c>
      <c r="D1674" t="inlineStr">
        <is>
          <t>SKÅNE LÄN</t>
        </is>
      </c>
      <c r="E1674" t="inlineStr">
        <is>
          <t>BÅSTAD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69273-2020</t>
        </is>
      </c>
      <c r="B1675" s="1" t="n">
        <v>44193</v>
      </c>
      <c r="C1675" s="1" t="n">
        <v>45796</v>
      </c>
      <c r="D1675" t="inlineStr">
        <is>
          <t>SKÅNE LÄN</t>
        </is>
      </c>
      <c r="E1675" t="inlineStr">
        <is>
          <t>KRISTIANSTAD</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69461-2020</t>
        </is>
      </c>
      <c r="B1676" s="1" t="n">
        <v>44193</v>
      </c>
      <c r="C1676" s="1" t="n">
        <v>45796</v>
      </c>
      <c r="D1676" t="inlineStr">
        <is>
          <t>SKÅNE LÄN</t>
        </is>
      </c>
      <c r="E1676" t="inlineStr">
        <is>
          <t>ÖSTRA GÖINGE</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69462-2020</t>
        </is>
      </c>
      <c r="B1677" s="1" t="n">
        <v>44193</v>
      </c>
      <c r="C1677" s="1" t="n">
        <v>45796</v>
      </c>
      <c r="D1677" t="inlineStr">
        <is>
          <t>SKÅNE LÄN</t>
        </is>
      </c>
      <c r="E1677" t="inlineStr">
        <is>
          <t>ÖSTRA GÖINGE</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69463-2020</t>
        </is>
      </c>
      <c r="B1678" s="1" t="n">
        <v>44193</v>
      </c>
      <c r="C1678" s="1" t="n">
        <v>45796</v>
      </c>
      <c r="D1678" t="inlineStr">
        <is>
          <t>SKÅNE LÄN</t>
        </is>
      </c>
      <c r="E1678" t="inlineStr">
        <is>
          <t>ÖSTRA GÖINGE</t>
        </is>
      </c>
      <c r="G1678" t="n">
        <v>22.9</v>
      </c>
      <c r="H1678" t="n">
        <v>0</v>
      </c>
      <c r="I1678" t="n">
        <v>0</v>
      </c>
      <c r="J1678" t="n">
        <v>0</v>
      </c>
      <c r="K1678" t="n">
        <v>0</v>
      </c>
      <c r="L1678" t="n">
        <v>0</v>
      </c>
      <c r="M1678" t="n">
        <v>0</v>
      </c>
      <c r="N1678" t="n">
        <v>0</v>
      </c>
      <c r="O1678" t="n">
        <v>0</v>
      </c>
      <c r="P1678" t="n">
        <v>0</v>
      </c>
      <c r="Q1678" t="n">
        <v>0</v>
      </c>
      <c r="R1678" s="2" t="inlineStr"/>
    </row>
    <row r="1679" ht="15" customHeight="1">
      <c r="A1679" t="inlineStr">
        <is>
          <t>A 69530-2020</t>
        </is>
      </c>
      <c r="B1679" s="1" t="n">
        <v>44194</v>
      </c>
      <c r="C1679" s="1" t="n">
        <v>45796</v>
      </c>
      <c r="D1679" t="inlineStr">
        <is>
          <t>SKÅNE LÄN</t>
        </is>
      </c>
      <c r="E1679" t="inlineStr">
        <is>
          <t>OSBY</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69505-2020</t>
        </is>
      </c>
      <c r="B1680" s="1" t="n">
        <v>44194</v>
      </c>
      <c r="C1680" s="1" t="n">
        <v>45796</v>
      </c>
      <c r="D1680" t="inlineStr">
        <is>
          <t>SKÅNE LÄN</t>
        </is>
      </c>
      <c r="E1680" t="inlineStr">
        <is>
          <t>HÄSSLEHOLM</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69504-2020</t>
        </is>
      </c>
      <c r="B1681" s="1" t="n">
        <v>44194</v>
      </c>
      <c r="C1681" s="1" t="n">
        <v>45796</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69500-2020</t>
        </is>
      </c>
      <c r="B1682" s="1" t="n">
        <v>44194</v>
      </c>
      <c r="C1682" s="1" t="n">
        <v>45796</v>
      </c>
      <c r="D1682" t="inlineStr">
        <is>
          <t>SKÅNE LÄN</t>
        </is>
      </c>
      <c r="E1682" t="inlineStr">
        <is>
          <t>HÄSSLEHOLM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69609-2020</t>
        </is>
      </c>
      <c r="B1683" s="1" t="n">
        <v>44195</v>
      </c>
      <c r="C1683" s="1" t="n">
        <v>45796</v>
      </c>
      <c r="D1683" t="inlineStr">
        <is>
          <t>SKÅNE LÄN</t>
        </is>
      </c>
      <c r="E1683" t="inlineStr">
        <is>
          <t>KLIPPAN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49-2021</t>
        </is>
      </c>
      <c r="B1684" s="1" t="n">
        <v>44199</v>
      </c>
      <c r="C1684" s="1" t="n">
        <v>45796</v>
      </c>
      <c r="D1684" t="inlineStr">
        <is>
          <t>SKÅNE LÄN</t>
        </is>
      </c>
      <c r="E1684" t="inlineStr">
        <is>
          <t>KRISTIANSTAD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50-2021</t>
        </is>
      </c>
      <c r="B1685" s="1" t="n">
        <v>44199</v>
      </c>
      <c r="C1685" s="1" t="n">
        <v>45796</v>
      </c>
      <c r="D1685" t="inlineStr">
        <is>
          <t>SKÅNE LÄN</t>
        </is>
      </c>
      <c r="E1685" t="inlineStr">
        <is>
          <t>KRISTIANSTAD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47-2021</t>
        </is>
      </c>
      <c r="B1686" s="1" t="n">
        <v>44199</v>
      </c>
      <c r="C1686" s="1" t="n">
        <v>45796</v>
      </c>
      <c r="D1686" t="inlineStr">
        <is>
          <t>SKÅNE LÄN</t>
        </is>
      </c>
      <c r="E1686" t="inlineStr">
        <is>
          <t>HÄSSLEHOLM</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121-2021</t>
        </is>
      </c>
      <c r="B1687" s="1" t="n">
        <v>44200</v>
      </c>
      <c r="C1687" s="1" t="n">
        <v>45796</v>
      </c>
      <c r="D1687" t="inlineStr">
        <is>
          <t>SKÅNE LÄN</t>
        </is>
      </c>
      <c r="E1687" t="inlineStr">
        <is>
          <t>OSBY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155-2021</t>
        </is>
      </c>
      <c r="B1688" s="1" t="n">
        <v>44200</v>
      </c>
      <c r="C1688" s="1" t="n">
        <v>45796</v>
      </c>
      <c r="D1688" t="inlineStr">
        <is>
          <t>SKÅNE LÄN</t>
        </is>
      </c>
      <c r="E1688" t="inlineStr">
        <is>
          <t>OSBY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197-2021</t>
        </is>
      </c>
      <c r="B1689" s="1" t="n">
        <v>44200</v>
      </c>
      <c r="C1689" s="1" t="n">
        <v>45796</v>
      </c>
      <c r="D1689" t="inlineStr">
        <is>
          <t>SKÅNE LÄN</t>
        </is>
      </c>
      <c r="E1689" t="inlineStr">
        <is>
          <t>HÄSSLEHOLM</t>
        </is>
      </c>
      <c r="G1689" t="n">
        <v>12.9</v>
      </c>
      <c r="H1689" t="n">
        <v>0</v>
      </c>
      <c r="I1689" t="n">
        <v>0</v>
      </c>
      <c r="J1689" t="n">
        <v>0</v>
      </c>
      <c r="K1689" t="n">
        <v>0</v>
      </c>
      <c r="L1689" t="n">
        <v>0</v>
      </c>
      <c r="M1689" t="n">
        <v>0</v>
      </c>
      <c r="N1689" t="n">
        <v>0</v>
      </c>
      <c r="O1689" t="n">
        <v>0</v>
      </c>
      <c r="P1689" t="n">
        <v>0</v>
      </c>
      <c r="Q1689" t="n">
        <v>0</v>
      </c>
      <c r="R1689" s="2" t="inlineStr"/>
    </row>
    <row r="1690" ht="15" customHeight="1">
      <c r="A1690" t="inlineStr">
        <is>
          <t>A 157-2021</t>
        </is>
      </c>
      <c r="B1690" s="1" t="n">
        <v>44200</v>
      </c>
      <c r="C1690" s="1" t="n">
        <v>45796</v>
      </c>
      <c r="D1690" t="inlineStr">
        <is>
          <t>SKÅNE LÄN</t>
        </is>
      </c>
      <c r="E1690" t="inlineStr">
        <is>
          <t>OSBY</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771-2021</t>
        </is>
      </c>
      <c r="B1691" s="1" t="n">
        <v>44203</v>
      </c>
      <c r="C1691" s="1" t="n">
        <v>45796</v>
      </c>
      <c r="D1691" t="inlineStr">
        <is>
          <t>SKÅNE LÄN</t>
        </is>
      </c>
      <c r="E1691" t="inlineStr">
        <is>
          <t>SJÖBO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964-2021</t>
        </is>
      </c>
      <c r="B1692" s="1" t="n">
        <v>44207</v>
      </c>
      <c r="C1692" s="1" t="n">
        <v>45796</v>
      </c>
      <c r="D1692" t="inlineStr">
        <is>
          <t>SKÅNE LÄN</t>
        </is>
      </c>
      <c r="E1692" t="inlineStr">
        <is>
          <t>HÄSSLEHOLM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960-2021</t>
        </is>
      </c>
      <c r="B1693" s="1" t="n">
        <v>44207</v>
      </c>
      <c r="C1693" s="1" t="n">
        <v>45796</v>
      </c>
      <c r="D1693" t="inlineStr">
        <is>
          <t>SKÅNE LÄN</t>
        </is>
      </c>
      <c r="E1693" t="inlineStr">
        <is>
          <t>ÖSTRA GÖINGE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1130-2021</t>
        </is>
      </c>
      <c r="B1694" s="1" t="n">
        <v>44207</v>
      </c>
      <c r="C1694" s="1" t="n">
        <v>45796</v>
      </c>
      <c r="D1694" t="inlineStr">
        <is>
          <t>SKÅNE LÄN</t>
        </is>
      </c>
      <c r="E1694" t="inlineStr">
        <is>
          <t>ÖRKELLJUNGA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1124-2021</t>
        </is>
      </c>
      <c r="B1695" s="1" t="n">
        <v>44207</v>
      </c>
      <c r="C1695" s="1" t="n">
        <v>45796</v>
      </c>
      <c r="D1695" t="inlineStr">
        <is>
          <t>SKÅNE LÄN</t>
        </is>
      </c>
      <c r="E1695" t="inlineStr">
        <is>
          <t>ÖRKELLJUNGA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1129-2021</t>
        </is>
      </c>
      <c r="B1696" s="1" t="n">
        <v>44207</v>
      </c>
      <c r="C1696" s="1" t="n">
        <v>45796</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1127-2021</t>
        </is>
      </c>
      <c r="B1697" s="1" t="n">
        <v>44207</v>
      </c>
      <c r="C1697" s="1" t="n">
        <v>45796</v>
      </c>
      <c r="D1697" t="inlineStr">
        <is>
          <t>SKÅNE LÄN</t>
        </is>
      </c>
      <c r="E1697" t="inlineStr">
        <is>
          <t>ÖRKELLJUNGA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1136-2021</t>
        </is>
      </c>
      <c r="B1698" s="1" t="n">
        <v>44207</v>
      </c>
      <c r="C1698" s="1" t="n">
        <v>45796</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1318-2021</t>
        </is>
      </c>
      <c r="B1699" s="1" t="n">
        <v>44208</v>
      </c>
      <c r="C1699" s="1" t="n">
        <v>45796</v>
      </c>
      <c r="D1699" t="inlineStr">
        <is>
          <t>SKÅNE LÄN</t>
        </is>
      </c>
      <c r="E1699" t="inlineStr">
        <is>
          <t>OSBY</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1366-2021</t>
        </is>
      </c>
      <c r="B1700" s="1" t="n">
        <v>44208</v>
      </c>
      <c r="C1700" s="1" t="n">
        <v>45796</v>
      </c>
      <c r="D1700" t="inlineStr">
        <is>
          <t>SKÅNE LÄN</t>
        </is>
      </c>
      <c r="E1700" t="inlineStr">
        <is>
          <t>YSTAD</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1344-2021</t>
        </is>
      </c>
      <c r="B1701" s="1" t="n">
        <v>44208</v>
      </c>
      <c r="C1701" s="1" t="n">
        <v>45796</v>
      </c>
      <c r="D1701" t="inlineStr">
        <is>
          <t>SKÅNE LÄN</t>
        </is>
      </c>
      <c r="E1701" t="inlineStr">
        <is>
          <t>HÄSSLEHOLM</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1394-2021</t>
        </is>
      </c>
      <c r="B1702" s="1" t="n">
        <v>44208</v>
      </c>
      <c r="C1702" s="1" t="n">
        <v>45796</v>
      </c>
      <c r="D1702" t="inlineStr">
        <is>
          <t>SKÅNE LÄN</t>
        </is>
      </c>
      <c r="E1702" t="inlineStr">
        <is>
          <t>HÖRBY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1428-2021</t>
        </is>
      </c>
      <c r="B1703" s="1" t="n">
        <v>44208</v>
      </c>
      <c r="C1703" s="1" t="n">
        <v>45796</v>
      </c>
      <c r="D1703" t="inlineStr">
        <is>
          <t>SKÅNE LÄN</t>
        </is>
      </c>
      <c r="E1703" t="inlineStr">
        <is>
          <t>TOMELILLA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1445-2021</t>
        </is>
      </c>
      <c r="B1704" s="1" t="n">
        <v>44208</v>
      </c>
      <c r="C1704" s="1" t="n">
        <v>45796</v>
      </c>
      <c r="D1704" t="inlineStr">
        <is>
          <t>SKÅNE LÄN</t>
        </is>
      </c>
      <c r="E1704" t="inlineStr">
        <is>
          <t>HÄSSLEHOLM</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1461-2021</t>
        </is>
      </c>
      <c r="B1705" s="1" t="n">
        <v>44208</v>
      </c>
      <c r="C1705" s="1" t="n">
        <v>45796</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1563-2021</t>
        </is>
      </c>
      <c r="B1706" s="1" t="n">
        <v>44209</v>
      </c>
      <c r="C1706" s="1" t="n">
        <v>45796</v>
      </c>
      <c r="D1706" t="inlineStr">
        <is>
          <t>SKÅNE LÄN</t>
        </is>
      </c>
      <c r="E1706" t="inlineStr">
        <is>
          <t>SJÖBO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1620-2021</t>
        </is>
      </c>
      <c r="B1707" s="1" t="n">
        <v>44209</v>
      </c>
      <c r="C1707" s="1" t="n">
        <v>45796</v>
      </c>
      <c r="D1707" t="inlineStr">
        <is>
          <t>SKÅNE LÄN</t>
        </is>
      </c>
      <c r="E1707" t="inlineStr">
        <is>
          <t>ÄNGELHOLM</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1578-2021</t>
        </is>
      </c>
      <c r="B1708" s="1" t="n">
        <v>44209</v>
      </c>
      <c r="C1708" s="1" t="n">
        <v>45796</v>
      </c>
      <c r="D1708" t="inlineStr">
        <is>
          <t>SKÅNE LÄN</t>
        </is>
      </c>
      <c r="E1708" t="inlineStr">
        <is>
          <t>ÄNGELHOLM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1824-2021</t>
        </is>
      </c>
      <c r="B1709" s="1" t="n">
        <v>44210</v>
      </c>
      <c r="C1709" s="1" t="n">
        <v>45796</v>
      </c>
      <c r="D1709" t="inlineStr">
        <is>
          <t>SKÅNE LÄN</t>
        </is>
      </c>
      <c r="E1709" t="inlineStr">
        <is>
          <t>ÖSTRA GÖINGE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1828-2021</t>
        </is>
      </c>
      <c r="B1710" s="1" t="n">
        <v>44210</v>
      </c>
      <c r="C1710" s="1" t="n">
        <v>45796</v>
      </c>
      <c r="D1710" t="inlineStr">
        <is>
          <t>SKÅNE LÄN</t>
        </is>
      </c>
      <c r="E1710" t="inlineStr">
        <is>
          <t>OSBY</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2272-2021</t>
        </is>
      </c>
      <c r="B1711" s="1" t="n">
        <v>44211</v>
      </c>
      <c r="C1711" s="1" t="n">
        <v>45796</v>
      </c>
      <c r="D1711" t="inlineStr">
        <is>
          <t>SKÅNE LÄN</t>
        </is>
      </c>
      <c r="E1711" t="inlineStr">
        <is>
          <t>KRISTIANSTAD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2424-2021</t>
        </is>
      </c>
      <c r="B1712" s="1" t="n">
        <v>44211</v>
      </c>
      <c r="C1712" s="1" t="n">
        <v>45796</v>
      </c>
      <c r="D1712" t="inlineStr">
        <is>
          <t>SKÅNE LÄN</t>
        </is>
      </c>
      <c r="E1712" t="inlineStr">
        <is>
          <t>KLIPPAN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2462-2021</t>
        </is>
      </c>
      <c r="B1713" s="1" t="n">
        <v>44213</v>
      </c>
      <c r="C1713" s="1" t="n">
        <v>45796</v>
      </c>
      <c r="D1713" t="inlineStr">
        <is>
          <t>SKÅNE LÄN</t>
        </is>
      </c>
      <c r="E1713" t="inlineStr">
        <is>
          <t>ÖRKELLJUNGA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2399-2021</t>
        </is>
      </c>
      <c r="B1714" s="1" t="n">
        <v>44214</v>
      </c>
      <c r="C1714" s="1" t="n">
        <v>45796</v>
      </c>
      <c r="D1714" t="inlineStr">
        <is>
          <t>SKÅNE LÄN</t>
        </is>
      </c>
      <c r="E1714" t="inlineStr">
        <is>
          <t>OSBY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2412-2021</t>
        </is>
      </c>
      <c r="B1715" s="1" t="n">
        <v>44214</v>
      </c>
      <c r="C1715" s="1" t="n">
        <v>45796</v>
      </c>
      <c r="D1715" t="inlineStr">
        <is>
          <t>SKÅNE LÄN</t>
        </is>
      </c>
      <c r="E1715" t="inlineStr">
        <is>
          <t>OSBY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2408-2021</t>
        </is>
      </c>
      <c r="B1716" s="1" t="n">
        <v>44214</v>
      </c>
      <c r="C1716" s="1" t="n">
        <v>45796</v>
      </c>
      <c r="D1716" t="inlineStr">
        <is>
          <t>SKÅNE LÄN</t>
        </is>
      </c>
      <c r="E1716" t="inlineStr">
        <is>
          <t>OSBY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2514-2021</t>
        </is>
      </c>
      <c r="B1717" s="1" t="n">
        <v>44214</v>
      </c>
      <c r="C1717" s="1" t="n">
        <v>45796</v>
      </c>
      <c r="D1717" t="inlineStr">
        <is>
          <t>SKÅNE LÄN</t>
        </is>
      </c>
      <c r="E1717" t="inlineStr">
        <is>
          <t>HÄSSLEHOLM</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2509-2021</t>
        </is>
      </c>
      <c r="B1718" s="1" t="n">
        <v>44214</v>
      </c>
      <c r="C1718" s="1" t="n">
        <v>45796</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2519-2021</t>
        </is>
      </c>
      <c r="B1719" s="1" t="n">
        <v>44214</v>
      </c>
      <c r="C1719" s="1" t="n">
        <v>45796</v>
      </c>
      <c r="D1719" t="inlineStr">
        <is>
          <t>SKÅNE LÄN</t>
        </is>
      </c>
      <c r="E1719" t="inlineStr">
        <is>
          <t>ÖSTRA GÖINGE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2532-2021</t>
        </is>
      </c>
      <c r="B1720" s="1" t="n">
        <v>44214</v>
      </c>
      <c r="C1720" s="1" t="n">
        <v>45796</v>
      </c>
      <c r="D1720" t="inlineStr">
        <is>
          <t>SKÅNE LÄN</t>
        </is>
      </c>
      <c r="E1720" t="inlineStr">
        <is>
          <t>ÖSTRA GÖINGE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2770-2021</t>
        </is>
      </c>
      <c r="B1721" s="1" t="n">
        <v>44215</v>
      </c>
      <c r="C1721" s="1" t="n">
        <v>45796</v>
      </c>
      <c r="D1721" t="inlineStr">
        <is>
          <t>SKÅNE LÄN</t>
        </is>
      </c>
      <c r="E1721" t="inlineStr">
        <is>
          <t>ÖRKELLJUNGA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2781-2021</t>
        </is>
      </c>
      <c r="B1722" s="1" t="n">
        <v>44215</v>
      </c>
      <c r="C1722" s="1" t="n">
        <v>45796</v>
      </c>
      <c r="D1722" t="inlineStr">
        <is>
          <t>SKÅNE LÄN</t>
        </is>
      </c>
      <c r="E1722" t="inlineStr">
        <is>
          <t>ÖRKELLJUNGA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2788-2021</t>
        </is>
      </c>
      <c r="B1723" s="1" t="n">
        <v>44215</v>
      </c>
      <c r="C1723" s="1" t="n">
        <v>45796</v>
      </c>
      <c r="D1723" t="inlineStr">
        <is>
          <t>SKÅNE LÄN</t>
        </is>
      </c>
      <c r="E1723" t="inlineStr">
        <is>
          <t>ÖRKELLJUNGA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2813-2021</t>
        </is>
      </c>
      <c r="B1724" s="1" t="n">
        <v>44215</v>
      </c>
      <c r="C1724" s="1" t="n">
        <v>45796</v>
      </c>
      <c r="D1724" t="inlineStr">
        <is>
          <t>SKÅNE LÄN</t>
        </is>
      </c>
      <c r="E1724" t="inlineStr">
        <is>
          <t>HÄSSLEHOLM</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2625-2021</t>
        </is>
      </c>
      <c r="B1725" s="1" t="n">
        <v>44215</v>
      </c>
      <c r="C1725" s="1" t="n">
        <v>45796</v>
      </c>
      <c r="D1725" t="inlineStr">
        <is>
          <t>SKÅNE LÄN</t>
        </is>
      </c>
      <c r="E1725" t="inlineStr">
        <is>
          <t>ÖSTRA GÖINGE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2794-2021</t>
        </is>
      </c>
      <c r="B1726" s="1" t="n">
        <v>44215</v>
      </c>
      <c r="C1726" s="1" t="n">
        <v>45796</v>
      </c>
      <c r="D1726" t="inlineStr">
        <is>
          <t>SKÅNE LÄN</t>
        </is>
      </c>
      <c r="E1726" t="inlineStr">
        <is>
          <t>SVALÖV</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2692-2021</t>
        </is>
      </c>
      <c r="B1727" s="1" t="n">
        <v>44215</v>
      </c>
      <c r="C1727" s="1" t="n">
        <v>45796</v>
      </c>
      <c r="D1727" t="inlineStr">
        <is>
          <t>SKÅNE LÄN</t>
        </is>
      </c>
      <c r="E1727" t="inlineStr">
        <is>
          <t>HÄSSLEHOLM</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2721-2021</t>
        </is>
      </c>
      <c r="B1728" s="1" t="n">
        <v>44215</v>
      </c>
      <c r="C1728" s="1" t="n">
        <v>45796</v>
      </c>
      <c r="D1728" t="inlineStr">
        <is>
          <t>SKÅNE LÄN</t>
        </is>
      </c>
      <c r="E1728" t="inlineStr">
        <is>
          <t>HÖÖR</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2768-2021</t>
        </is>
      </c>
      <c r="B1729" s="1" t="n">
        <v>44215</v>
      </c>
      <c r="C1729" s="1" t="n">
        <v>45796</v>
      </c>
      <c r="D1729" t="inlineStr">
        <is>
          <t>SKÅNE LÄN</t>
        </is>
      </c>
      <c r="E1729" t="inlineStr">
        <is>
          <t>ÖRKELLJUNGA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2787-2021</t>
        </is>
      </c>
      <c r="B1730" s="1" t="n">
        <v>44215</v>
      </c>
      <c r="C1730" s="1" t="n">
        <v>45796</v>
      </c>
      <c r="D1730" t="inlineStr">
        <is>
          <t>SKÅNE LÄN</t>
        </is>
      </c>
      <c r="E1730" t="inlineStr">
        <is>
          <t>ÖRKELLJUNGA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2708-2021</t>
        </is>
      </c>
      <c r="B1731" s="1" t="n">
        <v>44215</v>
      </c>
      <c r="C1731" s="1" t="n">
        <v>45796</v>
      </c>
      <c r="D1731" t="inlineStr">
        <is>
          <t>SKÅNE LÄN</t>
        </is>
      </c>
      <c r="E1731" t="inlineStr">
        <is>
          <t>ÖSTRA GÖINGE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2774-2021</t>
        </is>
      </c>
      <c r="B1732" s="1" t="n">
        <v>44215</v>
      </c>
      <c r="C1732" s="1" t="n">
        <v>45796</v>
      </c>
      <c r="D1732" t="inlineStr">
        <is>
          <t>SKÅNE LÄN</t>
        </is>
      </c>
      <c r="E1732" t="inlineStr">
        <is>
          <t>ÖRKELLJUNGA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2784-2021</t>
        </is>
      </c>
      <c r="B1733" s="1" t="n">
        <v>44215</v>
      </c>
      <c r="C1733" s="1" t="n">
        <v>45796</v>
      </c>
      <c r="D1733" t="inlineStr">
        <is>
          <t>SKÅNE LÄN</t>
        </is>
      </c>
      <c r="E1733" t="inlineStr">
        <is>
          <t>ÖRKELLJUNGA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2790-2021</t>
        </is>
      </c>
      <c r="B1734" s="1" t="n">
        <v>44215</v>
      </c>
      <c r="C1734" s="1" t="n">
        <v>45796</v>
      </c>
      <c r="D1734" t="inlineStr">
        <is>
          <t>SKÅNE LÄN</t>
        </is>
      </c>
      <c r="E1734" t="inlineStr">
        <is>
          <t>ÖRKELLJUNGA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2952-2021</t>
        </is>
      </c>
      <c r="B1735" s="1" t="n">
        <v>44216</v>
      </c>
      <c r="C1735" s="1" t="n">
        <v>45796</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3075-2021</t>
        </is>
      </c>
      <c r="B1736" s="1" t="n">
        <v>44216</v>
      </c>
      <c r="C1736" s="1" t="n">
        <v>45796</v>
      </c>
      <c r="D1736" t="inlineStr">
        <is>
          <t>SKÅNE LÄN</t>
        </is>
      </c>
      <c r="E1736" t="inlineStr">
        <is>
          <t>OSBY</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3044-2021</t>
        </is>
      </c>
      <c r="B1737" s="1" t="n">
        <v>44216</v>
      </c>
      <c r="C1737" s="1" t="n">
        <v>45796</v>
      </c>
      <c r="D1737" t="inlineStr">
        <is>
          <t>SKÅNE LÄN</t>
        </is>
      </c>
      <c r="E1737" t="inlineStr">
        <is>
          <t>HÄSSLEHOLM</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3365-2021</t>
        </is>
      </c>
      <c r="B1738" s="1" t="n">
        <v>44216</v>
      </c>
      <c r="C1738" s="1" t="n">
        <v>45796</v>
      </c>
      <c r="D1738" t="inlineStr">
        <is>
          <t>SKÅNE LÄN</t>
        </is>
      </c>
      <c r="E1738" t="inlineStr">
        <is>
          <t>HÄSSLEHOLM</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2980-2021</t>
        </is>
      </c>
      <c r="B1739" s="1" t="n">
        <v>44216</v>
      </c>
      <c r="C1739" s="1" t="n">
        <v>45796</v>
      </c>
      <c r="D1739" t="inlineStr">
        <is>
          <t>SKÅNE LÄN</t>
        </is>
      </c>
      <c r="E1739" t="inlineStr">
        <is>
          <t>ÖRKELLJUNGA</t>
        </is>
      </c>
      <c r="F1739" t="inlineStr">
        <is>
          <t>Kyrkan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3113-2021</t>
        </is>
      </c>
      <c r="B1740" s="1" t="n">
        <v>44217</v>
      </c>
      <c r="C1740" s="1" t="n">
        <v>45796</v>
      </c>
      <c r="D1740" t="inlineStr">
        <is>
          <t>SKÅNE LÄN</t>
        </is>
      </c>
      <c r="E1740" t="inlineStr">
        <is>
          <t>OSBY</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3834-2021</t>
        </is>
      </c>
      <c r="B1741" s="1" t="n">
        <v>44217</v>
      </c>
      <c r="C1741" s="1" t="n">
        <v>45796</v>
      </c>
      <c r="D1741" t="inlineStr">
        <is>
          <t>SKÅNE LÄN</t>
        </is>
      </c>
      <c r="E1741" t="inlineStr">
        <is>
          <t>OSBY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3516-2021</t>
        </is>
      </c>
      <c r="B1742" s="1" t="n">
        <v>44218</v>
      </c>
      <c r="C1742" s="1" t="n">
        <v>45796</v>
      </c>
      <c r="D1742" t="inlineStr">
        <is>
          <t>SKÅNE LÄN</t>
        </is>
      </c>
      <c r="E1742" t="inlineStr">
        <is>
          <t>OSBY</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3402-2021</t>
        </is>
      </c>
      <c r="B1743" s="1" t="n">
        <v>44218</v>
      </c>
      <c r="C1743" s="1" t="n">
        <v>45796</v>
      </c>
      <c r="D1743" t="inlineStr">
        <is>
          <t>SKÅNE LÄN</t>
        </is>
      </c>
      <c r="E1743" t="inlineStr">
        <is>
          <t>OSBY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3447-2021</t>
        </is>
      </c>
      <c r="B1744" s="1" t="n">
        <v>44218</v>
      </c>
      <c r="C1744" s="1" t="n">
        <v>45796</v>
      </c>
      <c r="D1744" t="inlineStr">
        <is>
          <t>SKÅNE LÄN</t>
        </is>
      </c>
      <c r="E1744" t="inlineStr">
        <is>
          <t>HÄSSLEHOLM</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3375-2021</t>
        </is>
      </c>
      <c r="B1745" s="1" t="n">
        <v>44218</v>
      </c>
      <c r="C1745" s="1" t="n">
        <v>45796</v>
      </c>
      <c r="D1745" t="inlineStr">
        <is>
          <t>SKÅNE LÄN</t>
        </is>
      </c>
      <c r="E1745" t="inlineStr">
        <is>
          <t>SIMRISHAMN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3483-2021</t>
        </is>
      </c>
      <c r="B1746" s="1" t="n">
        <v>44218</v>
      </c>
      <c r="C1746" s="1" t="n">
        <v>45796</v>
      </c>
      <c r="D1746" t="inlineStr">
        <is>
          <t>SKÅNE LÄN</t>
        </is>
      </c>
      <c r="E1746" t="inlineStr">
        <is>
          <t>HÄSSLEHOLM</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3373-2021</t>
        </is>
      </c>
      <c r="B1747" s="1" t="n">
        <v>44218</v>
      </c>
      <c r="C1747" s="1" t="n">
        <v>45796</v>
      </c>
      <c r="D1747" t="inlineStr">
        <is>
          <t>SKÅNE LÄN</t>
        </is>
      </c>
      <c r="E1747" t="inlineStr">
        <is>
          <t>SIMRISHAMN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3472-2021</t>
        </is>
      </c>
      <c r="B1748" s="1" t="n">
        <v>44218</v>
      </c>
      <c r="C1748" s="1" t="n">
        <v>45796</v>
      </c>
      <c r="D1748" t="inlineStr">
        <is>
          <t>SKÅNE LÄN</t>
        </is>
      </c>
      <c r="E1748" t="inlineStr">
        <is>
          <t>OSBY</t>
        </is>
      </c>
      <c r="F1748" t="inlineStr">
        <is>
          <t>Naturvårdsverket</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3594-2021</t>
        </is>
      </c>
      <c r="B1749" s="1" t="n">
        <v>44220</v>
      </c>
      <c r="C1749" s="1" t="n">
        <v>45796</v>
      </c>
      <c r="D1749" t="inlineStr">
        <is>
          <t>SKÅNE LÄN</t>
        </is>
      </c>
      <c r="E1749" t="inlineStr">
        <is>
          <t>SVALÖV</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3593-2021</t>
        </is>
      </c>
      <c r="B1750" s="1" t="n">
        <v>44220</v>
      </c>
      <c r="C1750" s="1" t="n">
        <v>45796</v>
      </c>
      <c r="D1750" t="inlineStr">
        <is>
          <t>SKÅNE LÄN</t>
        </is>
      </c>
      <c r="E1750" t="inlineStr">
        <is>
          <t>SVALÖV</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3592-2021</t>
        </is>
      </c>
      <c r="B1751" s="1" t="n">
        <v>44220</v>
      </c>
      <c r="C1751" s="1" t="n">
        <v>45796</v>
      </c>
      <c r="D1751" t="inlineStr">
        <is>
          <t>SKÅNE LÄN</t>
        </is>
      </c>
      <c r="E1751" t="inlineStr">
        <is>
          <t>SVALÖV</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3714-2021</t>
        </is>
      </c>
      <c r="B1752" s="1" t="n">
        <v>44221</v>
      </c>
      <c r="C1752" s="1" t="n">
        <v>45796</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3792-2021</t>
        </is>
      </c>
      <c r="B1753" s="1" t="n">
        <v>44221</v>
      </c>
      <c r="C1753" s="1" t="n">
        <v>45796</v>
      </c>
      <c r="D1753" t="inlineStr">
        <is>
          <t>SKÅNE LÄN</t>
        </is>
      </c>
      <c r="E1753" t="inlineStr">
        <is>
          <t>BROMÖLLA</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3925-2021</t>
        </is>
      </c>
      <c r="B1754" s="1" t="n">
        <v>44222</v>
      </c>
      <c r="C1754" s="1" t="n">
        <v>45796</v>
      </c>
      <c r="D1754" t="inlineStr">
        <is>
          <t>SKÅNE LÄN</t>
        </is>
      </c>
      <c r="E1754" t="inlineStr">
        <is>
          <t>HÄSSLEHOLM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3930-2021</t>
        </is>
      </c>
      <c r="B1755" s="1" t="n">
        <v>44222</v>
      </c>
      <c r="C1755" s="1" t="n">
        <v>45796</v>
      </c>
      <c r="D1755" t="inlineStr">
        <is>
          <t>SKÅNE LÄN</t>
        </is>
      </c>
      <c r="E1755" t="inlineStr">
        <is>
          <t>HÄSSLEHOLM</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4044-2021</t>
        </is>
      </c>
      <c r="B1756" s="1" t="n">
        <v>44222</v>
      </c>
      <c r="C1756" s="1" t="n">
        <v>45796</v>
      </c>
      <c r="D1756" t="inlineStr">
        <is>
          <t>SKÅNE LÄN</t>
        </is>
      </c>
      <c r="E1756" t="inlineStr">
        <is>
          <t>HÖRBY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4244-2021</t>
        </is>
      </c>
      <c r="B1757" s="1" t="n">
        <v>44223</v>
      </c>
      <c r="C1757" s="1" t="n">
        <v>45796</v>
      </c>
      <c r="D1757" t="inlineStr">
        <is>
          <t>SKÅNE LÄN</t>
        </is>
      </c>
      <c r="E1757" t="inlineStr">
        <is>
          <t>ÄNGELHOLM</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4370-2021</t>
        </is>
      </c>
      <c r="B1758" s="1" t="n">
        <v>44223</v>
      </c>
      <c r="C1758" s="1" t="n">
        <v>45796</v>
      </c>
      <c r="D1758" t="inlineStr">
        <is>
          <t>SKÅNE LÄN</t>
        </is>
      </c>
      <c r="E1758" t="inlineStr">
        <is>
          <t>HÄSSLEHOLM</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4584-2021</t>
        </is>
      </c>
      <c r="B1759" s="1" t="n">
        <v>44224</v>
      </c>
      <c r="C1759" s="1" t="n">
        <v>45796</v>
      </c>
      <c r="D1759" t="inlineStr">
        <is>
          <t>SKÅNE LÄN</t>
        </is>
      </c>
      <c r="E1759" t="inlineStr">
        <is>
          <t>OSBY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4918-2021</t>
        </is>
      </c>
      <c r="B1760" s="1" t="n">
        <v>44226</v>
      </c>
      <c r="C1760" s="1" t="n">
        <v>45796</v>
      </c>
      <c r="D1760" t="inlineStr">
        <is>
          <t>SKÅNE LÄN</t>
        </is>
      </c>
      <c r="E1760" t="inlineStr">
        <is>
          <t>OSBY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4933-2021</t>
        </is>
      </c>
      <c r="B1761" s="1" t="n">
        <v>44227</v>
      </c>
      <c r="C1761" s="1" t="n">
        <v>45796</v>
      </c>
      <c r="D1761" t="inlineStr">
        <is>
          <t>SKÅNE LÄN</t>
        </is>
      </c>
      <c r="E1761" t="inlineStr">
        <is>
          <t>ÄNGELHOLM</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5145-2021</t>
        </is>
      </c>
      <c r="B1762" s="1" t="n">
        <v>44228</v>
      </c>
      <c r="C1762" s="1" t="n">
        <v>45796</v>
      </c>
      <c r="D1762" t="inlineStr">
        <is>
          <t>SKÅNE LÄN</t>
        </is>
      </c>
      <c r="E1762" t="inlineStr">
        <is>
          <t>ÖSTRA GÖINGE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5537-2021</t>
        </is>
      </c>
      <c r="B1763" s="1" t="n">
        <v>44228</v>
      </c>
      <c r="C1763" s="1" t="n">
        <v>45796</v>
      </c>
      <c r="D1763" t="inlineStr">
        <is>
          <t>SKÅNE LÄN</t>
        </is>
      </c>
      <c r="E1763" t="inlineStr">
        <is>
          <t>OSBY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5476-2021</t>
        </is>
      </c>
      <c r="B1764" s="1" t="n">
        <v>44230</v>
      </c>
      <c r="C1764" s="1" t="n">
        <v>45796</v>
      </c>
      <c r="D1764" t="inlineStr">
        <is>
          <t>SKÅNE LÄN</t>
        </is>
      </c>
      <c r="E1764" t="inlineStr">
        <is>
          <t>HÄSSLEHOLM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5478-2021</t>
        </is>
      </c>
      <c r="B1765" s="1" t="n">
        <v>44230</v>
      </c>
      <c r="C1765" s="1" t="n">
        <v>45796</v>
      </c>
      <c r="D1765" t="inlineStr">
        <is>
          <t>SKÅNE LÄN</t>
        </is>
      </c>
      <c r="E1765" t="inlineStr">
        <is>
          <t>HÄSSLEHOLM</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5678-2021</t>
        </is>
      </c>
      <c r="B1766" s="1" t="n">
        <v>44230</v>
      </c>
      <c r="C1766" s="1" t="n">
        <v>45796</v>
      </c>
      <c r="D1766" t="inlineStr">
        <is>
          <t>SKÅNE LÄN</t>
        </is>
      </c>
      <c r="E1766" t="inlineStr">
        <is>
          <t>ÖRKELLJUNGA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5773-2021</t>
        </is>
      </c>
      <c r="B1767" s="1" t="n">
        <v>44230</v>
      </c>
      <c r="C1767" s="1" t="n">
        <v>45796</v>
      </c>
      <c r="D1767" t="inlineStr">
        <is>
          <t>SKÅNE LÄN</t>
        </is>
      </c>
      <c r="E1767" t="inlineStr">
        <is>
          <t>ÖSTRA GÖINGE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6122-2021</t>
        </is>
      </c>
      <c r="B1768" s="1" t="n">
        <v>44232</v>
      </c>
      <c r="C1768" s="1" t="n">
        <v>45796</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6103-2021</t>
        </is>
      </c>
      <c r="B1769" s="1" t="n">
        <v>44232</v>
      </c>
      <c r="C1769" s="1" t="n">
        <v>45796</v>
      </c>
      <c r="D1769" t="inlineStr">
        <is>
          <t>SKÅNE LÄN</t>
        </is>
      </c>
      <c r="E1769" t="inlineStr">
        <is>
          <t>ÖSTRA GÖINGE</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6154-2021</t>
        </is>
      </c>
      <c r="B1770" s="1" t="n">
        <v>44232</v>
      </c>
      <c r="C1770" s="1" t="n">
        <v>45796</v>
      </c>
      <c r="D1770" t="inlineStr">
        <is>
          <t>SKÅNE LÄN</t>
        </is>
      </c>
      <c r="E1770" t="inlineStr">
        <is>
          <t>ÖRKELLJUNGA</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6170-2021</t>
        </is>
      </c>
      <c r="B1771" s="1" t="n">
        <v>44232</v>
      </c>
      <c r="C1771" s="1" t="n">
        <v>45796</v>
      </c>
      <c r="D1771" t="inlineStr">
        <is>
          <t>SKÅNE LÄN</t>
        </is>
      </c>
      <c r="E1771" t="inlineStr">
        <is>
          <t>BÅSTAD</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6180-2021</t>
        </is>
      </c>
      <c r="B1772" s="1" t="n">
        <v>44232</v>
      </c>
      <c r="C1772" s="1" t="n">
        <v>45796</v>
      </c>
      <c r="D1772" t="inlineStr">
        <is>
          <t>SKÅNE LÄN</t>
        </is>
      </c>
      <c r="E1772" t="inlineStr">
        <is>
          <t>HÄSSLEHOLM</t>
        </is>
      </c>
      <c r="F1772" t="inlineStr">
        <is>
          <t>Kyrkan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6327-2021</t>
        </is>
      </c>
      <c r="B1773" s="1" t="n">
        <v>44235</v>
      </c>
      <c r="C1773" s="1" t="n">
        <v>45796</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6237-2021</t>
        </is>
      </c>
      <c r="B1774" s="1" t="n">
        <v>44235</v>
      </c>
      <c r="C1774" s="1" t="n">
        <v>45796</v>
      </c>
      <c r="D1774" t="inlineStr">
        <is>
          <t>SKÅNE LÄN</t>
        </is>
      </c>
      <c r="E1774" t="inlineStr">
        <is>
          <t>ÖRKELLJUNGA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6397-2021</t>
        </is>
      </c>
      <c r="B1775" s="1" t="n">
        <v>44235</v>
      </c>
      <c r="C1775" s="1" t="n">
        <v>45796</v>
      </c>
      <c r="D1775" t="inlineStr">
        <is>
          <t>SKÅNE LÄN</t>
        </is>
      </c>
      <c r="E1775" t="inlineStr">
        <is>
          <t>OSBY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6429-2021</t>
        </is>
      </c>
      <c r="B1776" s="1" t="n">
        <v>44235</v>
      </c>
      <c r="C1776" s="1" t="n">
        <v>45796</v>
      </c>
      <c r="D1776" t="inlineStr">
        <is>
          <t>SKÅNE LÄN</t>
        </is>
      </c>
      <c r="E1776" t="inlineStr">
        <is>
          <t>ÖRKELLJUNGA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6538-2021</t>
        </is>
      </c>
      <c r="B1777" s="1" t="n">
        <v>44235</v>
      </c>
      <c r="C1777" s="1" t="n">
        <v>45796</v>
      </c>
      <c r="D1777" t="inlineStr">
        <is>
          <t>SKÅNE LÄN</t>
        </is>
      </c>
      <c r="E1777" t="inlineStr">
        <is>
          <t>KLIPPAN</t>
        </is>
      </c>
      <c r="F1777" t="inlineStr">
        <is>
          <t>Övriga Aktiebolag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6638-2021</t>
        </is>
      </c>
      <c r="B1778" s="1" t="n">
        <v>44235</v>
      </c>
      <c r="C1778" s="1" t="n">
        <v>45796</v>
      </c>
      <c r="D1778" t="inlineStr">
        <is>
          <t>SKÅNE LÄN</t>
        </is>
      </c>
      <c r="E1778" t="inlineStr">
        <is>
          <t>HÄSSLEHOLM</t>
        </is>
      </c>
      <c r="G1778" t="n">
        <v>112.4</v>
      </c>
      <c r="H1778" t="n">
        <v>0</v>
      </c>
      <c r="I1778" t="n">
        <v>0</v>
      </c>
      <c r="J1778" t="n">
        <v>0</v>
      </c>
      <c r="K1778" t="n">
        <v>0</v>
      </c>
      <c r="L1778" t="n">
        <v>0</v>
      </c>
      <c r="M1778" t="n">
        <v>0</v>
      </c>
      <c r="N1778" t="n">
        <v>0</v>
      </c>
      <c r="O1778" t="n">
        <v>0</v>
      </c>
      <c r="P1778" t="n">
        <v>0</v>
      </c>
      <c r="Q1778" t="n">
        <v>0</v>
      </c>
      <c r="R1778" s="2" t="inlineStr"/>
    </row>
    <row r="1779" ht="15" customHeight="1">
      <c r="A1779" t="inlineStr">
        <is>
          <t>A 6528-2021</t>
        </is>
      </c>
      <c r="B1779" s="1" t="n">
        <v>44235</v>
      </c>
      <c r="C1779" s="1" t="n">
        <v>45796</v>
      </c>
      <c r="D1779" t="inlineStr">
        <is>
          <t>SKÅNE LÄN</t>
        </is>
      </c>
      <c r="E1779" t="inlineStr">
        <is>
          <t>PERSTORP</t>
        </is>
      </c>
      <c r="F1779" t="inlineStr">
        <is>
          <t>Övriga Aktiebolag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6540-2021</t>
        </is>
      </c>
      <c r="B1780" s="1" t="n">
        <v>44235</v>
      </c>
      <c r="C1780" s="1" t="n">
        <v>45796</v>
      </c>
      <c r="D1780" t="inlineStr">
        <is>
          <t>SKÅNE LÄN</t>
        </is>
      </c>
      <c r="E1780" t="inlineStr">
        <is>
          <t>PERSTORP</t>
        </is>
      </c>
      <c r="F1780" t="inlineStr">
        <is>
          <t>Övriga Aktiebolag</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6648-2021</t>
        </is>
      </c>
      <c r="B1781" s="1" t="n">
        <v>44235</v>
      </c>
      <c r="C1781" s="1" t="n">
        <v>45796</v>
      </c>
      <c r="D1781" t="inlineStr">
        <is>
          <t>SKÅNE LÄN</t>
        </is>
      </c>
      <c r="E1781" t="inlineStr">
        <is>
          <t>HÖÖR</t>
        </is>
      </c>
      <c r="F1781" t="inlineStr">
        <is>
          <t>Övriga statliga verk och myndigheter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6574-2021</t>
        </is>
      </c>
      <c r="B1782" s="1" t="n">
        <v>44236</v>
      </c>
      <c r="C1782" s="1" t="n">
        <v>45796</v>
      </c>
      <c r="D1782" t="inlineStr">
        <is>
          <t>SKÅNE LÄN</t>
        </is>
      </c>
      <c r="E1782" t="inlineStr">
        <is>
          <t>ÄNGELHOLM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6583-2021</t>
        </is>
      </c>
      <c r="B1783" s="1" t="n">
        <v>44236</v>
      </c>
      <c r="C1783" s="1" t="n">
        <v>45796</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6596-2021</t>
        </is>
      </c>
      <c r="B1784" s="1" t="n">
        <v>44236</v>
      </c>
      <c r="C1784" s="1" t="n">
        <v>45796</v>
      </c>
      <c r="D1784" t="inlineStr">
        <is>
          <t>SKÅNE LÄN</t>
        </is>
      </c>
      <c r="E1784" t="inlineStr">
        <is>
          <t>HÄSSLEHOLM</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6769-2021</t>
        </is>
      </c>
      <c r="B1785" s="1" t="n">
        <v>44236</v>
      </c>
      <c r="C1785" s="1" t="n">
        <v>45796</v>
      </c>
      <c r="D1785" t="inlineStr">
        <is>
          <t>SKÅNE LÄN</t>
        </is>
      </c>
      <c r="E1785" t="inlineStr">
        <is>
          <t>HÖÖR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6791-2021</t>
        </is>
      </c>
      <c r="B1786" s="1" t="n">
        <v>44236</v>
      </c>
      <c r="C1786" s="1" t="n">
        <v>45796</v>
      </c>
      <c r="D1786" t="inlineStr">
        <is>
          <t>SKÅNE LÄN</t>
        </is>
      </c>
      <c r="E1786" t="inlineStr">
        <is>
          <t>HÄSSLEHOLM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6804-2021</t>
        </is>
      </c>
      <c r="B1787" s="1" t="n">
        <v>44236</v>
      </c>
      <c r="C1787" s="1" t="n">
        <v>45796</v>
      </c>
      <c r="D1787" t="inlineStr">
        <is>
          <t>SKÅNE LÄN</t>
        </is>
      </c>
      <c r="E1787" t="inlineStr">
        <is>
          <t>HÄSSLEHOLM</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6811-2021</t>
        </is>
      </c>
      <c r="B1788" s="1" t="n">
        <v>44236</v>
      </c>
      <c r="C1788" s="1" t="n">
        <v>45796</v>
      </c>
      <c r="D1788" t="inlineStr">
        <is>
          <t>SKÅNE LÄN</t>
        </is>
      </c>
      <c r="E1788" t="inlineStr">
        <is>
          <t>ÖSTRA GÖINGE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7248-2021</t>
        </is>
      </c>
      <c r="B1789" s="1" t="n">
        <v>44236</v>
      </c>
      <c r="C1789" s="1" t="n">
        <v>45796</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6962-2021</t>
        </is>
      </c>
      <c r="B1790" s="1" t="n">
        <v>44237</v>
      </c>
      <c r="C1790" s="1" t="n">
        <v>45796</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6967-2021</t>
        </is>
      </c>
      <c r="B1791" s="1" t="n">
        <v>44237</v>
      </c>
      <c r="C1791" s="1" t="n">
        <v>45796</v>
      </c>
      <c r="D1791" t="inlineStr">
        <is>
          <t>SKÅNE LÄN</t>
        </is>
      </c>
      <c r="E1791" t="inlineStr">
        <is>
          <t>HÄSSLEHOLM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6973-2021</t>
        </is>
      </c>
      <c r="B1792" s="1" t="n">
        <v>44237</v>
      </c>
      <c r="C1792" s="1" t="n">
        <v>45796</v>
      </c>
      <c r="D1792" t="inlineStr">
        <is>
          <t>SKÅNE LÄN</t>
        </is>
      </c>
      <c r="E1792" t="inlineStr">
        <is>
          <t>HÄSSLEHOLM</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7245-2021</t>
        </is>
      </c>
      <c r="B1793" s="1" t="n">
        <v>44237</v>
      </c>
      <c r="C1793" s="1" t="n">
        <v>45796</v>
      </c>
      <c r="D1793" t="inlineStr">
        <is>
          <t>SKÅNE LÄN</t>
        </is>
      </c>
      <c r="E1793" t="inlineStr">
        <is>
          <t>KRISTIANSTAD</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7209-2021</t>
        </is>
      </c>
      <c r="B1794" s="1" t="n">
        <v>44237</v>
      </c>
      <c r="C1794" s="1" t="n">
        <v>45796</v>
      </c>
      <c r="D1794" t="inlineStr">
        <is>
          <t>SKÅNE LÄN</t>
        </is>
      </c>
      <c r="E1794" t="inlineStr">
        <is>
          <t>KRISTIANSTAD</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6965-2021</t>
        </is>
      </c>
      <c r="B1795" s="1" t="n">
        <v>44237</v>
      </c>
      <c r="C1795" s="1" t="n">
        <v>45796</v>
      </c>
      <c r="D1795" t="inlineStr">
        <is>
          <t>SKÅNE LÄN</t>
        </is>
      </c>
      <c r="E1795" t="inlineStr">
        <is>
          <t>HÄSSLEHOLM</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7231-2021</t>
        </is>
      </c>
      <c r="B1796" s="1" t="n">
        <v>44237</v>
      </c>
      <c r="C1796" s="1" t="n">
        <v>45796</v>
      </c>
      <c r="D1796" t="inlineStr">
        <is>
          <t>SKÅNE LÄN</t>
        </is>
      </c>
      <c r="E1796" t="inlineStr">
        <is>
          <t>KRISTIANSTAD</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7186-2021</t>
        </is>
      </c>
      <c r="B1797" s="1" t="n">
        <v>44238</v>
      </c>
      <c r="C1797" s="1" t="n">
        <v>45796</v>
      </c>
      <c r="D1797" t="inlineStr">
        <is>
          <t>SKÅNE LÄN</t>
        </is>
      </c>
      <c r="E1797" t="inlineStr">
        <is>
          <t>KRISTIANSTAD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7522-2021</t>
        </is>
      </c>
      <c r="B1798" s="1" t="n">
        <v>44238</v>
      </c>
      <c r="C1798" s="1" t="n">
        <v>45796</v>
      </c>
      <c r="D1798" t="inlineStr">
        <is>
          <t>SKÅNE LÄN</t>
        </is>
      </c>
      <c r="E1798" t="inlineStr">
        <is>
          <t>HÄSSLEHOLM</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7701-2021</t>
        </is>
      </c>
      <c r="B1799" s="1" t="n">
        <v>44242</v>
      </c>
      <c r="C1799" s="1" t="n">
        <v>45796</v>
      </c>
      <c r="D1799" t="inlineStr">
        <is>
          <t>SKÅNE LÄN</t>
        </is>
      </c>
      <c r="E1799" t="inlineStr">
        <is>
          <t>HÄSSLEHOLM</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7655-2021</t>
        </is>
      </c>
      <c r="B1800" s="1" t="n">
        <v>44242</v>
      </c>
      <c r="C1800" s="1" t="n">
        <v>45796</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7692-2021</t>
        </is>
      </c>
      <c r="B1801" s="1" t="n">
        <v>44242</v>
      </c>
      <c r="C1801" s="1" t="n">
        <v>45796</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7729-2021</t>
        </is>
      </c>
      <c r="B1802" s="1" t="n">
        <v>44242</v>
      </c>
      <c r="C1802" s="1" t="n">
        <v>45796</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7707-2021</t>
        </is>
      </c>
      <c r="B1803" s="1" t="n">
        <v>44242</v>
      </c>
      <c r="C1803" s="1" t="n">
        <v>45796</v>
      </c>
      <c r="D1803" t="inlineStr">
        <is>
          <t>SKÅNE LÄN</t>
        </is>
      </c>
      <c r="E1803" t="inlineStr">
        <is>
          <t>ÖRKELLJUNGA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7771-2021</t>
        </is>
      </c>
      <c r="B1804" s="1" t="n">
        <v>44242</v>
      </c>
      <c r="C1804" s="1" t="n">
        <v>45796</v>
      </c>
      <c r="D1804" t="inlineStr">
        <is>
          <t>SKÅNE LÄN</t>
        </is>
      </c>
      <c r="E1804" t="inlineStr">
        <is>
          <t>HÄSSLEHOLM</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8201-2021</t>
        </is>
      </c>
      <c r="B1805" s="1" t="n">
        <v>44244</v>
      </c>
      <c r="C1805" s="1" t="n">
        <v>45796</v>
      </c>
      <c r="D1805" t="inlineStr">
        <is>
          <t>SKÅNE LÄN</t>
        </is>
      </c>
      <c r="E1805" t="inlineStr">
        <is>
          <t>SVALÖV</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8160-2021</t>
        </is>
      </c>
      <c r="B1806" s="1" t="n">
        <v>44244</v>
      </c>
      <c r="C1806" s="1" t="n">
        <v>45796</v>
      </c>
      <c r="D1806" t="inlineStr">
        <is>
          <t>SKÅNE LÄN</t>
        </is>
      </c>
      <c r="E1806" t="inlineStr">
        <is>
          <t>SVALÖV</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8204-2021</t>
        </is>
      </c>
      <c r="B1807" s="1" t="n">
        <v>44244</v>
      </c>
      <c r="C1807" s="1" t="n">
        <v>45796</v>
      </c>
      <c r="D1807" t="inlineStr">
        <is>
          <t>SKÅNE LÄN</t>
        </is>
      </c>
      <c r="E1807" t="inlineStr">
        <is>
          <t>KLIPPAN</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8278-2021</t>
        </is>
      </c>
      <c r="B1808" s="1" t="n">
        <v>44244</v>
      </c>
      <c r="C1808" s="1" t="n">
        <v>45796</v>
      </c>
      <c r="D1808" t="inlineStr">
        <is>
          <t>SKÅNE LÄN</t>
        </is>
      </c>
      <c r="E1808" t="inlineStr">
        <is>
          <t>HÄSSLEHOLM</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8683-2021</t>
        </is>
      </c>
      <c r="B1809" s="1" t="n">
        <v>44245</v>
      </c>
      <c r="C1809" s="1" t="n">
        <v>45796</v>
      </c>
      <c r="D1809" t="inlineStr">
        <is>
          <t>SKÅNE LÄN</t>
        </is>
      </c>
      <c r="E1809" t="inlineStr">
        <is>
          <t>PERSTORP</t>
        </is>
      </c>
      <c r="F1809" t="inlineStr">
        <is>
          <t>Övriga Aktiebolag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8680-2021</t>
        </is>
      </c>
      <c r="B1810" s="1" t="n">
        <v>44245</v>
      </c>
      <c r="C1810" s="1" t="n">
        <v>45796</v>
      </c>
      <c r="D1810" t="inlineStr">
        <is>
          <t>SKÅNE LÄN</t>
        </is>
      </c>
      <c r="E1810" t="inlineStr">
        <is>
          <t>KLIPPAN</t>
        </is>
      </c>
      <c r="F1810" t="inlineStr">
        <is>
          <t>Övriga Aktiebolag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8686-2021</t>
        </is>
      </c>
      <c r="B1811" s="1" t="n">
        <v>44245</v>
      </c>
      <c r="C1811" s="1" t="n">
        <v>45796</v>
      </c>
      <c r="D1811" t="inlineStr">
        <is>
          <t>SKÅNE LÄN</t>
        </is>
      </c>
      <c r="E1811" t="inlineStr">
        <is>
          <t>KLIPPAN</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8752-2021</t>
        </is>
      </c>
      <c r="B1812" s="1" t="n">
        <v>44246</v>
      </c>
      <c r="C1812" s="1" t="n">
        <v>45796</v>
      </c>
      <c r="D1812" t="inlineStr">
        <is>
          <t>SKÅNE LÄN</t>
        </is>
      </c>
      <c r="E1812" t="inlineStr">
        <is>
          <t>ÖRKELLJUNGA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8790-2021</t>
        </is>
      </c>
      <c r="B1813" s="1" t="n">
        <v>44246</v>
      </c>
      <c r="C1813" s="1" t="n">
        <v>45796</v>
      </c>
      <c r="D1813" t="inlineStr">
        <is>
          <t>SKÅNE LÄN</t>
        </is>
      </c>
      <c r="E1813" t="inlineStr">
        <is>
          <t>HÖÖR</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8741-2021</t>
        </is>
      </c>
      <c r="B1814" s="1" t="n">
        <v>44246</v>
      </c>
      <c r="C1814" s="1" t="n">
        <v>45796</v>
      </c>
      <c r="D1814" t="inlineStr">
        <is>
          <t>SKÅNE LÄN</t>
        </is>
      </c>
      <c r="E1814" t="inlineStr">
        <is>
          <t>PERSTORP</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8972-2021</t>
        </is>
      </c>
      <c r="B1815" s="1" t="n">
        <v>44246</v>
      </c>
      <c r="C1815" s="1" t="n">
        <v>45796</v>
      </c>
      <c r="D1815" t="inlineStr">
        <is>
          <t>SKÅNE LÄN</t>
        </is>
      </c>
      <c r="E1815" t="inlineStr">
        <is>
          <t>OSBY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8966-2021</t>
        </is>
      </c>
      <c r="B1816" s="1" t="n">
        <v>44246</v>
      </c>
      <c r="C1816" s="1" t="n">
        <v>45796</v>
      </c>
      <c r="D1816" t="inlineStr">
        <is>
          <t>SKÅNE LÄN</t>
        </is>
      </c>
      <c r="E1816" t="inlineStr">
        <is>
          <t>OSBY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8695-2021</t>
        </is>
      </c>
      <c r="B1817" s="1" t="n">
        <v>44246</v>
      </c>
      <c r="C1817" s="1" t="n">
        <v>45796</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8961-2021</t>
        </is>
      </c>
      <c r="B1818" s="1" t="n">
        <v>44246</v>
      </c>
      <c r="C1818" s="1" t="n">
        <v>45796</v>
      </c>
      <c r="D1818" t="inlineStr">
        <is>
          <t>SKÅNE LÄN</t>
        </is>
      </c>
      <c r="E1818" t="inlineStr">
        <is>
          <t>OSBY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9046-2021</t>
        </is>
      </c>
      <c r="B1819" s="1" t="n">
        <v>44246</v>
      </c>
      <c r="C1819" s="1" t="n">
        <v>45796</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8865-2021</t>
        </is>
      </c>
      <c r="B1820" s="1" t="n">
        <v>44247</v>
      </c>
      <c r="C1820" s="1" t="n">
        <v>45796</v>
      </c>
      <c r="D1820" t="inlineStr">
        <is>
          <t>SKÅNE LÄN</t>
        </is>
      </c>
      <c r="E1820" t="inlineStr">
        <is>
          <t>OSBY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8968-2021</t>
        </is>
      </c>
      <c r="B1821" s="1" t="n">
        <v>44249</v>
      </c>
      <c r="C1821" s="1" t="n">
        <v>45796</v>
      </c>
      <c r="D1821" t="inlineStr">
        <is>
          <t>SKÅNE LÄN</t>
        </is>
      </c>
      <c r="E1821" t="inlineStr">
        <is>
          <t>KRISTIANSTAD</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9100-2021</t>
        </is>
      </c>
      <c r="B1822" s="1" t="n">
        <v>44249</v>
      </c>
      <c r="C1822" s="1" t="n">
        <v>45796</v>
      </c>
      <c r="D1822" t="inlineStr">
        <is>
          <t>SKÅNE LÄN</t>
        </is>
      </c>
      <c r="E1822" t="inlineStr">
        <is>
          <t>OSBY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9238-2021</t>
        </is>
      </c>
      <c r="B1823" s="1" t="n">
        <v>44250</v>
      </c>
      <c r="C1823" s="1" t="n">
        <v>45796</v>
      </c>
      <c r="D1823" t="inlineStr">
        <is>
          <t>SKÅNE LÄN</t>
        </is>
      </c>
      <c r="E1823" t="inlineStr">
        <is>
          <t>TOMELILLA</t>
        </is>
      </c>
      <c r="F1823" t="inlineStr">
        <is>
          <t>Övriga Aktiebolag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9257-2021</t>
        </is>
      </c>
      <c r="B1824" s="1" t="n">
        <v>44250</v>
      </c>
      <c r="C1824" s="1" t="n">
        <v>45796</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9180-2021</t>
        </is>
      </c>
      <c r="B1825" s="1" t="n">
        <v>44250</v>
      </c>
      <c r="C1825" s="1" t="n">
        <v>45796</v>
      </c>
      <c r="D1825" t="inlineStr">
        <is>
          <t>SKÅNE LÄN</t>
        </is>
      </c>
      <c r="E1825" t="inlineStr">
        <is>
          <t>TOMELILLA</t>
        </is>
      </c>
      <c r="F1825" t="inlineStr">
        <is>
          <t>Övriga Aktiebolag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9301-2021</t>
        </is>
      </c>
      <c r="B1826" s="1" t="n">
        <v>44250</v>
      </c>
      <c r="C1826" s="1" t="n">
        <v>45796</v>
      </c>
      <c r="D1826" t="inlineStr">
        <is>
          <t>SKÅNE LÄN</t>
        </is>
      </c>
      <c r="E1826" t="inlineStr">
        <is>
          <t>OSBY</t>
        </is>
      </c>
      <c r="F1826" t="inlineStr">
        <is>
          <t>Naturvårdsverket</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9459-2021</t>
        </is>
      </c>
      <c r="B1827" s="1" t="n">
        <v>44251</v>
      </c>
      <c r="C1827" s="1" t="n">
        <v>45796</v>
      </c>
      <c r="D1827" t="inlineStr">
        <is>
          <t>SKÅNE LÄN</t>
        </is>
      </c>
      <c r="E1827" t="inlineStr">
        <is>
          <t>ÖSTRA GÖINGE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9535-2021</t>
        </is>
      </c>
      <c r="B1828" s="1" t="n">
        <v>44251</v>
      </c>
      <c r="C1828" s="1" t="n">
        <v>45796</v>
      </c>
      <c r="D1828" t="inlineStr">
        <is>
          <t>SKÅNE LÄN</t>
        </is>
      </c>
      <c r="E1828" t="inlineStr">
        <is>
          <t>KLIPPAN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9453-2021</t>
        </is>
      </c>
      <c r="B1829" s="1" t="n">
        <v>44251</v>
      </c>
      <c r="C1829" s="1" t="n">
        <v>45796</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9510-2021</t>
        </is>
      </c>
      <c r="B1830" s="1" t="n">
        <v>44251</v>
      </c>
      <c r="C1830" s="1" t="n">
        <v>45796</v>
      </c>
      <c r="D1830" t="inlineStr">
        <is>
          <t>SKÅNE LÄN</t>
        </is>
      </c>
      <c r="E1830" t="inlineStr">
        <is>
          <t>TOMELILLA</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9659-2021</t>
        </is>
      </c>
      <c r="B1831" s="1" t="n">
        <v>44252</v>
      </c>
      <c r="C1831" s="1" t="n">
        <v>45796</v>
      </c>
      <c r="D1831" t="inlineStr">
        <is>
          <t>SKÅNE LÄN</t>
        </is>
      </c>
      <c r="E1831" t="inlineStr">
        <is>
          <t>OSBY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9885-2021</t>
        </is>
      </c>
      <c r="B1832" s="1" t="n">
        <v>44253</v>
      </c>
      <c r="C1832" s="1" t="n">
        <v>45796</v>
      </c>
      <c r="D1832" t="inlineStr">
        <is>
          <t>SKÅNE LÄN</t>
        </is>
      </c>
      <c r="E1832" t="inlineStr">
        <is>
          <t>HÄSSLEHOLM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9880-2021</t>
        </is>
      </c>
      <c r="B1833" s="1" t="n">
        <v>44253</v>
      </c>
      <c r="C1833" s="1" t="n">
        <v>45796</v>
      </c>
      <c r="D1833" t="inlineStr">
        <is>
          <t>SKÅNE LÄN</t>
        </is>
      </c>
      <c r="E1833" t="inlineStr">
        <is>
          <t>HÄSSLEHOLM</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10013-2021</t>
        </is>
      </c>
      <c r="B1834" s="1" t="n">
        <v>44253</v>
      </c>
      <c r="C1834" s="1" t="n">
        <v>45796</v>
      </c>
      <c r="D1834" t="inlineStr">
        <is>
          <t>SKÅNE LÄN</t>
        </is>
      </c>
      <c r="E1834" t="inlineStr">
        <is>
          <t>HÖÖR</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10081-2021</t>
        </is>
      </c>
      <c r="B1835" s="1" t="n">
        <v>44256</v>
      </c>
      <c r="C1835" s="1" t="n">
        <v>45796</v>
      </c>
      <c r="D1835" t="inlineStr">
        <is>
          <t>SKÅNE LÄN</t>
        </is>
      </c>
      <c r="E1835" t="inlineStr">
        <is>
          <t>KRISTIANSTAD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10377-2021</t>
        </is>
      </c>
      <c r="B1836" s="1" t="n">
        <v>44257</v>
      </c>
      <c r="C1836" s="1" t="n">
        <v>45796</v>
      </c>
      <c r="D1836" t="inlineStr">
        <is>
          <t>SKÅNE LÄN</t>
        </is>
      </c>
      <c r="E1836" t="inlineStr">
        <is>
          <t>ÄNGELHOLM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10833-2021</t>
        </is>
      </c>
      <c r="B1837" s="1" t="n">
        <v>44259</v>
      </c>
      <c r="C1837" s="1" t="n">
        <v>45796</v>
      </c>
      <c r="D1837" t="inlineStr">
        <is>
          <t>SKÅNE LÄN</t>
        </is>
      </c>
      <c r="E1837" t="inlineStr">
        <is>
          <t>ÄNGELHOLM</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10864-2021</t>
        </is>
      </c>
      <c r="B1838" s="1" t="n">
        <v>44259</v>
      </c>
      <c r="C1838" s="1" t="n">
        <v>45796</v>
      </c>
      <c r="D1838" t="inlineStr">
        <is>
          <t>SKÅNE LÄN</t>
        </is>
      </c>
      <c r="E1838" t="inlineStr">
        <is>
          <t>PERSTORP</t>
        </is>
      </c>
      <c r="F1838" t="inlineStr">
        <is>
          <t>Kyrkan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11105-2021</t>
        </is>
      </c>
      <c r="B1839" s="1" t="n">
        <v>44259</v>
      </c>
      <c r="C1839" s="1" t="n">
        <v>45796</v>
      </c>
      <c r="D1839" t="inlineStr">
        <is>
          <t>SKÅNE LÄN</t>
        </is>
      </c>
      <c r="E1839" t="inlineStr">
        <is>
          <t>KLIPPAN</t>
        </is>
      </c>
      <c r="F1839" t="inlineStr">
        <is>
          <t>Övriga Aktiebolag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11212-2021</t>
        </is>
      </c>
      <c r="B1840" s="1" t="n">
        <v>44263</v>
      </c>
      <c r="C1840" s="1" t="n">
        <v>45796</v>
      </c>
      <c r="D1840" t="inlineStr">
        <is>
          <t>SKÅNE LÄN</t>
        </is>
      </c>
      <c r="E1840" t="inlineStr">
        <is>
          <t>OSBY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11260-2021</t>
        </is>
      </c>
      <c r="B1841" s="1" t="n">
        <v>44263</v>
      </c>
      <c r="C1841" s="1" t="n">
        <v>45796</v>
      </c>
      <c r="D1841" t="inlineStr">
        <is>
          <t>SKÅNE LÄN</t>
        </is>
      </c>
      <c r="E1841" t="inlineStr">
        <is>
          <t>HÄSSLEHOLM</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11384-2021</t>
        </is>
      </c>
      <c r="B1842" s="1" t="n">
        <v>44263</v>
      </c>
      <c r="C1842" s="1" t="n">
        <v>45796</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11506-2021</t>
        </is>
      </c>
      <c r="B1843" s="1" t="n">
        <v>44264</v>
      </c>
      <c r="C1843" s="1" t="n">
        <v>45796</v>
      </c>
      <c r="D1843" t="inlineStr">
        <is>
          <t>SKÅNE LÄN</t>
        </is>
      </c>
      <c r="E1843" t="inlineStr">
        <is>
          <t>HÖÖR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11511-2021</t>
        </is>
      </c>
      <c r="B1844" s="1" t="n">
        <v>44264</v>
      </c>
      <c r="C1844" s="1" t="n">
        <v>45796</v>
      </c>
      <c r="D1844" t="inlineStr">
        <is>
          <t>SKÅNE LÄN</t>
        </is>
      </c>
      <c r="E1844" t="inlineStr">
        <is>
          <t>HÖÖR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11616-2021</t>
        </is>
      </c>
      <c r="B1845" s="1" t="n">
        <v>44264</v>
      </c>
      <c r="C1845" s="1" t="n">
        <v>45796</v>
      </c>
      <c r="D1845" t="inlineStr">
        <is>
          <t>SKÅNE LÄN</t>
        </is>
      </c>
      <c r="E1845" t="inlineStr">
        <is>
          <t>HÄSSLEHOLM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11764-2021</t>
        </is>
      </c>
      <c r="B1846" s="1" t="n">
        <v>44265</v>
      </c>
      <c r="C1846" s="1" t="n">
        <v>45796</v>
      </c>
      <c r="D1846" t="inlineStr">
        <is>
          <t>SKÅNE LÄN</t>
        </is>
      </c>
      <c r="E1846" t="inlineStr">
        <is>
          <t>SVALÖV</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12067-2021</t>
        </is>
      </c>
      <c r="B1847" s="1" t="n">
        <v>44266</v>
      </c>
      <c r="C1847" s="1" t="n">
        <v>45796</v>
      </c>
      <c r="D1847" t="inlineStr">
        <is>
          <t>SKÅNE LÄN</t>
        </is>
      </c>
      <c r="E1847" t="inlineStr">
        <is>
          <t>HÖÖR</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12174-2021</t>
        </is>
      </c>
      <c r="B1848" s="1" t="n">
        <v>44266</v>
      </c>
      <c r="C1848" s="1" t="n">
        <v>45796</v>
      </c>
      <c r="D1848" t="inlineStr">
        <is>
          <t>SKÅNE LÄN</t>
        </is>
      </c>
      <c r="E1848" t="inlineStr">
        <is>
          <t>HÖRBY</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11919-2021</t>
        </is>
      </c>
      <c r="B1849" s="1" t="n">
        <v>44266</v>
      </c>
      <c r="C1849" s="1" t="n">
        <v>45796</v>
      </c>
      <c r="D1849" t="inlineStr">
        <is>
          <t>SKÅNE LÄN</t>
        </is>
      </c>
      <c r="E1849" t="inlineStr">
        <is>
          <t>TOMELILLA</t>
        </is>
      </c>
      <c r="F1849" t="inlineStr">
        <is>
          <t>Övriga Aktiebolag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12684-2021</t>
        </is>
      </c>
      <c r="B1850" s="1" t="n">
        <v>44270</v>
      </c>
      <c r="C1850" s="1" t="n">
        <v>45796</v>
      </c>
      <c r="D1850" t="inlineStr">
        <is>
          <t>SKÅNE LÄN</t>
        </is>
      </c>
      <c r="E1850" t="inlineStr">
        <is>
          <t>ÖRKELLJUNGA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12634-2021</t>
        </is>
      </c>
      <c r="B1851" s="1" t="n">
        <v>44270</v>
      </c>
      <c r="C1851" s="1" t="n">
        <v>45796</v>
      </c>
      <c r="D1851" t="inlineStr">
        <is>
          <t>SKÅNE LÄN</t>
        </is>
      </c>
      <c r="E1851" t="inlineStr">
        <is>
          <t>ÖRKELLJUNGA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12617-2021</t>
        </is>
      </c>
      <c r="B1852" s="1" t="n">
        <v>44270</v>
      </c>
      <c r="C1852" s="1" t="n">
        <v>45796</v>
      </c>
      <c r="D1852" t="inlineStr">
        <is>
          <t>SKÅNE LÄN</t>
        </is>
      </c>
      <c r="E1852" t="inlineStr">
        <is>
          <t>HÄSSLEHOLM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12625-2021</t>
        </is>
      </c>
      <c r="B1853" s="1" t="n">
        <v>44270</v>
      </c>
      <c r="C1853" s="1" t="n">
        <v>45796</v>
      </c>
      <c r="D1853" t="inlineStr">
        <is>
          <t>SKÅNE LÄN</t>
        </is>
      </c>
      <c r="E1853" t="inlineStr">
        <is>
          <t>ÖRKELLJUNGA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12631-2021</t>
        </is>
      </c>
      <c r="B1854" s="1" t="n">
        <v>44270</v>
      </c>
      <c r="C1854" s="1" t="n">
        <v>45796</v>
      </c>
      <c r="D1854" t="inlineStr">
        <is>
          <t>SKÅNE LÄN</t>
        </is>
      </c>
      <c r="E1854" t="inlineStr">
        <is>
          <t>ÖRKELLJUNGA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12996-2021</t>
        </is>
      </c>
      <c r="B1855" s="1" t="n">
        <v>44271</v>
      </c>
      <c r="C1855" s="1" t="n">
        <v>45796</v>
      </c>
      <c r="D1855" t="inlineStr">
        <is>
          <t>SKÅNE LÄN</t>
        </is>
      </c>
      <c r="E1855" t="inlineStr">
        <is>
          <t>OSBY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12880-2021</t>
        </is>
      </c>
      <c r="B1856" s="1" t="n">
        <v>44271</v>
      </c>
      <c r="C1856" s="1" t="n">
        <v>45796</v>
      </c>
      <c r="D1856" t="inlineStr">
        <is>
          <t>SKÅNE LÄN</t>
        </is>
      </c>
      <c r="E1856" t="inlineStr">
        <is>
          <t>OSBY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13063-2021</t>
        </is>
      </c>
      <c r="B1857" s="1" t="n">
        <v>44272</v>
      </c>
      <c r="C1857" s="1" t="n">
        <v>45796</v>
      </c>
      <c r="D1857" t="inlineStr">
        <is>
          <t>SKÅNE LÄN</t>
        </is>
      </c>
      <c r="E1857" t="inlineStr">
        <is>
          <t>HÄSSLEHOLM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13223-2021</t>
        </is>
      </c>
      <c r="B1858" s="1" t="n">
        <v>44272</v>
      </c>
      <c r="C1858" s="1" t="n">
        <v>45796</v>
      </c>
      <c r="D1858" t="inlineStr">
        <is>
          <t>SKÅNE LÄN</t>
        </is>
      </c>
      <c r="E1858" t="inlineStr">
        <is>
          <t>SIMRISHAMN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13194-2021</t>
        </is>
      </c>
      <c r="B1859" s="1" t="n">
        <v>44272</v>
      </c>
      <c r="C1859" s="1" t="n">
        <v>45796</v>
      </c>
      <c r="D1859" t="inlineStr">
        <is>
          <t>SKÅNE LÄN</t>
        </is>
      </c>
      <c r="E1859" t="inlineStr">
        <is>
          <t>LUND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13208-2021</t>
        </is>
      </c>
      <c r="B1860" s="1" t="n">
        <v>44272</v>
      </c>
      <c r="C1860" s="1" t="n">
        <v>45796</v>
      </c>
      <c r="D1860" t="inlineStr">
        <is>
          <t>SKÅNE LÄN</t>
        </is>
      </c>
      <c r="E1860" t="inlineStr">
        <is>
          <t>TOMELILLA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13255-2021</t>
        </is>
      </c>
      <c r="B1861" s="1" t="n">
        <v>44272</v>
      </c>
      <c r="C1861" s="1" t="n">
        <v>45796</v>
      </c>
      <c r="D1861" t="inlineStr">
        <is>
          <t>SKÅNE LÄN</t>
        </is>
      </c>
      <c r="E1861" t="inlineStr">
        <is>
          <t>KRISTIANSTAD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13440-2021</t>
        </is>
      </c>
      <c r="B1862" s="1" t="n">
        <v>44273</v>
      </c>
      <c r="C1862" s="1" t="n">
        <v>45796</v>
      </c>
      <c r="D1862" t="inlineStr">
        <is>
          <t>SKÅNE LÄN</t>
        </is>
      </c>
      <c r="E1862" t="inlineStr">
        <is>
          <t>HÖÖR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13548-2021</t>
        </is>
      </c>
      <c r="B1863" s="1" t="n">
        <v>44273</v>
      </c>
      <c r="C1863" s="1" t="n">
        <v>45796</v>
      </c>
      <c r="D1863" t="inlineStr">
        <is>
          <t>SKÅNE LÄN</t>
        </is>
      </c>
      <c r="E1863" t="inlineStr">
        <is>
          <t>HÖRBY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13550-2021</t>
        </is>
      </c>
      <c r="B1864" s="1" t="n">
        <v>44273</v>
      </c>
      <c r="C1864" s="1" t="n">
        <v>45796</v>
      </c>
      <c r="D1864" t="inlineStr">
        <is>
          <t>SKÅNE LÄN</t>
        </is>
      </c>
      <c r="E1864" t="inlineStr">
        <is>
          <t>HÖRBY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13585-2021</t>
        </is>
      </c>
      <c r="B1865" s="1" t="n">
        <v>44274</v>
      </c>
      <c r="C1865" s="1" t="n">
        <v>45796</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13591-2021</t>
        </is>
      </c>
      <c r="B1866" s="1" t="n">
        <v>44274</v>
      </c>
      <c r="C1866" s="1" t="n">
        <v>45796</v>
      </c>
      <c r="D1866" t="inlineStr">
        <is>
          <t>SKÅNE LÄN</t>
        </is>
      </c>
      <c r="E1866" t="inlineStr">
        <is>
          <t>KRISTIANSTAD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13711-2021</t>
        </is>
      </c>
      <c r="B1867" s="1" t="n">
        <v>44274</v>
      </c>
      <c r="C1867" s="1" t="n">
        <v>45796</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13808-2021</t>
        </is>
      </c>
      <c r="B1868" s="1" t="n">
        <v>44276</v>
      </c>
      <c r="C1868" s="1" t="n">
        <v>45796</v>
      </c>
      <c r="D1868" t="inlineStr">
        <is>
          <t>SKÅNE LÄN</t>
        </is>
      </c>
      <c r="E1868" t="inlineStr">
        <is>
          <t>HÄSSLEHOLM</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13811-2021</t>
        </is>
      </c>
      <c r="B1869" s="1" t="n">
        <v>44276</v>
      </c>
      <c r="C1869" s="1" t="n">
        <v>45796</v>
      </c>
      <c r="D1869" t="inlineStr">
        <is>
          <t>SKÅNE LÄN</t>
        </is>
      </c>
      <c r="E1869" t="inlineStr">
        <is>
          <t>HÄSSLEHOLM</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13876-2021</t>
        </is>
      </c>
      <c r="B1870" s="1" t="n">
        <v>44277</v>
      </c>
      <c r="C1870" s="1" t="n">
        <v>45796</v>
      </c>
      <c r="D1870" t="inlineStr">
        <is>
          <t>SKÅNE LÄN</t>
        </is>
      </c>
      <c r="E1870" t="inlineStr">
        <is>
          <t>ÄNGELHOLM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13873-2021</t>
        </is>
      </c>
      <c r="B1871" s="1" t="n">
        <v>44277</v>
      </c>
      <c r="C1871" s="1" t="n">
        <v>45796</v>
      </c>
      <c r="D1871" t="inlineStr">
        <is>
          <t>SKÅNE LÄN</t>
        </is>
      </c>
      <c r="E1871" t="inlineStr">
        <is>
          <t>ÄNGELHOLM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14054-2021</t>
        </is>
      </c>
      <c r="B1872" s="1" t="n">
        <v>44277</v>
      </c>
      <c r="C1872" s="1" t="n">
        <v>45796</v>
      </c>
      <c r="D1872" t="inlineStr">
        <is>
          <t>SKÅNE LÄN</t>
        </is>
      </c>
      <c r="E1872" t="inlineStr">
        <is>
          <t>HÄSSLEHOLM</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13982-2021</t>
        </is>
      </c>
      <c r="B1873" s="1" t="n">
        <v>44277</v>
      </c>
      <c r="C1873" s="1" t="n">
        <v>45796</v>
      </c>
      <c r="D1873" t="inlineStr">
        <is>
          <t>SKÅNE LÄN</t>
        </is>
      </c>
      <c r="E1873" t="inlineStr">
        <is>
          <t>HÄSSLEHOLM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14055-2021</t>
        </is>
      </c>
      <c r="B1874" s="1" t="n">
        <v>44277</v>
      </c>
      <c r="C1874" s="1" t="n">
        <v>45796</v>
      </c>
      <c r="D1874" t="inlineStr">
        <is>
          <t>SKÅNE LÄN</t>
        </is>
      </c>
      <c r="E1874" t="inlineStr">
        <is>
          <t>ÖSTRA GÖINGE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14157-2021</t>
        </is>
      </c>
      <c r="B1875" s="1" t="n">
        <v>44278</v>
      </c>
      <c r="C1875" s="1" t="n">
        <v>45796</v>
      </c>
      <c r="D1875" t="inlineStr">
        <is>
          <t>SKÅNE LÄN</t>
        </is>
      </c>
      <c r="E1875" t="inlineStr">
        <is>
          <t>HÄSSLEHOLM</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14095-2021</t>
        </is>
      </c>
      <c r="B1876" s="1" t="n">
        <v>44278</v>
      </c>
      <c r="C1876" s="1" t="n">
        <v>45796</v>
      </c>
      <c r="D1876" t="inlineStr">
        <is>
          <t>SKÅNE LÄN</t>
        </is>
      </c>
      <c r="E1876" t="inlineStr">
        <is>
          <t>SJÖBO</t>
        </is>
      </c>
      <c r="F1876" t="inlineStr">
        <is>
          <t>Övriga Aktiebolag</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14529-2021</t>
        </is>
      </c>
      <c r="B1877" s="1" t="n">
        <v>44279</v>
      </c>
      <c r="C1877" s="1" t="n">
        <v>45796</v>
      </c>
      <c r="D1877" t="inlineStr">
        <is>
          <t>SKÅNE LÄN</t>
        </is>
      </c>
      <c r="E1877" t="inlineStr">
        <is>
          <t>ÖSTRA GÖINGE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14731-2021</t>
        </is>
      </c>
      <c r="B1878" s="1" t="n">
        <v>44280</v>
      </c>
      <c r="C1878" s="1" t="n">
        <v>45796</v>
      </c>
      <c r="D1878" t="inlineStr">
        <is>
          <t>SKÅNE LÄN</t>
        </is>
      </c>
      <c r="E1878" t="inlineStr">
        <is>
          <t>OSBY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15056-2021</t>
        </is>
      </c>
      <c r="B1879" s="1" t="n">
        <v>44281</v>
      </c>
      <c r="C1879" s="1" t="n">
        <v>45796</v>
      </c>
      <c r="D1879" t="inlineStr">
        <is>
          <t>SKÅNE LÄN</t>
        </is>
      </c>
      <c r="E1879" t="inlineStr">
        <is>
          <t>HÖÖR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15007-2021</t>
        </is>
      </c>
      <c r="B1880" s="1" t="n">
        <v>44281</v>
      </c>
      <c r="C1880" s="1" t="n">
        <v>45796</v>
      </c>
      <c r="D1880" t="inlineStr">
        <is>
          <t>SKÅNE LÄN</t>
        </is>
      </c>
      <c r="E1880" t="inlineStr">
        <is>
          <t>SVALÖV</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15120-2021</t>
        </is>
      </c>
      <c r="B1881" s="1" t="n">
        <v>44283</v>
      </c>
      <c r="C1881" s="1" t="n">
        <v>45796</v>
      </c>
      <c r="D1881" t="inlineStr">
        <is>
          <t>SKÅNE LÄN</t>
        </is>
      </c>
      <c r="E1881" t="inlineStr">
        <is>
          <t>ÖSTRA GÖINGE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15122-2021</t>
        </is>
      </c>
      <c r="B1882" s="1" t="n">
        <v>44283</v>
      </c>
      <c r="C1882" s="1" t="n">
        <v>45796</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15172-2021</t>
        </is>
      </c>
      <c r="B1883" s="1" t="n">
        <v>44284</v>
      </c>
      <c r="C1883" s="1" t="n">
        <v>45796</v>
      </c>
      <c r="D1883" t="inlineStr">
        <is>
          <t>SKÅNE LÄN</t>
        </is>
      </c>
      <c r="E1883" t="inlineStr">
        <is>
          <t>OSBY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15154-2021</t>
        </is>
      </c>
      <c r="B1884" s="1" t="n">
        <v>44284</v>
      </c>
      <c r="C1884" s="1" t="n">
        <v>45796</v>
      </c>
      <c r="D1884" t="inlineStr">
        <is>
          <t>SKÅNE LÄN</t>
        </is>
      </c>
      <c r="E1884" t="inlineStr">
        <is>
          <t>SJÖBO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15288-2021</t>
        </is>
      </c>
      <c r="B1885" s="1" t="n">
        <v>44284</v>
      </c>
      <c r="C1885" s="1" t="n">
        <v>45796</v>
      </c>
      <c r="D1885" t="inlineStr">
        <is>
          <t>SKÅNE LÄN</t>
        </is>
      </c>
      <c r="E1885" t="inlineStr">
        <is>
          <t>TOMELILLA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15330-2021</t>
        </is>
      </c>
      <c r="B1886" s="1" t="n">
        <v>44284</v>
      </c>
      <c r="C1886" s="1" t="n">
        <v>45796</v>
      </c>
      <c r="D1886" t="inlineStr">
        <is>
          <t>SKÅNE LÄN</t>
        </is>
      </c>
      <c r="E1886" t="inlineStr">
        <is>
          <t>HÖÖR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15510-2021</t>
        </is>
      </c>
      <c r="B1887" s="1" t="n">
        <v>44285</v>
      </c>
      <c r="C1887" s="1" t="n">
        <v>45796</v>
      </c>
      <c r="D1887" t="inlineStr">
        <is>
          <t>SKÅNE LÄN</t>
        </is>
      </c>
      <c r="E1887" t="inlineStr">
        <is>
          <t>OSBY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15509-2021</t>
        </is>
      </c>
      <c r="B1888" s="1" t="n">
        <v>44285</v>
      </c>
      <c r="C1888" s="1" t="n">
        <v>45796</v>
      </c>
      <c r="D1888" t="inlineStr">
        <is>
          <t>SKÅNE LÄN</t>
        </is>
      </c>
      <c r="E1888" t="inlineStr">
        <is>
          <t>OSBY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15665-2021</t>
        </is>
      </c>
      <c r="B1889" s="1" t="n">
        <v>44286</v>
      </c>
      <c r="C1889" s="1" t="n">
        <v>45796</v>
      </c>
      <c r="D1889" t="inlineStr">
        <is>
          <t>SKÅNE LÄN</t>
        </is>
      </c>
      <c r="E1889" t="inlineStr">
        <is>
          <t>PERSTORP</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15768-2021</t>
        </is>
      </c>
      <c r="B1890" s="1" t="n">
        <v>44286</v>
      </c>
      <c r="C1890" s="1" t="n">
        <v>45796</v>
      </c>
      <c r="D1890" t="inlineStr">
        <is>
          <t>SKÅNE LÄN</t>
        </is>
      </c>
      <c r="E1890" t="inlineStr">
        <is>
          <t>HÖRBY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15712-2021</t>
        </is>
      </c>
      <c r="B1891" s="1" t="n">
        <v>44286</v>
      </c>
      <c r="C1891" s="1" t="n">
        <v>45796</v>
      </c>
      <c r="D1891" t="inlineStr">
        <is>
          <t>SKÅNE LÄN</t>
        </is>
      </c>
      <c r="E1891" t="inlineStr">
        <is>
          <t>KRISTIANSTAD</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15784-2021</t>
        </is>
      </c>
      <c r="B1892" s="1" t="n">
        <v>44286</v>
      </c>
      <c r="C1892" s="1" t="n">
        <v>45796</v>
      </c>
      <c r="D1892" t="inlineStr">
        <is>
          <t>SKÅNE LÄN</t>
        </is>
      </c>
      <c r="E1892" t="inlineStr">
        <is>
          <t>BROMÖLLA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16048-2021</t>
        </is>
      </c>
      <c r="B1893" s="1" t="n">
        <v>44287</v>
      </c>
      <c r="C1893" s="1" t="n">
        <v>45796</v>
      </c>
      <c r="D1893" t="inlineStr">
        <is>
          <t>SKÅNE LÄN</t>
        </is>
      </c>
      <c r="E1893" t="inlineStr">
        <is>
          <t>PERSTORP</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16170-2021</t>
        </is>
      </c>
      <c r="B1894" s="1" t="n">
        <v>44287</v>
      </c>
      <c r="C1894" s="1" t="n">
        <v>45796</v>
      </c>
      <c r="D1894" t="inlineStr">
        <is>
          <t>SKÅNE LÄN</t>
        </is>
      </c>
      <c r="E1894" t="inlineStr">
        <is>
          <t>SVALÖV</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16050-2021</t>
        </is>
      </c>
      <c r="B1895" s="1" t="n">
        <v>44287</v>
      </c>
      <c r="C1895" s="1" t="n">
        <v>45796</v>
      </c>
      <c r="D1895" t="inlineStr">
        <is>
          <t>SKÅNE LÄN</t>
        </is>
      </c>
      <c r="E1895" t="inlineStr">
        <is>
          <t>PERSTORP</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16189-2021</t>
        </is>
      </c>
      <c r="B1896" s="1" t="n">
        <v>44287</v>
      </c>
      <c r="C1896" s="1" t="n">
        <v>45796</v>
      </c>
      <c r="D1896" t="inlineStr">
        <is>
          <t>SKÅNE LÄN</t>
        </is>
      </c>
      <c r="E1896" t="inlineStr">
        <is>
          <t>KLIPPAN</t>
        </is>
      </c>
      <c r="F1896" t="inlineStr">
        <is>
          <t>Övriga Aktiebolag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16220-2021</t>
        </is>
      </c>
      <c r="B1897" s="1" t="n">
        <v>44287</v>
      </c>
      <c r="C1897" s="1" t="n">
        <v>45796</v>
      </c>
      <c r="D1897" t="inlineStr">
        <is>
          <t>SKÅNE LÄN</t>
        </is>
      </c>
      <c r="E1897" t="inlineStr">
        <is>
          <t>ÖSTRA GÖINGE</t>
        </is>
      </c>
      <c r="G1897" t="n">
        <v>13.9</v>
      </c>
      <c r="H1897" t="n">
        <v>0</v>
      </c>
      <c r="I1897" t="n">
        <v>0</v>
      </c>
      <c r="J1897" t="n">
        <v>0</v>
      </c>
      <c r="K1897" t="n">
        <v>0</v>
      </c>
      <c r="L1897" t="n">
        <v>0</v>
      </c>
      <c r="M1897" t="n">
        <v>0</v>
      </c>
      <c r="N1897" t="n">
        <v>0</v>
      </c>
      <c r="O1897" t="n">
        <v>0</v>
      </c>
      <c r="P1897" t="n">
        <v>0</v>
      </c>
      <c r="Q1897" t="n">
        <v>0</v>
      </c>
      <c r="R1897" s="2" t="inlineStr"/>
    </row>
    <row r="1898" ht="15" customHeight="1">
      <c r="A1898" t="inlineStr">
        <is>
          <t>A 16082-2021</t>
        </is>
      </c>
      <c r="B1898" s="1" t="n">
        <v>44288</v>
      </c>
      <c r="C1898" s="1" t="n">
        <v>45796</v>
      </c>
      <c r="D1898" t="inlineStr">
        <is>
          <t>SKÅNE LÄN</t>
        </is>
      </c>
      <c r="E1898" t="inlineStr">
        <is>
          <t>KRISTIANSTAD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16300-2021</t>
        </is>
      </c>
      <c r="B1899" s="1" t="n">
        <v>44292</v>
      </c>
      <c r="C1899" s="1" t="n">
        <v>45796</v>
      </c>
      <c r="D1899" t="inlineStr">
        <is>
          <t>SKÅNE LÄN</t>
        </is>
      </c>
      <c r="E1899" t="inlineStr">
        <is>
          <t>SVALÖV</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17006-2021</t>
        </is>
      </c>
      <c r="B1900" s="1" t="n">
        <v>44295</v>
      </c>
      <c r="C1900" s="1" t="n">
        <v>45796</v>
      </c>
      <c r="D1900" t="inlineStr">
        <is>
          <t>SKÅNE LÄN</t>
        </is>
      </c>
      <c r="E1900" t="inlineStr">
        <is>
          <t>SVALÖV</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17060-2021</t>
        </is>
      </c>
      <c r="B1901" s="1" t="n">
        <v>44296</v>
      </c>
      <c r="C1901" s="1" t="n">
        <v>45796</v>
      </c>
      <c r="D1901" t="inlineStr">
        <is>
          <t>SKÅNE LÄN</t>
        </is>
      </c>
      <c r="E1901" t="inlineStr">
        <is>
          <t>KLIPPAN</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17205-2021</t>
        </is>
      </c>
      <c r="B1902" s="1" t="n">
        <v>44298</v>
      </c>
      <c r="C1902" s="1" t="n">
        <v>45796</v>
      </c>
      <c r="D1902" t="inlineStr">
        <is>
          <t>SKÅNE LÄN</t>
        </is>
      </c>
      <c r="E1902" t="inlineStr">
        <is>
          <t>TOMELILLA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17387-2021</t>
        </is>
      </c>
      <c r="B1903" s="1" t="n">
        <v>44298</v>
      </c>
      <c r="C1903" s="1" t="n">
        <v>45796</v>
      </c>
      <c r="D1903" t="inlineStr">
        <is>
          <t>SKÅNE LÄN</t>
        </is>
      </c>
      <c r="E1903" t="inlineStr">
        <is>
          <t>KRISTIANSTAD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17318-2021</t>
        </is>
      </c>
      <c r="B1904" s="1" t="n">
        <v>44298</v>
      </c>
      <c r="C1904" s="1" t="n">
        <v>45796</v>
      </c>
      <c r="D1904" t="inlineStr">
        <is>
          <t>SKÅNE LÄN</t>
        </is>
      </c>
      <c r="E1904" t="inlineStr">
        <is>
          <t>ÖRKELLJUNGA</t>
        </is>
      </c>
      <c r="F1904" t="inlineStr">
        <is>
          <t>Kommuner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17497-2021</t>
        </is>
      </c>
      <c r="B1905" s="1" t="n">
        <v>44299</v>
      </c>
      <c r="C1905" s="1" t="n">
        <v>45796</v>
      </c>
      <c r="D1905" t="inlineStr">
        <is>
          <t>SKÅNE LÄN</t>
        </is>
      </c>
      <c r="E1905" t="inlineStr">
        <is>
          <t>HÄSSLEHOLM</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17792-2021</t>
        </is>
      </c>
      <c r="B1906" s="1" t="n">
        <v>44300</v>
      </c>
      <c r="C1906" s="1" t="n">
        <v>45796</v>
      </c>
      <c r="D1906" t="inlineStr">
        <is>
          <t>SKÅNE LÄN</t>
        </is>
      </c>
      <c r="E1906" t="inlineStr">
        <is>
          <t>KLIPPAN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17908-2021</t>
        </is>
      </c>
      <c r="B1907" s="1" t="n">
        <v>44301</v>
      </c>
      <c r="C1907" s="1" t="n">
        <v>45796</v>
      </c>
      <c r="D1907" t="inlineStr">
        <is>
          <t>SKÅNE LÄN</t>
        </is>
      </c>
      <c r="E1907" t="inlineStr">
        <is>
          <t>SKURUP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17916-2021</t>
        </is>
      </c>
      <c r="B1908" s="1" t="n">
        <v>44301</v>
      </c>
      <c r="C1908" s="1" t="n">
        <v>45796</v>
      </c>
      <c r="D1908" t="inlineStr">
        <is>
          <t>SKÅNE LÄN</t>
        </is>
      </c>
      <c r="E1908" t="inlineStr">
        <is>
          <t>SJÖBO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18011-2021</t>
        </is>
      </c>
      <c r="B1909" s="1" t="n">
        <v>44302</v>
      </c>
      <c r="C1909" s="1" t="n">
        <v>45796</v>
      </c>
      <c r="D1909" t="inlineStr">
        <is>
          <t>SKÅNE LÄN</t>
        </is>
      </c>
      <c r="E1909" t="inlineStr">
        <is>
          <t>HÄSSLEHOLM</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18509-2021</t>
        </is>
      </c>
      <c r="B1910" s="1" t="n">
        <v>44305</v>
      </c>
      <c r="C1910" s="1" t="n">
        <v>45796</v>
      </c>
      <c r="D1910" t="inlineStr">
        <is>
          <t>SKÅNE LÄN</t>
        </is>
      </c>
      <c r="E1910" t="inlineStr">
        <is>
          <t>PERSTORP</t>
        </is>
      </c>
      <c r="F1910" t="inlineStr">
        <is>
          <t>Övriga Aktiebolag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18512-2021</t>
        </is>
      </c>
      <c r="B1911" s="1" t="n">
        <v>44305</v>
      </c>
      <c r="C1911" s="1" t="n">
        <v>45796</v>
      </c>
      <c r="D1911" t="inlineStr">
        <is>
          <t>SKÅNE LÄN</t>
        </is>
      </c>
      <c r="E1911" t="inlineStr">
        <is>
          <t>PERSTORP</t>
        </is>
      </c>
      <c r="F1911" t="inlineStr">
        <is>
          <t>Övriga Aktiebolag</t>
        </is>
      </c>
      <c r="G1911" t="n">
        <v>13.5</v>
      </c>
      <c r="H1911" t="n">
        <v>0</v>
      </c>
      <c r="I1911" t="n">
        <v>0</v>
      </c>
      <c r="J1911" t="n">
        <v>0</v>
      </c>
      <c r="K1911" t="n">
        <v>0</v>
      </c>
      <c r="L1911" t="n">
        <v>0</v>
      </c>
      <c r="M1911" t="n">
        <v>0</v>
      </c>
      <c r="N1911" t="n">
        <v>0</v>
      </c>
      <c r="O1911" t="n">
        <v>0</v>
      </c>
      <c r="P1911" t="n">
        <v>0</v>
      </c>
      <c r="Q1911" t="n">
        <v>0</v>
      </c>
      <c r="R1911" s="2" t="inlineStr"/>
    </row>
    <row r="1912" ht="15" customHeight="1">
      <c r="A1912" t="inlineStr">
        <is>
          <t>A 18520-2021</t>
        </is>
      </c>
      <c r="B1912" s="1" t="n">
        <v>44305</v>
      </c>
      <c r="C1912" s="1" t="n">
        <v>45796</v>
      </c>
      <c r="D1912" t="inlineStr">
        <is>
          <t>SKÅNE LÄN</t>
        </is>
      </c>
      <c r="E1912" t="inlineStr">
        <is>
          <t>KLIPPAN</t>
        </is>
      </c>
      <c r="F1912" t="inlineStr">
        <is>
          <t>Övriga Aktiebolag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18514-2021</t>
        </is>
      </c>
      <c r="B1913" s="1" t="n">
        <v>44305</v>
      </c>
      <c r="C1913" s="1" t="n">
        <v>45796</v>
      </c>
      <c r="D1913" t="inlineStr">
        <is>
          <t>SKÅNE LÄN</t>
        </is>
      </c>
      <c r="E1913" t="inlineStr">
        <is>
          <t>PERSTORP</t>
        </is>
      </c>
      <c r="F1913" t="inlineStr">
        <is>
          <t>Övriga Aktiebolag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18523-2021</t>
        </is>
      </c>
      <c r="B1914" s="1" t="n">
        <v>44305</v>
      </c>
      <c r="C1914" s="1" t="n">
        <v>45796</v>
      </c>
      <c r="D1914" t="inlineStr">
        <is>
          <t>SKÅNE LÄN</t>
        </is>
      </c>
      <c r="E1914" t="inlineStr">
        <is>
          <t>HÄSSLEHOLM</t>
        </is>
      </c>
      <c r="F1914" t="inlineStr">
        <is>
          <t>Övriga Aktiebolag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18511-2021</t>
        </is>
      </c>
      <c r="B1915" s="1" t="n">
        <v>44305</v>
      </c>
      <c r="C1915" s="1" t="n">
        <v>45796</v>
      </c>
      <c r="D1915" t="inlineStr">
        <is>
          <t>SKÅNE LÄN</t>
        </is>
      </c>
      <c r="E1915" t="inlineStr">
        <is>
          <t>HÄSSLEHOLM</t>
        </is>
      </c>
      <c r="F1915" t="inlineStr">
        <is>
          <t>Övriga Aktiebolag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18516-2021</t>
        </is>
      </c>
      <c r="B1916" s="1" t="n">
        <v>44305</v>
      </c>
      <c r="C1916" s="1" t="n">
        <v>45796</v>
      </c>
      <c r="D1916" t="inlineStr">
        <is>
          <t>SKÅNE LÄN</t>
        </is>
      </c>
      <c r="E1916" t="inlineStr">
        <is>
          <t>KLIPPAN</t>
        </is>
      </c>
      <c r="F1916" t="inlineStr">
        <is>
          <t>Övriga Aktiebolag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18515-2021</t>
        </is>
      </c>
      <c r="B1917" s="1" t="n">
        <v>44305</v>
      </c>
      <c r="C1917" s="1" t="n">
        <v>45796</v>
      </c>
      <c r="D1917" t="inlineStr">
        <is>
          <t>SKÅNE LÄN</t>
        </is>
      </c>
      <c r="E1917" t="inlineStr">
        <is>
          <t>HÄSSLEHOLM</t>
        </is>
      </c>
      <c r="F1917" t="inlineStr">
        <is>
          <t>Övriga Aktiebolag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18528-2021</t>
        </is>
      </c>
      <c r="B1918" s="1" t="n">
        <v>44305</v>
      </c>
      <c r="C1918" s="1" t="n">
        <v>45796</v>
      </c>
      <c r="D1918" t="inlineStr">
        <is>
          <t>SKÅNE LÄN</t>
        </is>
      </c>
      <c r="E1918" t="inlineStr">
        <is>
          <t>HÄSSLEHOLM</t>
        </is>
      </c>
      <c r="F1918" t="inlineStr">
        <is>
          <t>Övriga Aktiebolag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18472-2021</t>
        </is>
      </c>
      <c r="B1919" s="1" t="n">
        <v>44306</v>
      </c>
      <c r="C1919" s="1" t="n">
        <v>45796</v>
      </c>
      <c r="D1919" t="inlineStr">
        <is>
          <t>SKÅNE LÄN</t>
        </is>
      </c>
      <c r="E1919" t="inlineStr">
        <is>
          <t>TOMELILLA</t>
        </is>
      </c>
      <c r="F1919" t="inlineStr">
        <is>
          <t>Övriga Aktiebolag</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18491-2021</t>
        </is>
      </c>
      <c r="B1920" s="1" t="n">
        <v>44306</v>
      </c>
      <c r="C1920" s="1" t="n">
        <v>45796</v>
      </c>
      <c r="D1920" t="inlineStr">
        <is>
          <t>SKÅNE LÄN</t>
        </is>
      </c>
      <c r="E1920" t="inlineStr">
        <is>
          <t>SVEDALA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18616-2021</t>
        </is>
      </c>
      <c r="B1921" s="1" t="n">
        <v>44306</v>
      </c>
      <c r="C1921" s="1" t="n">
        <v>45796</v>
      </c>
      <c r="D1921" t="inlineStr">
        <is>
          <t>SKÅNE LÄN</t>
        </is>
      </c>
      <c r="E1921" t="inlineStr">
        <is>
          <t>PERSTORP</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18612-2021</t>
        </is>
      </c>
      <c r="B1922" s="1" t="n">
        <v>44306</v>
      </c>
      <c r="C1922" s="1" t="n">
        <v>45796</v>
      </c>
      <c r="D1922" t="inlineStr">
        <is>
          <t>SKÅNE LÄN</t>
        </is>
      </c>
      <c r="E1922" t="inlineStr">
        <is>
          <t>PERSTORP</t>
        </is>
      </c>
      <c r="F1922" t="inlineStr">
        <is>
          <t>Övriga Aktiebolag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18648-2021</t>
        </is>
      </c>
      <c r="B1923" s="1" t="n">
        <v>44306</v>
      </c>
      <c r="C1923" s="1" t="n">
        <v>45796</v>
      </c>
      <c r="D1923" t="inlineStr">
        <is>
          <t>SKÅNE LÄN</t>
        </is>
      </c>
      <c r="E1923" t="inlineStr">
        <is>
          <t>HÄSSLEHOLM</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18830-2021</t>
        </is>
      </c>
      <c r="B1924" s="1" t="n">
        <v>44307</v>
      </c>
      <c r="C1924" s="1" t="n">
        <v>45796</v>
      </c>
      <c r="D1924" t="inlineStr">
        <is>
          <t>SKÅNE LÄN</t>
        </is>
      </c>
      <c r="E1924" t="inlineStr">
        <is>
          <t>KRISTIANSTAD</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19066-2021</t>
        </is>
      </c>
      <c r="B1925" s="1" t="n">
        <v>44308</v>
      </c>
      <c r="C1925" s="1" t="n">
        <v>45796</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19196-2021</t>
        </is>
      </c>
      <c r="B1926" s="1" t="n">
        <v>44308</v>
      </c>
      <c r="C1926" s="1" t="n">
        <v>45796</v>
      </c>
      <c r="D1926" t="inlineStr">
        <is>
          <t>SKÅNE LÄN</t>
        </is>
      </c>
      <c r="E1926" t="inlineStr">
        <is>
          <t>HÖÖR</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19159-2021</t>
        </is>
      </c>
      <c r="B1927" s="1" t="n">
        <v>44308</v>
      </c>
      <c r="C1927" s="1" t="n">
        <v>45796</v>
      </c>
      <c r="D1927" t="inlineStr">
        <is>
          <t>SKÅNE LÄN</t>
        </is>
      </c>
      <c r="E1927" t="inlineStr">
        <is>
          <t>SVALÖV</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19255-2021</t>
        </is>
      </c>
      <c r="B1928" s="1" t="n">
        <v>44309</v>
      </c>
      <c r="C1928" s="1" t="n">
        <v>45796</v>
      </c>
      <c r="D1928" t="inlineStr">
        <is>
          <t>SKÅNE LÄN</t>
        </is>
      </c>
      <c r="E1928" t="inlineStr">
        <is>
          <t>OSBY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19308-2021</t>
        </is>
      </c>
      <c r="B1929" s="1" t="n">
        <v>44309</v>
      </c>
      <c r="C1929" s="1" t="n">
        <v>45796</v>
      </c>
      <c r="D1929" t="inlineStr">
        <is>
          <t>SKÅNE LÄN</t>
        </is>
      </c>
      <c r="E1929" t="inlineStr">
        <is>
          <t>HÖRBY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19623-2021</t>
        </is>
      </c>
      <c r="B1930" s="1" t="n">
        <v>44309</v>
      </c>
      <c r="C1930" s="1" t="n">
        <v>45796</v>
      </c>
      <c r="D1930" t="inlineStr">
        <is>
          <t>SKÅNE LÄN</t>
        </is>
      </c>
      <c r="E1930" t="inlineStr">
        <is>
          <t>SVALÖV</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19823-2021</t>
        </is>
      </c>
      <c r="B1931" s="1" t="n">
        <v>44309</v>
      </c>
      <c r="C1931" s="1" t="n">
        <v>45796</v>
      </c>
      <c r="D1931" t="inlineStr">
        <is>
          <t>SKÅNE LÄN</t>
        </is>
      </c>
      <c r="E1931" t="inlineStr">
        <is>
          <t>KLIPPAN</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19380-2021</t>
        </is>
      </c>
      <c r="B1932" s="1" t="n">
        <v>44309</v>
      </c>
      <c r="C1932" s="1" t="n">
        <v>45796</v>
      </c>
      <c r="D1932" t="inlineStr">
        <is>
          <t>SKÅNE LÄN</t>
        </is>
      </c>
      <c r="E1932" t="inlineStr">
        <is>
          <t>HÖÖR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19626-2021</t>
        </is>
      </c>
      <c r="B1933" s="1" t="n">
        <v>44309</v>
      </c>
      <c r="C1933" s="1" t="n">
        <v>45796</v>
      </c>
      <c r="D1933" t="inlineStr">
        <is>
          <t>SKÅNE LÄN</t>
        </is>
      </c>
      <c r="E1933" t="inlineStr">
        <is>
          <t>SVALÖV</t>
        </is>
      </c>
      <c r="G1933" t="n">
        <v>17.8</v>
      </c>
      <c r="H1933" t="n">
        <v>0</v>
      </c>
      <c r="I1933" t="n">
        <v>0</v>
      </c>
      <c r="J1933" t="n">
        <v>0</v>
      </c>
      <c r="K1933" t="n">
        <v>0</v>
      </c>
      <c r="L1933" t="n">
        <v>0</v>
      </c>
      <c r="M1933" t="n">
        <v>0</v>
      </c>
      <c r="N1933" t="n">
        <v>0</v>
      </c>
      <c r="O1933" t="n">
        <v>0</v>
      </c>
      <c r="P1933" t="n">
        <v>0</v>
      </c>
      <c r="Q1933" t="n">
        <v>0</v>
      </c>
      <c r="R1933" s="2" t="inlineStr"/>
    </row>
    <row r="1934" ht="15" customHeight="1">
      <c r="A1934" t="inlineStr">
        <is>
          <t>A 19449-2021</t>
        </is>
      </c>
      <c r="B1934" s="1" t="n">
        <v>44310</v>
      </c>
      <c r="C1934" s="1" t="n">
        <v>45796</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19581-2021</t>
        </is>
      </c>
      <c r="B1935" s="1" t="n">
        <v>44312</v>
      </c>
      <c r="C1935" s="1" t="n">
        <v>45796</v>
      </c>
      <c r="D1935" t="inlineStr">
        <is>
          <t>SKÅNE LÄN</t>
        </is>
      </c>
      <c r="E1935" t="inlineStr">
        <is>
          <t>HÖRBY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19710-2021</t>
        </is>
      </c>
      <c r="B1936" s="1" t="n">
        <v>44312</v>
      </c>
      <c r="C1936" s="1" t="n">
        <v>45796</v>
      </c>
      <c r="D1936" t="inlineStr">
        <is>
          <t>SKÅNE LÄN</t>
        </is>
      </c>
      <c r="E1936" t="inlineStr">
        <is>
          <t>OSBY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19583-2021</t>
        </is>
      </c>
      <c r="B1937" s="1" t="n">
        <v>44312</v>
      </c>
      <c r="C1937" s="1" t="n">
        <v>45796</v>
      </c>
      <c r="D1937" t="inlineStr">
        <is>
          <t>SKÅNE LÄN</t>
        </is>
      </c>
      <c r="E1937" t="inlineStr">
        <is>
          <t>HÖRBY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19621-2021</t>
        </is>
      </c>
      <c r="B1938" s="1" t="n">
        <v>44312</v>
      </c>
      <c r="C1938" s="1" t="n">
        <v>45796</v>
      </c>
      <c r="D1938" t="inlineStr">
        <is>
          <t>SKÅNE LÄN</t>
        </is>
      </c>
      <c r="E1938" t="inlineStr">
        <is>
          <t>PERSTORP</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20510-2021</t>
        </is>
      </c>
      <c r="B1939" s="1" t="n">
        <v>44315</v>
      </c>
      <c r="C1939" s="1" t="n">
        <v>45796</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20384-2021</t>
        </is>
      </c>
      <c r="B1940" s="1" t="n">
        <v>44315</v>
      </c>
      <c r="C1940" s="1" t="n">
        <v>45796</v>
      </c>
      <c r="D1940" t="inlineStr">
        <is>
          <t>SKÅNE LÄN</t>
        </is>
      </c>
      <c r="E1940" t="inlineStr">
        <is>
          <t>KRISTIANSTAD</t>
        </is>
      </c>
      <c r="F1940" t="inlineStr">
        <is>
          <t>Kommuner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20426-2021</t>
        </is>
      </c>
      <c r="B1941" s="1" t="n">
        <v>44315</v>
      </c>
      <c r="C1941" s="1" t="n">
        <v>45796</v>
      </c>
      <c r="D1941" t="inlineStr">
        <is>
          <t>SKÅNE LÄN</t>
        </is>
      </c>
      <c r="E1941" t="inlineStr">
        <is>
          <t>ÖSTRA GÖINGE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20435-2021</t>
        </is>
      </c>
      <c r="B1942" s="1" t="n">
        <v>44315</v>
      </c>
      <c r="C1942" s="1" t="n">
        <v>45796</v>
      </c>
      <c r="D1942" t="inlineStr">
        <is>
          <t>SKÅNE LÄN</t>
        </is>
      </c>
      <c r="E1942" t="inlineStr">
        <is>
          <t>HÄSSLEHOLM</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20513-2021</t>
        </is>
      </c>
      <c r="B1943" s="1" t="n">
        <v>44315</v>
      </c>
      <c r="C1943" s="1" t="n">
        <v>45796</v>
      </c>
      <c r="D1943" t="inlineStr">
        <is>
          <t>SKÅNE LÄN</t>
        </is>
      </c>
      <c r="E1943" t="inlineStr">
        <is>
          <t>HÄSSLEHOLM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20429-2021</t>
        </is>
      </c>
      <c r="B1944" s="1" t="n">
        <v>44315</v>
      </c>
      <c r="C1944" s="1" t="n">
        <v>45796</v>
      </c>
      <c r="D1944" t="inlineStr">
        <is>
          <t>SKÅNE LÄN</t>
        </is>
      </c>
      <c r="E1944" t="inlineStr">
        <is>
          <t>ÖSTRA GÖINGE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20604-2021</t>
        </is>
      </c>
      <c r="B1945" s="1" t="n">
        <v>44315</v>
      </c>
      <c r="C1945" s="1" t="n">
        <v>45796</v>
      </c>
      <c r="D1945" t="inlineStr">
        <is>
          <t>SKÅNE LÄN</t>
        </is>
      </c>
      <c r="E1945" t="inlineStr">
        <is>
          <t>ÖSTRA GÖINGE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20611-2021</t>
        </is>
      </c>
      <c r="B1946" s="1" t="n">
        <v>44315</v>
      </c>
      <c r="C1946" s="1" t="n">
        <v>45796</v>
      </c>
      <c r="D1946" t="inlineStr">
        <is>
          <t>SKÅNE LÄN</t>
        </is>
      </c>
      <c r="E1946" t="inlineStr">
        <is>
          <t>ÖSTRA GÖINGE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20648-2021</t>
        </is>
      </c>
      <c r="B1947" s="1" t="n">
        <v>44316</v>
      </c>
      <c r="C1947" s="1" t="n">
        <v>45796</v>
      </c>
      <c r="D1947" t="inlineStr">
        <is>
          <t>SKÅNE LÄN</t>
        </is>
      </c>
      <c r="E1947" t="inlineStr">
        <is>
          <t>HÄSSLEHOLM</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20572-2021</t>
        </is>
      </c>
      <c r="B1948" s="1" t="n">
        <v>44316</v>
      </c>
      <c r="C1948" s="1" t="n">
        <v>45796</v>
      </c>
      <c r="D1948" t="inlineStr">
        <is>
          <t>SKÅNE LÄN</t>
        </is>
      </c>
      <c r="E1948" t="inlineStr">
        <is>
          <t>SJÖBO</t>
        </is>
      </c>
      <c r="F1948" t="inlineStr">
        <is>
          <t>Övriga Aktiebolag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20659-2021</t>
        </is>
      </c>
      <c r="B1949" s="1" t="n">
        <v>44316</v>
      </c>
      <c r="C1949" s="1" t="n">
        <v>45796</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21715-2021</t>
        </is>
      </c>
      <c r="B1950" s="1" t="n">
        <v>44316</v>
      </c>
      <c r="C1950" s="1" t="n">
        <v>45796</v>
      </c>
      <c r="D1950" t="inlineStr">
        <is>
          <t>SKÅNE LÄN</t>
        </is>
      </c>
      <c r="E1950" t="inlineStr">
        <is>
          <t>HÄSSLEHOLM</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21028-2021</t>
        </is>
      </c>
      <c r="B1951" s="1" t="n">
        <v>44319</v>
      </c>
      <c r="C1951" s="1" t="n">
        <v>45796</v>
      </c>
      <c r="D1951" t="inlineStr">
        <is>
          <t>SKÅNE LÄN</t>
        </is>
      </c>
      <c r="E1951" t="inlineStr">
        <is>
          <t>HÄSSLEHOLM</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21029-2021</t>
        </is>
      </c>
      <c r="B1952" s="1" t="n">
        <v>44319</v>
      </c>
      <c r="C1952" s="1" t="n">
        <v>45796</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21201-2021</t>
        </is>
      </c>
      <c r="B1953" s="1" t="n">
        <v>44320</v>
      </c>
      <c r="C1953" s="1" t="n">
        <v>45796</v>
      </c>
      <c r="D1953" t="inlineStr">
        <is>
          <t>SKÅNE LÄN</t>
        </is>
      </c>
      <c r="E1953" t="inlineStr">
        <is>
          <t>OSBY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21172-2021</t>
        </is>
      </c>
      <c r="B1954" s="1" t="n">
        <v>44320</v>
      </c>
      <c r="C1954" s="1" t="n">
        <v>45796</v>
      </c>
      <c r="D1954" t="inlineStr">
        <is>
          <t>SKÅNE LÄN</t>
        </is>
      </c>
      <c r="E1954" t="inlineStr">
        <is>
          <t>OSBY</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21180-2021</t>
        </is>
      </c>
      <c r="B1955" s="1" t="n">
        <v>44320</v>
      </c>
      <c r="C1955" s="1" t="n">
        <v>45796</v>
      </c>
      <c r="D1955" t="inlineStr">
        <is>
          <t>SKÅNE LÄN</t>
        </is>
      </c>
      <c r="E1955" t="inlineStr">
        <is>
          <t>ÖSTRA GÖINGE</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21245-2021</t>
        </is>
      </c>
      <c r="B1956" s="1" t="n">
        <v>44320</v>
      </c>
      <c r="C1956" s="1" t="n">
        <v>45796</v>
      </c>
      <c r="D1956" t="inlineStr">
        <is>
          <t>SKÅNE LÄN</t>
        </is>
      </c>
      <c r="E1956" t="inlineStr">
        <is>
          <t>TOMELILLA</t>
        </is>
      </c>
      <c r="F1956" t="inlineStr">
        <is>
          <t>Övriga Aktiebolag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21535-2021</t>
        </is>
      </c>
      <c r="B1957" s="1" t="n">
        <v>44321</v>
      </c>
      <c r="C1957" s="1" t="n">
        <v>45796</v>
      </c>
      <c r="D1957" t="inlineStr">
        <is>
          <t>SKÅNE LÄN</t>
        </is>
      </c>
      <c r="E1957" t="inlineStr">
        <is>
          <t>HÄSSLEHOLM</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21615-2021</t>
        </is>
      </c>
      <c r="B1958" s="1" t="n">
        <v>44321</v>
      </c>
      <c r="C1958" s="1" t="n">
        <v>45796</v>
      </c>
      <c r="D1958" t="inlineStr">
        <is>
          <t>SKÅNE LÄN</t>
        </is>
      </c>
      <c r="E1958" t="inlineStr">
        <is>
          <t>OSBY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21949-2021</t>
        </is>
      </c>
      <c r="B1959" s="1" t="n">
        <v>44323</v>
      </c>
      <c r="C1959" s="1" t="n">
        <v>45796</v>
      </c>
      <c r="D1959" t="inlineStr">
        <is>
          <t>SKÅNE LÄN</t>
        </is>
      </c>
      <c r="E1959" t="inlineStr">
        <is>
          <t>PERSTORP</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22320-2021</t>
        </is>
      </c>
      <c r="B1960" s="1" t="n">
        <v>44323</v>
      </c>
      <c r="C1960" s="1" t="n">
        <v>45796</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22411-2021</t>
        </is>
      </c>
      <c r="B1961" s="1" t="n">
        <v>44326</v>
      </c>
      <c r="C1961" s="1" t="n">
        <v>45796</v>
      </c>
      <c r="D1961" t="inlineStr">
        <is>
          <t>SKÅNE LÄN</t>
        </is>
      </c>
      <c r="E1961" t="inlineStr">
        <is>
          <t>LUND</t>
        </is>
      </c>
      <c r="F1961" t="inlineStr">
        <is>
          <t>Kommuner</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22345-2021</t>
        </is>
      </c>
      <c r="B1962" s="1" t="n">
        <v>44326</v>
      </c>
      <c r="C1962" s="1" t="n">
        <v>45796</v>
      </c>
      <c r="D1962" t="inlineStr">
        <is>
          <t>SKÅNE LÄN</t>
        </is>
      </c>
      <c r="E1962" t="inlineStr">
        <is>
          <t>KRISTIANSTAD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22553-2021</t>
        </is>
      </c>
      <c r="B1963" s="1" t="n">
        <v>44326</v>
      </c>
      <c r="C1963" s="1" t="n">
        <v>45796</v>
      </c>
      <c r="D1963" t="inlineStr">
        <is>
          <t>SKÅNE LÄN</t>
        </is>
      </c>
      <c r="E1963" t="inlineStr">
        <is>
          <t>ÖSTRA GÖINGE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22423-2021</t>
        </is>
      </c>
      <c r="B1964" s="1" t="n">
        <v>44326</v>
      </c>
      <c r="C1964" s="1" t="n">
        <v>45796</v>
      </c>
      <c r="D1964" t="inlineStr">
        <is>
          <t>SKÅNE LÄN</t>
        </is>
      </c>
      <c r="E1964" t="inlineStr">
        <is>
          <t>HÄSSLEHOLM</t>
        </is>
      </c>
      <c r="F1964" t="inlineStr">
        <is>
          <t>Övriga Aktiebolag</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22555-2021</t>
        </is>
      </c>
      <c r="B1965" s="1" t="n">
        <v>44326</v>
      </c>
      <c r="C1965" s="1" t="n">
        <v>45796</v>
      </c>
      <c r="D1965" t="inlineStr">
        <is>
          <t>SKÅNE LÄN</t>
        </is>
      </c>
      <c r="E1965" t="inlineStr">
        <is>
          <t>ÖSTRA GÖINGE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22541-2021</t>
        </is>
      </c>
      <c r="B1966" s="1" t="n">
        <v>44326</v>
      </c>
      <c r="C1966" s="1" t="n">
        <v>45796</v>
      </c>
      <c r="D1966" t="inlineStr">
        <is>
          <t>SKÅNE LÄN</t>
        </is>
      </c>
      <c r="E1966" t="inlineStr">
        <is>
          <t>HÄSSLEHOLM</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22558-2021</t>
        </is>
      </c>
      <c r="B1967" s="1" t="n">
        <v>44326</v>
      </c>
      <c r="C1967" s="1" t="n">
        <v>45796</v>
      </c>
      <c r="D1967" t="inlineStr">
        <is>
          <t>SKÅNE LÄN</t>
        </is>
      </c>
      <c r="E1967" t="inlineStr">
        <is>
          <t>ÖSTRA GÖINGE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22947-2021</t>
        </is>
      </c>
      <c r="B1968" s="1" t="n">
        <v>44327</v>
      </c>
      <c r="C1968" s="1" t="n">
        <v>45796</v>
      </c>
      <c r="D1968" t="inlineStr">
        <is>
          <t>SKÅNE LÄN</t>
        </is>
      </c>
      <c r="E1968" t="inlineStr">
        <is>
          <t>OSBY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22794-2021</t>
        </is>
      </c>
      <c r="B1969" s="1" t="n">
        <v>44328</v>
      </c>
      <c r="C1969" s="1" t="n">
        <v>45796</v>
      </c>
      <c r="D1969" t="inlineStr">
        <is>
          <t>SKÅNE LÄN</t>
        </is>
      </c>
      <c r="E1969" t="inlineStr">
        <is>
          <t>ÖSTRA GÖINGE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22981-2021</t>
        </is>
      </c>
      <c r="B1970" s="1" t="n">
        <v>44327</v>
      </c>
      <c r="C1970" s="1" t="n">
        <v>45796</v>
      </c>
      <c r="D1970" t="inlineStr">
        <is>
          <t>SKÅNE LÄN</t>
        </is>
      </c>
      <c r="E1970" t="inlineStr">
        <is>
          <t>ÖSTRA GÖINGE</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22793-2021</t>
        </is>
      </c>
      <c r="B1971" s="1" t="n">
        <v>44327</v>
      </c>
      <c r="C1971" s="1" t="n">
        <v>45796</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22979-2021</t>
        </is>
      </c>
      <c r="B1972" s="1" t="n">
        <v>44327</v>
      </c>
      <c r="C1972" s="1" t="n">
        <v>45796</v>
      </c>
      <c r="D1972" t="inlineStr">
        <is>
          <t>SKÅNE LÄN</t>
        </is>
      </c>
      <c r="E1972" t="inlineStr">
        <is>
          <t>ÖSTRA GÖINGE</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22958-2021</t>
        </is>
      </c>
      <c r="B1973" s="1" t="n">
        <v>44328</v>
      </c>
      <c r="C1973" s="1" t="n">
        <v>45796</v>
      </c>
      <c r="D1973" t="inlineStr">
        <is>
          <t>SKÅNE LÄN</t>
        </is>
      </c>
      <c r="E1973" t="inlineStr">
        <is>
          <t>KRISTIANSTAD</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23003-2021</t>
        </is>
      </c>
      <c r="B1974" s="1" t="n">
        <v>44328</v>
      </c>
      <c r="C1974" s="1" t="n">
        <v>45796</v>
      </c>
      <c r="D1974" t="inlineStr">
        <is>
          <t>SKÅNE LÄN</t>
        </is>
      </c>
      <c r="E1974" t="inlineStr">
        <is>
          <t>HÄSSLEHOLM</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22899-2021</t>
        </is>
      </c>
      <c r="B1975" s="1" t="n">
        <v>44328</v>
      </c>
      <c r="C1975" s="1" t="n">
        <v>45796</v>
      </c>
      <c r="D1975" t="inlineStr">
        <is>
          <t>SKÅNE LÄN</t>
        </is>
      </c>
      <c r="E1975" t="inlineStr">
        <is>
          <t>HÄSSLEHOLM</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22907-2021</t>
        </is>
      </c>
      <c r="B1976" s="1" t="n">
        <v>44328</v>
      </c>
      <c r="C1976" s="1" t="n">
        <v>45796</v>
      </c>
      <c r="D1976" t="inlineStr">
        <is>
          <t>SKÅNE LÄN</t>
        </is>
      </c>
      <c r="E1976" t="inlineStr">
        <is>
          <t>HÄSSLEHOLM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23045-2021</t>
        </is>
      </c>
      <c r="B1977" s="1" t="n">
        <v>44329</v>
      </c>
      <c r="C1977" s="1" t="n">
        <v>45796</v>
      </c>
      <c r="D1977" t="inlineStr">
        <is>
          <t>SKÅNE LÄN</t>
        </is>
      </c>
      <c r="E1977" t="inlineStr">
        <is>
          <t>HÄSSLEHOLM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23106-2021</t>
        </is>
      </c>
      <c r="B1978" s="1" t="n">
        <v>44330</v>
      </c>
      <c r="C1978" s="1" t="n">
        <v>45796</v>
      </c>
      <c r="D1978" t="inlineStr">
        <is>
          <t>SKÅNE LÄN</t>
        </is>
      </c>
      <c r="E1978" t="inlineStr">
        <is>
          <t>HÄSSLEHOLM</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23211-2021</t>
        </is>
      </c>
      <c r="B1979" s="1" t="n">
        <v>44333</v>
      </c>
      <c r="C1979" s="1" t="n">
        <v>45796</v>
      </c>
      <c r="D1979" t="inlineStr">
        <is>
          <t>SKÅNE LÄN</t>
        </is>
      </c>
      <c r="E1979" t="inlineStr">
        <is>
          <t>KLIPPAN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23190-2021</t>
        </is>
      </c>
      <c r="B1980" s="1" t="n">
        <v>44333</v>
      </c>
      <c r="C1980" s="1" t="n">
        <v>45796</v>
      </c>
      <c r="D1980" t="inlineStr">
        <is>
          <t>SKÅNE LÄN</t>
        </is>
      </c>
      <c r="E1980" t="inlineStr">
        <is>
          <t>KLIPPAN</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23362-2021</t>
        </is>
      </c>
      <c r="B1981" s="1" t="n">
        <v>44333</v>
      </c>
      <c r="C1981" s="1" t="n">
        <v>45796</v>
      </c>
      <c r="D1981" t="inlineStr">
        <is>
          <t>SKÅNE LÄN</t>
        </is>
      </c>
      <c r="E1981" t="inlineStr">
        <is>
          <t>LANDSKRONA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23830-2021</t>
        </is>
      </c>
      <c r="B1982" s="1" t="n">
        <v>44335</v>
      </c>
      <c r="C1982" s="1" t="n">
        <v>45796</v>
      </c>
      <c r="D1982" t="inlineStr">
        <is>
          <t>SKÅNE LÄN</t>
        </is>
      </c>
      <c r="E1982" t="inlineStr">
        <is>
          <t>HÄSSLEHOLM</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23837-2021</t>
        </is>
      </c>
      <c r="B1983" s="1" t="n">
        <v>44335</v>
      </c>
      <c r="C1983" s="1" t="n">
        <v>45796</v>
      </c>
      <c r="D1983" t="inlineStr">
        <is>
          <t>SKÅNE LÄN</t>
        </is>
      </c>
      <c r="E1983" t="inlineStr">
        <is>
          <t>HÄSSLEHOLM</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23841-2021</t>
        </is>
      </c>
      <c r="B1984" s="1" t="n">
        <v>44335</v>
      </c>
      <c r="C1984" s="1" t="n">
        <v>45796</v>
      </c>
      <c r="D1984" t="inlineStr">
        <is>
          <t>SKÅNE LÄN</t>
        </is>
      </c>
      <c r="E1984" t="inlineStr">
        <is>
          <t>HÄSSLEHOLM</t>
        </is>
      </c>
      <c r="G1984" t="n">
        <v>16.9</v>
      </c>
      <c r="H1984" t="n">
        <v>0</v>
      </c>
      <c r="I1984" t="n">
        <v>0</v>
      </c>
      <c r="J1984" t="n">
        <v>0</v>
      </c>
      <c r="K1984" t="n">
        <v>0</v>
      </c>
      <c r="L1984" t="n">
        <v>0</v>
      </c>
      <c r="M1984" t="n">
        <v>0</v>
      </c>
      <c r="N1984" t="n">
        <v>0</v>
      </c>
      <c r="O1984" t="n">
        <v>0</v>
      </c>
      <c r="P1984" t="n">
        <v>0</v>
      </c>
      <c r="Q1984" t="n">
        <v>0</v>
      </c>
      <c r="R1984" s="2" t="inlineStr"/>
    </row>
    <row r="1985" ht="15" customHeight="1">
      <c r="A1985" t="inlineStr">
        <is>
          <t>A 23826-2021</t>
        </is>
      </c>
      <c r="B1985" s="1" t="n">
        <v>44335</v>
      </c>
      <c r="C1985" s="1" t="n">
        <v>45796</v>
      </c>
      <c r="D1985" t="inlineStr">
        <is>
          <t>SKÅNE LÄN</t>
        </is>
      </c>
      <c r="E1985" t="inlineStr">
        <is>
          <t>HÄSSLEHOLM</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23952-2021</t>
        </is>
      </c>
      <c r="B1986" s="1" t="n">
        <v>44335</v>
      </c>
      <c r="C1986" s="1" t="n">
        <v>45796</v>
      </c>
      <c r="D1986" t="inlineStr">
        <is>
          <t>SKÅNE LÄN</t>
        </is>
      </c>
      <c r="E1986" t="inlineStr">
        <is>
          <t>OSBY</t>
        </is>
      </c>
      <c r="F1986" t="inlineStr">
        <is>
          <t>Kyrkan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24086-2021</t>
        </is>
      </c>
      <c r="B1987" s="1" t="n">
        <v>44336</v>
      </c>
      <c r="C1987" s="1" t="n">
        <v>45796</v>
      </c>
      <c r="D1987" t="inlineStr">
        <is>
          <t>SKÅNE LÄN</t>
        </is>
      </c>
      <c r="E1987" t="inlineStr">
        <is>
          <t>ÖSTRA GÖINGE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24384-2021</t>
        </is>
      </c>
      <c r="B1988" s="1" t="n">
        <v>44337</v>
      </c>
      <c r="C1988" s="1" t="n">
        <v>45796</v>
      </c>
      <c r="D1988" t="inlineStr">
        <is>
          <t>SKÅNE LÄN</t>
        </is>
      </c>
      <c r="E1988" t="inlineStr">
        <is>
          <t>ESLÖV</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24498-2021</t>
        </is>
      </c>
      <c r="B1989" s="1" t="n">
        <v>44337</v>
      </c>
      <c r="C1989" s="1" t="n">
        <v>45796</v>
      </c>
      <c r="D1989" t="inlineStr">
        <is>
          <t>SKÅNE LÄN</t>
        </is>
      </c>
      <c r="E1989" t="inlineStr">
        <is>
          <t>HÄSSLEHOLM</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24358-2021</t>
        </is>
      </c>
      <c r="B1990" s="1" t="n">
        <v>44337</v>
      </c>
      <c r="C1990" s="1" t="n">
        <v>45796</v>
      </c>
      <c r="D1990" t="inlineStr">
        <is>
          <t>SKÅNE LÄN</t>
        </is>
      </c>
      <c r="E1990" t="inlineStr">
        <is>
          <t>LUND</t>
        </is>
      </c>
      <c r="F1990" t="inlineStr">
        <is>
          <t>Kommuner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24496-2021</t>
        </is>
      </c>
      <c r="B1991" s="1" t="n">
        <v>44337</v>
      </c>
      <c r="C1991" s="1" t="n">
        <v>45796</v>
      </c>
      <c r="D1991" t="inlineStr">
        <is>
          <t>SKÅNE LÄN</t>
        </is>
      </c>
      <c r="E1991" t="inlineStr">
        <is>
          <t>HÄSSLEHOLM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24712-2021</t>
        </is>
      </c>
      <c r="B1992" s="1" t="n">
        <v>44340</v>
      </c>
      <c r="C1992" s="1" t="n">
        <v>45796</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24691-2021</t>
        </is>
      </c>
      <c r="B1993" s="1" t="n">
        <v>44340</v>
      </c>
      <c r="C1993" s="1" t="n">
        <v>45796</v>
      </c>
      <c r="D1993" t="inlineStr">
        <is>
          <t>SKÅNE LÄN</t>
        </is>
      </c>
      <c r="E1993" t="inlineStr">
        <is>
          <t>ÄNGELHOLM</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25051-2021</t>
        </is>
      </c>
      <c r="B1994" s="1" t="n">
        <v>44341</v>
      </c>
      <c r="C1994" s="1" t="n">
        <v>45796</v>
      </c>
      <c r="D1994" t="inlineStr">
        <is>
          <t>SKÅNE LÄN</t>
        </is>
      </c>
      <c r="E1994" t="inlineStr">
        <is>
          <t>KRISTIANSTAD</t>
        </is>
      </c>
      <c r="F1994" t="inlineStr">
        <is>
          <t>Övriga Aktiebolag</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24932-2021</t>
        </is>
      </c>
      <c r="B1995" s="1" t="n">
        <v>44341</v>
      </c>
      <c r="C1995" s="1" t="n">
        <v>45796</v>
      </c>
      <c r="D1995" t="inlineStr">
        <is>
          <t>SKÅNE LÄN</t>
        </is>
      </c>
      <c r="E1995" t="inlineStr">
        <is>
          <t>ÄNGELHOLM</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25043-2021</t>
        </is>
      </c>
      <c r="B1996" s="1" t="n">
        <v>44341</v>
      </c>
      <c r="C1996" s="1" t="n">
        <v>45796</v>
      </c>
      <c r="D1996" t="inlineStr">
        <is>
          <t>SKÅNE LÄN</t>
        </is>
      </c>
      <c r="E1996" t="inlineStr">
        <is>
          <t>KRISTIANSTAD</t>
        </is>
      </c>
      <c r="F1996" t="inlineStr">
        <is>
          <t>Övriga Aktiebolag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24884-2021</t>
        </is>
      </c>
      <c r="B1997" s="1" t="n">
        <v>44341</v>
      </c>
      <c r="C1997" s="1" t="n">
        <v>45796</v>
      </c>
      <c r="D1997" t="inlineStr">
        <is>
          <t>SKÅNE LÄN</t>
        </is>
      </c>
      <c r="E1997" t="inlineStr">
        <is>
          <t>OSBY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25047-2021</t>
        </is>
      </c>
      <c r="B1998" s="1" t="n">
        <v>44341</v>
      </c>
      <c r="C1998" s="1" t="n">
        <v>45796</v>
      </c>
      <c r="D1998" t="inlineStr">
        <is>
          <t>SKÅNE LÄN</t>
        </is>
      </c>
      <c r="E1998" t="inlineStr">
        <is>
          <t>KRISTIANSTAD</t>
        </is>
      </c>
      <c r="F1998" t="inlineStr">
        <is>
          <t>Övriga Aktiebolag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25239-2021</t>
        </is>
      </c>
      <c r="B1999" s="1" t="n">
        <v>44342</v>
      </c>
      <c r="C1999" s="1" t="n">
        <v>45796</v>
      </c>
      <c r="D1999" t="inlineStr">
        <is>
          <t>SKÅNE LÄN</t>
        </is>
      </c>
      <c r="E1999" t="inlineStr">
        <is>
          <t>ÖSTRA GÖINGE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25383-2021</t>
        </is>
      </c>
      <c r="B2000" s="1" t="n">
        <v>44342</v>
      </c>
      <c r="C2000" s="1" t="n">
        <v>45796</v>
      </c>
      <c r="D2000" t="inlineStr">
        <is>
          <t>SKÅNE LÄN</t>
        </is>
      </c>
      <c r="E2000" t="inlineStr">
        <is>
          <t>HÄSSLEHOLM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25279-2021</t>
        </is>
      </c>
      <c r="B2001" s="1" t="n">
        <v>44342</v>
      </c>
      <c r="C2001" s="1" t="n">
        <v>45796</v>
      </c>
      <c r="D2001" t="inlineStr">
        <is>
          <t>SKÅNE LÄN</t>
        </is>
      </c>
      <c r="E2001" t="inlineStr">
        <is>
          <t>KÄVLINGE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25175-2021</t>
        </is>
      </c>
      <c r="B2002" s="1" t="n">
        <v>44342</v>
      </c>
      <c r="C2002" s="1" t="n">
        <v>45796</v>
      </c>
      <c r="D2002" t="inlineStr">
        <is>
          <t>SKÅNE LÄN</t>
        </is>
      </c>
      <c r="E2002" t="inlineStr">
        <is>
          <t>OSBY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25379-2021</t>
        </is>
      </c>
      <c r="B2003" s="1" t="n">
        <v>44342</v>
      </c>
      <c r="C2003" s="1" t="n">
        <v>45796</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25369-2021</t>
        </is>
      </c>
      <c r="B2004" s="1" t="n">
        <v>44342</v>
      </c>
      <c r="C2004" s="1" t="n">
        <v>45796</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25563-2021</t>
        </is>
      </c>
      <c r="B2005" s="1" t="n">
        <v>44343</v>
      </c>
      <c r="C2005" s="1" t="n">
        <v>45796</v>
      </c>
      <c r="D2005" t="inlineStr">
        <is>
          <t>SKÅNE LÄN</t>
        </is>
      </c>
      <c r="E2005" t="inlineStr">
        <is>
          <t>BROMÖLLA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25557-2021</t>
        </is>
      </c>
      <c r="B2006" s="1" t="n">
        <v>44343</v>
      </c>
      <c r="C2006" s="1" t="n">
        <v>45796</v>
      </c>
      <c r="D2006" t="inlineStr">
        <is>
          <t>SKÅNE LÄN</t>
        </is>
      </c>
      <c r="E2006" t="inlineStr">
        <is>
          <t>BROMÖLLA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25578-2021</t>
        </is>
      </c>
      <c r="B2007" s="1" t="n">
        <v>44343</v>
      </c>
      <c r="C2007" s="1" t="n">
        <v>45796</v>
      </c>
      <c r="D2007" t="inlineStr">
        <is>
          <t>SKÅNE LÄN</t>
        </is>
      </c>
      <c r="E2007" t="inlineStr">
        <is>
          <t>KRISTIANSTAD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25788-2021</t>
        </is>
      </c>
      <c r="B2008" s="1" t="n">
        <v>44343</v>
      </c>
      <c r="C2008" s="1" t="n">
        <v>45796</v>
      </c>
      <c r="D2008" t="inlineStr">
        <is>
          <t>SKÅNE LÄN</t>
        </is>
      </c>
      <c r="E2008" t="inlineStr">
        <is>
          <t>HÄSSLEHOLM</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25881-2021</t>
        </is>
      </c>
      <c r="B2009" s="1" t="n">
        <v>44344</v>
      </c>
      <c r="C2009" s="1" t="n">
        <v>45796</v>
      </c>
      <c r="D2009" t="inlineStr">
        <is>
          <t>SKÅNE LÄN</t>
        </is>
      </c>
      <c r="E2009" t="inlineStr">
        <is>
          <t>SIMRISHAMN</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25899-2021</t>
        </is>
      </c>
      <c r="B2010" s="1" t="n">
        <v>44344</v>
      </c>
      <c r="C2010" s="1" t="n">
        <v>45796</v>
      </c>
      <c r="D2010" t="inlineStr">
        <is>
          <t>SKÅNE LÄN</t>
        </is>
      </c>
      <c r="E2010" t="inlineStr">
        <is>
          <t>TOMELILLA</t>
        </is>
      </c>
      <c r="F2010" t="inlineStr">
        <is>
          <t>Övriga Aktiebolag</t>
        </is>
      </c>
      <c r="G2010" t="n">
        <v>14.8</v>
      </c>
      <c r="H2010" t="n">
        <v>0</v>
      </c>
      <c r="I2010" t="n">
        <v>0</v>
      </c>
      <c r="J2010" t="n">
        <v>0</v>
      </c>
      <c r="K2010" t="n">
        <v>0</v>
      </c>
      <c r="L2010" t="n">
        <v>0</v>
      </c>
      <c r="M2010" t="n">
        <v>0</v>
      </c>
      <c r="N2010" t="n">
        <v>0</v>
      </c>
      <c r="O2010" t="n">
        <v>0</v>
      </c>
      <c r="P2010" t="n">
        <v>0</v>
      </c>
      <c r="Q2010" t="n">
        <v>0</v>
      </c>
      <c r="R2010" s="2" t="inlineStr"/>
    </row>
    <row r="2011" ht="15" customHeight="1">
      <c r="A2011" t="inlineStr">
        <is>
          <t>A 26207-2021</t>
        </is>
      </c>
      <c r="B2011" s="1" t="n">
        <v>44347</v>
      </c>
      <c r="C2011" s="1" t="n">
        <v>45796</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26262-2021</t>
        </is>
      </c>
      <c r="B2012" s="1" t="n">
        <v>44347</v>
      </c>
      <c r="C2012" s="1" t="n">
        <v>45796</v>
      </c>
      <c r="D2012" t="inlineStr">
        <is>
          <t>SKÅNE LÄN</t>
        </is>
      </c>
      <c r="E2012" t="inlineStr">
        <is>
          <t>SJÖBO</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26459-2021</t>
        </is>
      </c>
      <c r="B2013" s="1" t="n">
        <v>44348</v>
      </c>
      <c r="C2013" s="1" t="n">
        <v>45796</v>
      </c>
      <c r="D2013" t="inlineStr">
        <is>
          <t>SKÅNE LÄN</t>
        </is>
      </c>
      <c r="E2013" t="inlineStr">
        <is>
          <t>SJÖBO</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26482-2021</t>
        </is>
      </c>
      <c r="B2014" s="1" t="n">
        <v>44348</v>
      </c>
      <c r="C2014" s="1" t="n">
        <v>45796</v>
      </c>
      <c r="D2014" t="inlineStr">
        <is>
          <t>SKÅNE LÄN</t>
        </is>
      </c>
      <c r="E2014" t="inlineStr">
        <is>
          <t>KRISTIANSTAD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26461-2021</t>
        </is>
      </c>
      <c r="B2015" s="1" t="n">
        <v>44348</v>
      </c>
      <c r="C2015" s="1" t="n">
        <v>45796</v>
      </c>
      <c r="D2015" t="inlineStr">
        <is>
          <t>SKÅNE LÄN</t>
        </is>
      </c>
      <c r="E2015" t="inlineStr">
        <is>
          <t>YSTAD</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26515-2021</t>
        </is>
      </c>
      <c r="B2016" s="1" t="n">
        <v>44348</v>
      </c>
      <c r="C2016" s="1" t="n">
        <v>45796</v>
      </c>
      <c r="D2016" t="inlineStr">
        <is>
          <t>SKÅNE LÄN</t>
        </is>
      </c>
      <c r="E2016" t="inlineStr">
        <is>
          <t>ÖSTRA GÖINGE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26707-2021</t>
        </is>
      </c>
      <c r="B2017" s="1" t="n">
        <v>44349</v>
      </c>
      <c r="C2017" s="1" t="n">
        <v>45796</v>
      </c>
      <c r="D2017" t="inlineStr">
        <is>
          <t>SKÅNE LÄN</t>
        </is>
      </c>
      <c r="E2017" t="inlineStr">
        <is>
          <t>OSBY</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26918-2021</t>
        </is>
      </c>
      <c r="B2018" s="1" t="n">
        <v>44349</v>
      </c>
      <c r="C2018" s="1" t="n">
        <v>45796</v>
      </c>
      <c r="D2018" t="inlineStr">
        <is>
          <t>SKÅNE LÄN</t>
        </is>
      </c>
      <c r="E2018" t="inlineStr">
        <is>
          <t>KRISTIANSTAD</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26928-2021</t>
        </is>
      </c>
      <c r="B2019" s="1" t="n">
        <v>44349</v>
      </c>
      <c r="C2019" s="1" t="n">
        <v>45796</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27085-2021</t>
        </is>
      </c>
      <c r="B2020" s="1" t="n">
        <v>44350</v>
      </c>
      <c r="C2020" s="1" t="n">
        <v>45796</v>
      </c>
      <c r="D2020" t="inlineStr">
        <is>
          <t>SKÅNE LÄN</t>
        </is>
      </c>
      <c r="E2020" t="inlineStr">
        <is>
          <t>ÖSTRA GÖINGE</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27137-2021</t>
        </is>
      </c>
      <c r="B2021" s="1" t="n">
        <v>44350</v>
      </c>
      <c r="C2021" s="1" t="n">
        <v>45796</v>
      </c>
      <c r="D2021" t="inlineStr">
        <is>
          <t>SKÅNE LÄN</t>
        </is>
      </c>
      <c r="E2021" t="inlineStr">
        <is>
          <t>HÄSSLEHOLM</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27091-2021</t>
        </is>
      </c>
      <c r="B2022" s="1" t="n">
        <v>44350</v>
      </c>
      <c r="C2022" s="1" t="n">
        <v>45796</v>
      </c>
      <c r="D2022" t="inlineStr">
        <is>
          <t>SKÅNE LÄN</t>
        </is>
      </c>
      <c r="E2022" t="inlineStr">
        <is>
          <t>ÖSTRA GÖINGE</t>
        </is>
      </c>
      <c r="F2022" t="inlineStr">
        <is>
          <t>Sveaskog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27197-2021</t>
        </is>
      </c>
      <c r="B2023" s="1" t="n">
        <v>44350</v>
      </c>
      <c r="C2023" s="1" t="n">
        <v>45796</v>
      </c>
      <c r="D2023" t="inlineStr">
        <is>
          <t>SKÅNE LÄN</t>
        </is>
      </c>
      <c r="E2023" t="inlineStr">
        <is>
          <t>HÄSSLEHOLM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27330-2021</t>
        </is>
      </c>
      <c r="B2024" s="1" t="n">
        <v>44351</v>
      </c>
      <c r="C2024" s="1" t="n">
        <v>45796</v>
      </c>
      <c r="D2024" t="inlineStr">
        <is>
          <t>SKÅNE LÄN</t>
        </is>
      </c>
      <c r="E2024" t="inlineStr">
        <is>
          <t>HÄSSLEHOLM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27309-2021</t>
        </is>
      </c>
      <c r="B2025" s="1" t="n">
        <v>44351</v>
      </c>
      <c r="C2025" s="1" t="n">
        <v>45796</v>
      </c>
      <c r="D2025" t="inlineStr">
        <is>
          <t>SKÅNE LÄN</t>
        </is>
      </c>
      <c r="E2025" t="inlineStr">
        <is>
          <t>ÖRKELLJUNGA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27538-2021</t>
        </is>
      </c>
      <c r="B2026" s="1" t="n">
        <v>44351</v>
      </c>
      <c r="C2026" s="1" t="n">
        <v>45796</v>
      </c>
      <c r="D2026" t="inlineStr">
        <is>
          <t>SKÅNE LÄN</t>
        </is>
      </c>
      <c r="E2026" t="inlineStr">
        <is>
          <t>KLIPPAN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27521-2021</t>
        </is>
      </c>
      <c r="B2027" s="1" t="n">
        <v>44351</v>
      </c>
      <c r="C2027" s="1" t="n">
        <v>45796</v>
      </c>
      <c r="D2027" t="inlineStr">
        <is>
          <t>SKÅNE LÄN</t>
        </is>
      </c>
      <c r="E2027" t="inlineStr">
        <is>
          <t>ÖRKELLJUNGA</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27568-2021</t>
        </is>
      </c>
      <c r="B2028" s="1" t="n">
        <v>44353</v>
      </c>
      <c r="C2028" s="1" t="n">
        <v>45796</v>
      </c>
      <c r="D2028" t="inlineStr">
        <is>
          <t>SKÅNE LÄN</t>
        </is>
      </c>
      <c r="E2028" t="inlineStr">
        <is>
          <t>OSBY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27764-2021</t>
        </is>
      </c>
      <c r="B2029" s="1" t="n">
        <v>44354</v>
      </c>
      <c r="C2029" s="1" t="n">
        <v>45796</v>
      </c>
      <c r="D2029" t="inlineStr">
        <is>
          <t>SKÅNE LÄN</t>
        </is>
      </c>
      <c r="E2029" t="inlineStr">
        <is>
          <t>KRISTIANSTAD</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27729-2021</t>
        </is>
      </c>
      <c r="B2030" s="1" t="n">
        <v>44354</v>
      </c>
      <c r="C2030" s="1" t="n">
        <v>45796</v>
      </c>
      <c r="D2030" t="inlineStr">
        <is>
          <t>SKÅNE LÄN</t>
        </is>
      </c>
      <c r="E2030" t="inlineStr">
        <is>
          <t>KRISTIANSTAD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27795-2021</t>
        </is>
      </c>
      <c r="B2031" s="1" t="n">
        <v>44354</v>
      </c>
      <c r="C2031" s="1" t="n">
        <v>45796</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27817-2021</t>
        </is>
      </c>
      <c r="B2032" s="1" t="n">
        <v>44354</v>
      </c>
      <c r="C2032" s="1" t="n">
        <v>45796</v>
      </c>
      <c r="D2032" t="inlineStr">
        <is>
          <t>SKÅNE LÄN</t>
        </is>
      </c>
      <c r="E2032" t="inlineStr">
        <is>
          <t>HÖRBY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27906-2021</t>
        </is>
      </c>
      <c r="B2033" s="1" t="n">
        <v>44354</v>
      </c>
      <c r="C2033" s="1" t="n">
        <v>45796</v>
      </c>
      <c r="D2033" t="inlineStr">
        <is>
          <t>SKÅNE LÄN</t>
        </is>
      </c>
      <c r="E2033" t="inlineStr">
        <is>
          <t>BROMÖLLA</t>
        </is>
      </c>
      <c r="F2033" t="inlineStr">
        <is>
          <t>Kyrkan</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27914-2021</t>
        </is>
      </c>
      <c r="B2034" s="1" t="n">
        <v>44354</v>
      </c>
      <c r="C2034" s="1" t="n">
        <v>45796</v>
      </c>
      <c r="D2034" t="inlineStr">
        <is>
          <t>SKÅNE LÄN</t>
        </is>
      </c>
      <c r="E2034" t="inlineStr">
        <is>
          <t>OSBY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28131-2021</t>
        </is>
      </c>
      <c r="B2035" s="1" t="n">
        <v>44355</v>
      </c>
      <c r="C2035" s="1" t="n">
        <v>45796</v>
      </c>
      <c r="D2035" t="inlineStr">
        <is>
          <t>SKÅNE LÄN</t>
        </is>
      </c>
      <c r="E2035" t="inlineStr">
        <is>
          <t>TOMELILLA</t>
        </is>
      </c>
      <c r="F2035" t="inlineStr">
        <is>
          <t>Övriga Aktiebolag</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28227-2021</t>
        </is>
      </c>
      <c r="B2036" s="1" t="n">
        <v>44355</v>
      </c>
      <c r="C2036" s="1" t="n">
        <v>45796</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28678-2021</t>
        </is>
      </c>
      <c r="B2037" s="1" t="n">
        <v>44357</v>
      </c>
      <c r="C2037" s="1" t="n">
        <v>45796</v>
      </c>
      <c r="D2037" t="inlineStr">
        <is>
          <t>SKÅNE LÄN</t>
        </is>
      </c>
      <c r="E2037" t="inlineStr">
        <is>
          <t>OSBY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29143-2021</t>
        </is>
      </c>
      <c r="B2038" s="1" t="n">
        <v>44358</v>
      </c>
      <c r="C2038" s="1" t="n">
        <v>45796</v>
      </c>
      <c r="D2038" t="inlineStr">
        <is>
          <t>SKÅNE LÄN</t>
        </is>
      </c>
      <c r="E2038" t="inlineStr">
        <is>
          <t>HÄSSLEHOLM</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29169-2021</t>
        </is>
      </c>
      <c r="B2039" s="1" t="n">
        <v>44358</v>
      </c>
      <c r="C2039" s="1" t="n">
        <v>45796</v>
      </c>
      <c r="D2039" t="inlineStr">
        <is>
          <t>SKÅNE LÄN</t>
        </is>
      </c>
      <c r="E2039" t="inlineStr">
        <is>
          <t>ÖRKELLJUNGA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29245-2021</t>
        </is>
      </c>
      <c r="B2040" s="1" t="n">
        <v>44361</v>
      </c>
      <c r="C2040" s="1" t="n">
        <v>45796</v>
      </c>
      <c r="D2040" t="inlineStr">
        <is>
          <t>SKÅNE LÄN</t>
        </is>
      </c>
      <c r="E2040" t="inlineStr">
        <is>
          <t>BÅSTAD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29296-2021</t>
        </is>
      </c>
      <c r="B2041" s="1" t="n">
        <v>44361</v>
      </c>
      <c r="C2041" s="1" t="n">
        <v>45796</v>
      </c>
      <c r="D2041" t="inlineStr">
        <is>
          <t>SKÅNE LÄN</t>
        </is>
      </c>
      <c r="E2041" t="inlineStr">
        <is>
          <t>SVALÖV</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29710-2021</t>
        </is>
      </c>
      <c r="B2042" s="1" t="n">
        <v>44362</v>
      </c>
      <c r="C2042" s="1" t="n">
        <v>45796</v>
      </c>
      <c r="D2042" t="inlineStr">
        <is>
          <t>SKÅNE LÄN</t>
        </is>
      </c>
      <c r="E2042" t="inlineStr">
        <is>
          <t>KRISTIANSTAD</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29743-2021</t>
        </is>
      </c>
      <c r="B2043" s="1" t="n">
        <v>44362</v>
      </c>
      <c r="C2043" s="1" t="n">
        <v>45796</v>
      </c>
      <c r="D2043" t="inlineStr">
        <is>
          <t>SKÅNE LÄN</t>
        </is>
      </c>
      <c r="E2043" t="inlineStr">
        <is>
          <t>PERSTORP</t>
        </is>
      </c>
      <c r="F2043" t="inlineStr">
        <is>
          <t>Övriga Aktiebolag</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29748-2021</t>
        </is>
      </c>
      <c r="B2044" s="1" t="n">
        <v>44362</v>
      </c>
      <c r="C2044" s="1" t="n">
        <v>45796</v>
      </c>
      <c r="D2044" t="inlineStr">
        <is>
          <t>SKÅNE LÄN</t>
        </is>
      </c>
      <c r="E2044" t="inlineStr">
        <is>
          <t>PERSTORP</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29750-2021</t>
        </is>
      </c>
      <c r="B2045" s="1" t="n">
        <v>44362</v>
      </c>
      <c r="C2045" s="1" t="n">
        <v>45796</v>
      </c>
      <c r="D2045" t="inlineStr">
        <is>
          <t>SKÅNE LÄN</t>
        </is>
      </c>
      <c r="E2045" t="inlineStr">
        <is>
          <t>PERSTORP</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30195-2021</t>
        </is>
      </c>
      <c r="B2046" s="1" t="n">
        <v>44363</v>
      </c>
      <c r="C2046" s="1" t="n">
        <v>45796</v>
      </c>
      <c r="D2046" t="inlineStr">
        <is>
          <t>SKÅNE LÄN</t>
        </is>
      </c>
      <c r="E2046" t="inlineStr">
        <is>
          <t>KLIPPAN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30292-2021</t>
        </is>
      </c>
      <c r="B2047" s="1" t="n">
        <v>44364</v>
      </c>
      <c r="C2047" s="1" t="n">
        <v>45796</v>
      </c>
      <c r="D2047" t="inlineStr">
        <is>
          <t>SKÅNE LÄN</t>
        </is>
      </c>
      <c r="E2047" t="inlineStr">
        <is>
          <t>KLIPPAN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30650-2021</t>
        </is>
      </c>
      <c r="B2048" s="1" t="n">
        <v>44365</v>
      </c>
      <c r="C2048" s="1" t="n">
        <v>45796</v>
      </c>
      <c r="D2048" t="inlineStr">
        <is>
          <t>SKÅNE LÄN</t>
        </is>
      </c>
      <c r="E2048" t="inlineStr">
        <is>
          <t>KLIPPAN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30706-2021</t>
        </is>
      </c>
      <c r="B2049" s="1" t="n">
        <v>44365</v>
      </c>
      <c r="C2049" s="1" t="n">
        <v>45796</v>
      </c>
      <c r="D2049" t="inlineStr">
        <is>
          <t>SKÅNE LÄN</t>
        </is>
      </c>
      <c r="E2049" t="inlineStr">
        <is>
          <t>KRISTIANSTAD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30725-2021</t>
        </is>
      </c>
      <c r="B2050" s="1" t="n">
        <v>44365</v>
      </c>
      <c r="C2050" s="1" t="n">
        <v>45796</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30738-2021</t>
        </is>
      </c>
      <c r="B2051" s="1" t="n">
        <v>44365</v>
      </c>
      <c r="C2051" s="1" t="n">
        <v>45796</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30753-2021</t>
        </is>
      </c>
      <c r="B2052" s="1" t="n">
        <v>44365</v>
      </c>
      <c r="C2052" s="1" t="n">
        <v>45796</v>
      </c>
      <c r="D2052" t="inlineStr">
        <is>
          <t>SKÅNE LÄN</t>
        </is>
      </c>
      <c r="E2052" t="inlineStr">
        <is>
          <t>PERSTORP</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30852-2021</t>
        </is>
      </c>
      <c r="B2053" s="1" t="n">
        <v>44365</v>
      </c>
      <c r="C2053" s="1" t="n">
        <v>45796</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30879-2021</t>
        </is>
      </c>
      <c r="B2054" s="1" t="n">
        <v>44365</v>
      </c>
      <c r="C2054" s="1" t="n">
        <v>45796</v>
      </c>
      <c r="D2054" t="inlineStr">
        <is>
          <t>SKÅNE LÄN</t>
        </is>
      </c>
      <c r="E2054" t="inlineStr">
        <is>
          <t>HÄSSLEHOLM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30747-2021</t>
        </is>
      </c>
      <c r="B2055" s="1" t="n">
        <v>44365</v>
      </c>
      <c r="C2055" s="1" t="n">
        <v>45796</v>
      </c>
      <c r="D2055" t="inlineStr">
        <is>
          <t>SKÅNE LÄN</t>
        </is>
      </c>
      <c r="E2055" t="inlineStr">
        <is>
          <t>PERSTORP</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30992-2021</t>
        </is>
      </c>
      <c r="B2056" s="1" t="n">
        <v>44366</v>
      </c>
      <c r="C2056" s="1" t="n">
        <v>45796</v>
      </c>
      <c r="D2056" t="inlineStr">
        <is>
          <t>SKÅNE LÄN</t>
        </is>
      </c>
      <c r="E2056" t="inlineStr">
        <is>
          <t>HÄSSLEHOLM</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31097-2021</t>
        </is>
      </c>
      <c r="B2057" s="1" t="n">
        <v>44368</v>
      </c>
      <c r="C2057" s="1" t="n">
        <v>45796</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31092-2021</t>
        </is>
      </c>
      <c r="B2058" s="1" t="n">
        <v>44368</v>
      </c>
      <c r="C2058" s="1" t="n">
        <v>45796</v>
      </c>
      <c r="D2058" t="inlineStr">
        <is>
          <t>SKÅNE LÄN</t>
        </is>
      </c>
      <c r="E2058" t="inlineStr">
        <is>
          <t>KLIPPAN</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31224-2021</t>
        </is>
      </c>
      <c r="B2059" s="1" t="n">
        <v>44368</v>
      </c>
      <c r="C2059" s="1" t="n">
        <v>45796</v>
      </c>
      <c r="D2059" t="inlineStr">
        <is>
          <t>SKÅNE LÄN</t>
        </is>
      </c>
      <c r="E2059" t="inlineStr">
        <is>
          <t>BROMÖLLA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31262-2021</t>
        </is>
      </c>
      <c r="B2060" s="1" t="n">
        <v>44368</v>
      </c>
      <c r="C2060" s="1" t="n">
        <v>45796</v>
      </c>
      <c r="D2060" t="inlineStr">
        <is>
          <t>SKÅNE LÄN</t>
        </is>
      </c>
      <c r="E2060" t="inlineStr">
        <is>
          <t>KRISTIANSTAD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31389-2021</t>
        </is>
      </c>
      <c r="B2061" s="1" t="n">
        <v>44368</v>
      </c>
      <c r="C2061" s="1" t="n">
        <v>45796</v>
      </c>
      <c r="D2061" t="inlineStr">
        <is>
          <t>SKÅNE LÄN</t>
        </is>
      </c>
      <c r="E2061" t="inlineStr">
        <is>
          <t>ÖSTRA GÖINGE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31391-2021</t>
        </is>
      </c>
      <c r="B2062" s="1" t="n">
        <v>44368</v>
      </c>
      <c r="C2062" s="1" t="n">
        <v>45796</v>
      </c>
      <c r="D2062" t="inlineStr">
        <is>
          <t>SKÅNE LÄN</t>
        </is>
      </c>
      <c r="E2062" t="inlineStr">
        <is>
          <t>ÖSTRA GÖINGE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31393-2021</t>
        </is>
      </c>
      <c r="B2063" s="1" t="n">
        <v>44368</v>
      </c>
      <c r="C2063" s="1" t="n">
        <v>45796</v>
      </c>
      <c r="D2063" t="inlineStr">
        <is>
          <t>SKÅNE LÄN</t>
        </is>
      </c>
      <c r="E2063" t="inlineStr">
        <is>
          <t>SVEDALA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31491-2021</t>
        </is>
      </c>
      <c r="B2064" s="1" t="n">
        <v>44369</v>
      </c>
      <c r="C2064" s="1" t="n">
        <v>45796</v>
      </c>
      <c r="D2064" t="inlineStr">
        <is>
          <t>SKÅNE LÄN</t>
        </is>
      </c>
      <c r="E2064" t="inlineStr">
        <is>
          <t>OSBY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31645-2021</t>
        </is>
      </c>
      <c r="B2065" s="1" t="n">
        <v>44369</v>
      </c>
      <c r="C2065" s="1" t="n">
        <v>45796</v>
      </c>
      <c r="D2065" t="inlineStr">
        <is>
          <t>SKÅNE LÄN</t>
        </is>
      </c>
      <c r="E2065" t="inlineStr">
        <is>
          <t>PERSTORP</t>
        </is>
      </c>
      <c r="F2065" t="inlineStr">
        <is>
          <t>Kyrkan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31675-2021</t>
        </is>
      </c>
      <c r="B2066" s="1" t="n">
        <v>44369</v>
      </c>
      <c r="C2066" s="1" t="n">
        <v>45796</v>
      </c>
      <c r="D2066" t="inlineStr">
        <is>
          <t>SKÅNE LÄN</t>
        </is>
      </c>
      <c r="E2066" t="inlineStr">
        <is>
          <t>SJÖBO</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31810-2021</t>
        </is>
      </c>
      <c r="B2067" s="1" t="n">
        <v>44370</v>
      </c>
      <c r="C2067" s="1" t="n">
        <v>45796</v>
      </c>
      <c r="D2067" t="inlineStr">
        <is>
          <t>SKÅNE LÄN</t>
        </is>
      </c>
      <c r="E2067" t="inlineStr">
        <is>
          <t>HÖÖR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31893-2021</t>
        </is>
      </c>
      <c r="B2068" s="1" t="n">
        <v>44370</v>
      </c>
      <c r="C2068" s="1" t="n">
        <v>45796</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32388-2021</t>
        </is>
      </c>
      <c r="B2069" s="1" t="n">
        <v>44371</v>
      </c>
      <c r="C2069" s="1" t="n">
        <v>45796</v>
      </c>
      <c r="D2069" t="inlineStr">
        <is>
          <t>SKÅNE LÄN</t>
        </is>
      </c>
      <c r="E2069" t="inlineStr">
        <is>
          <t>HÖÖR</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32354-2021</t>
        </is>
      </c>
      <c r="B2070" s="1" t="n">
        <v>44371</v>
      </c>
      <c r="C2070" s="1" t="n">
        <v>45796</v>
      </c>
      <c r="D2070" t="inlineStr">
        <is>
          <t>SKÅNE LÄN</t>
        </is>
      </c>
      <c r="E2070" t="inlineStr">
        <is>
          <t>ESLÖV</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32545-2021</t>
        </is>
      </c>
      <c r="B2071" s="1" t="n">
        <v>44374</v>
      </c>
      <c r="C2071" s="1" t="n">
        <v>45796</v>
      </c>
      <c r="D2071" t="inlineStr">
        <is>
          <t>SKÅNE LÄN</t>
        </is>
      </c>
      <c r="E2071" t="inlineStr">
        <is>
          <t>HÖRBY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32543-2021</t>
        </is>
      </c>
      <c r="B2072" s="1" t="n">
        <v>44375</v>
      </c>
      <c r="C2072" s="1" t="n">
        <v>45796</v>
      </c>
      <c r="D2072" t="inlineStr">
        <is>
          <t>SKÅNE LÄN</t>
        </is>
      </c>
      <c r="E2072" t="inlineStr">
        <is>
          <t>HÖRBY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32546-2021</t>
        </is>
      </c>
      <c r="B2073" s="1" t="n">
        <v>44375</v>
      </c>
      <c r="C2073" s="1" t="n">
        <v>45796</v>
      </c>
      <c r="D2073" t="inlineStr">
        <is>
          <t>SKÅNE LÄN</t>
        </is>
      </c>
      <c r="E2073" t="inlineStr">
        <is>
          <t>HÖRBY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32686-2021</t>
        </is>
      </c>
      <c r="B2074" s="1" t="n">
        <v>44375</v>
      </c>
      <c r="C2074" s="1" t="n">
        <v>45796</v>
      </c>
      <c r="D2074" t="inlineStr">
        <is>
          <t>SKÅNE LÄN</t>
        </is>
      </c>
      <c r="E2074" t="inlineStr">
        <is>
          <t>ÖSTRA GÖINGE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32735-2021</t>
        </is>
      </c>
      <c r="B2075" s="1" t="n">
        <v>44375</v>
      </c>
      <c r="C2075" s="1" t="n">
        <v>45796</v>
      </c>
      <c r="D2075" t="inlineStr">
        <is>
          <t>SKÅNE LÄN</t>
        </is>
      </c>
      <c r="E2075" t="inlineStr">
        <is>
          <t>ÄNGELHOLM</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32792-2021</t>
        </is>
      </c>
      <c r="B2076" s="1" t="n">
        <v>44375</v>
      </c>
      <c r="C2076" s="1" t="n">
        <v>45796</v>
      </c>
      <c r="D2076" t="inlineStr">
        <is>
          <t>SKÅNE LÄN</t>
        </is>
      </c>
      <c r="E2076" t="inlineStr">
        <is>
          <t>HÄSSLEHOLM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32892-2021</t>
        </is>
      </c>
      <c r="B2077" s="1" t="n">
        <v>44375</v>
      </c>
      <c r="C2077" s="1" t="n">
        <v>45796</v>
      </c>
      <c r="D2077" t="inlineStr">
        <is>
          <t>SKÅNE LÄN</t>
        </is>
      </c>
      <c r="E2077" t="inlineStr">
        <is>
          <t>HÄSSLEHOLM</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32794-2021</t>
        </is>
      </c>
      <c r="B2078" s="1" t="n">
        <v>44375</v>
      </c>
      <c r="C2078" s="1" t="n">
        <v>45796</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32893-2021</t>
        </is>
      </c>
      <c r="B2079" s="1" t="n">
        <v>44375</v>
      </c>
      <c r="C2079" s="1" t="n">
        <v>45796</v>
      </c>
      <c r="D2079" t="inlineStr">
        <is>
          <t>SKÅNE LÄN</t>
        </is>
      </c>
      <c r="E2079" t="inlineStr">
        <is>
          <t>LUND</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32967-2021</t>
        </is>
      </c>
      <c r="B2080" s="1" t="n">
        <v>44376</v>
      </c>
      <c r="C2080" s="1" t="n">
        <v>45796</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33037-2021</t>
        </is>
      </c>
      <c r="B2081" s="1" t="n">
        <v>44376</v>
      </c>
      <c r="C2081" s="1" t="n">
        <v>45796</v>
      </c>
      <c r="D2081" t="inlineStr">
        <is>
          <t>SKÅNE LÄN</t>
        </is>
      </c>
      <c r="E2081" t="inlineStr">
        <is>
          <t>ÖSTRA GÖINGE</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33112-2021</t>
        </is>
      </c>
      <c r="B2082" s="1" t="n">
        <v>44376</v>
      </c>
      <c r="C2082" s="1" t="n">
        <v>45796</v>
      </c>
      <c r="D2082" t="inlineStr">
        <is>
          <t>SKÅNE LÄN</t>
        </is>
      </c>
      <c r="E2082" t="inlineStr">
        <is>
          <t>OSBY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33736-2021</t>
        </is>
      </c>
      <c r="B2083" s="1" t="n">
        <v>44378</v>
      </c>
      <c r="C2083" s="1" t="n">
        <v>45796</v>
      </c>
      <c r="D2083" t="inlineStr">
        <is>
          <t>SKÅNE LÄN</t>
        </is>
      </c>
      <c r="E2083" t="inlineStr">
        <is>
          <t>HÄSSLEHOLM</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33788-2021</t>
        </is>
      </c>
      <c r="B2084" s="1" t="n">
        <v>44378</v>
      </c>
      <c r="C2084" s="1" t="n">
        <v>45796</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33826-2021</t>
        </is>
      </c>
      <c r="B2085" s="1" t="n">
        <v>44378</v>
      </c>
      <c r="C2085" s="1" t="n">
        <v>45796</v>
      </c>
      <c r="D2085" t="inlineStr">
        <is>
          <t>SKÅNE LÄN</t>
        </is>
      </c>
      <c r="E2085" t="inlineStr">
        <is>
          <t>ÖSTRA GÖINGE</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33873-2021</t>
        </is>
      </c>
      <c r="B2086" s="1" t="n">
        <v>44378</v>
      </c>
      <c r="C2086" s="1" t="n">
        <v>45796</v>
      </c>
      <c r="D2086" t="inlineStr">
        <is>
          <t>SKÅNE LÄN</t>
        </is>
      </c>
      <c r="E2086" t="inlineStr">
        <is>
          <t>HÄSSLEHOLM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33927-2021</t>
        </is>
      </c>
      <c r="B2087" s="1" t="n">
        <v>44378</v>
      </c>
      <c r="C2087" s="1" t="n">
        <v>45796</v>
      </c>
      <c r="D2087" t="inlineStr">
        <is>
          <t>SKÅNE LÄN</t>
        </is>
      </c>
      <c r="E2087" t="inlineStr">
        <is>
          <t>HÄSSLEHOLM</t>
        </is>
      </c>
      <c r="G2087" t="n">
        <v>16.7</v>
      </c>
      <c r="H2087" t="n">
        <v>0</v>
      </c>
      <c r="I2087" t="n">
        <v>0</v>
      </c>
      <c r="J2087" t="n">
        <v>0</v>
      </c>
      <c r="K2087" t="n">
        <v>0</v>
      </c>
      <c r="L2087" t="n">
        <v>0</v>
      </c>
      <c r="M2087" t="n">
        <v>0</v>
      </c>
      <c r="N2087" t="n">
        <v>0</v>
      </c>
      <c r="O2087" t="n">
        <v>0</v>
      </c>
      <c r="P2087" t="n">
        <v>0</v>
      </c>
      <c r="Q2087" t="n">
        <v>0</v>
      </c>
      <c r="R2087" s="2" t="inlineStr"/>
    </row>
    <row r="2088" ht="15" customHeight="1">
      <c r="A2088" t="inlineStr">
        <is>
          <t>A 33983-2021</t>
        </is>
      </c>
      <c r="B2088" s="1" t="n">
        <v>44378</v>
      </c>
      <c r="C2088" s="1" t="n">
        <v>45796</v>
      </c>
      <c r="D2088" t="inlineStr">
        <is>
          <t>SKÅNE LÄN</t>
        </is>
      </c>
      <c r="E2088" t="inlineStr">
        <is>
          <t>LUND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33985-2021</t>
        </is>
      </c>
      <c r="B2089" s="1" t="n">
        <v>44378</v>
      </c>
      <c r="C2089" s="1" t="n">
        <v>45796</v>
      </c>
      <c r="D2089" t="inlineStr">
        <is>
          <t>SKÅNE LÄN</t>
        </is>
      </c>
      <c r="E2089" t="inlineStr">
        <is>
          <t>LUND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33917-2021</t>
        </is>
      </c>
      <c r="B2090" s="1" t="n">
        <v>44378</v>
      </c>
      <c r="C2090" s="1" t="n">
        <v>45796</v>
      </c>
      <c r="D2090" t="inlineStr">
        <is>
          <t>SKÅNE LÄN</t>
        </is>
      </c>
      <c r="E2090" t="inlineStr">
        <is>
          <t>ÖSTRA GÖINGE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33984-2021</t>
        </is>
      </c>
      <c r="B2091" s="1" t="n">
        <v>44378</v>
      </c>
      <c r="C2091" s="1" t="n">
        <v>45796</v>
      </c>
      <c r="D2091" t="inlineStr">
        <is>
          <t>SKÅNE LÄN</t>
        </is>
      </c>
      <c r="E2091" t="inlineStr">
        <is>
          <t>LUND</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34120-2021</t>
        </is>
      </c>
      <c r="B2092" s="1" t="n">
        <v>44379</v>
      </c>
      <c r="C2092" s="1" t="n">
        <v>45796</v>
      </c>
      <c r="D2092" t="inlineStr">
        <is>
          <t>SKÅNE LÄN</t>
        </is>
      </c>
      <c r="E2092" t="inlineStr">
        <is>
          <t>HÖRBY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34027-2021</t>
        </is>
      </c>
      <c r="B2093" s="1" t="n">
        <v>44379</v>
      </c>
      <c r="C2093" s="1" t="n">
        <v>45796</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34309-2021</t>
        </is>
      </c>
      <c r="B2094" s="1" t="n">
        <v>44379</v>
      </c>
      <c r="C2094" s="1" t="n">
        <v>45796</v>
      </c>
      <c r="D2094" t="inlineStr">
        <is>
          <t>SKÅNE LÄN</t>
        </is>
      </c>
      <c r="E2094" t="inlineStr">
        <is>
          <t>ÖSTRA GÖINGE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34283-2021</t>
        </is>
      </c>
      <c r="B2095" s="1" t="n">
        <v>44379</v>
      </c>
      <c r="C2095" s="1" t="n">
        <v>45796</v>
      </c>
      <c r="D2095" t="inlineStr">
        <is>
          <t>SKÅNE LÄN</t>
        </is>
      </c>
      <c r="E2095" t="inlineStr">
        <is>
          <t>ÖSTRA GÖINGE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34342-2021</t>
        </is>
      </c>
      <c r="B2096" s="1" t="n">
        <v>44379</v>
      </c>
      <c r="C2096" s="1" t="n">
        <v>45796</v>
      </c>
      <c r="D2096" t="inlineStr">
        <is>
          <t>SKÅNE LÄN</t>
        </is>
      </c>
      <c r="E2096" t="inlineStr">
        <is>
          <t>HÄSSLEHOLM</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34288-2021</t>
        </is>
      </c>
      <c r="B2097" s="1" t="n">
        <v>44379</v>
      </c>
      <c r="C2097" s="1" t="n">
        <v>45796</v>
      </c>
      <c r="D2097" t="inlineStr">
        <is>
          <t>SKÅNE LÄN</t>
        </is>
      </c>
      <c r="E2097" t="inlineStr">
        <is>
          <t>ÖSTRA GÖINGE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34105-2021</t>
        </is>
      </c>
      <c r="B2098" s="1" t="n">
        <v>44379</v>
      </c>
      <c r="C2098" s="1" t="n">
        <v>45796</v>
      </c>
      <c r="D2098" t="inlineStr">
        <is>
          <t>SKÅNE LÄN</t>
        </is>
      </c>
      <c r="E2098" t="inlineStr">
        <is>
          <t>HÖRBY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34429-2021</t>
        </is>
      </c>
      <c r="B2099" s="1" t="n">
        <v>44380</v>
      </c>
      <c r="C2099" s="1" t="n">
        <v>45796</v>
      </c>
      <c r="D2099" t="inlineStr">
        <is>
          <t>SKÅNE LÄN</t>
        </is>
      </c>
      <c r="E2099" t="inlineStr">
        <is>
          <t>OSBY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34679-2021</t>
        </is>
      </c>
      <c r="B2100" s="1" t="n">
        <v>44382</v>
      </c>
      <c r="C2100" s="1" t="n">
        <v>45796</v>
      </c>
      <c r="D2100" t="inlineStr">
        <is>
          <t>SKÅNE LÄN</t>
        </is>
      </c>
      <c r="E2100" t="inlineStr">
        <is>
          <t>HÄSSLEHOLM</t>
        </is>
      </c>
      <c r="F2100" t="inlineStr">
        <is>
          <t>Övriga Aktiebolag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34684-2021</t>
        </is>
      </c>
      <c r="B2101" s="1" t="n">
        <v>44382</v>
      </c>
      <c r="C2101" s="1" t="n">
        <v>45796</v>
      </c>
      <c r="D2101" t="inlineStr">
        <is>
          <t>SKÅNE LÄN</t>
        </is>
      </c>
      <c r="E2101" t="inlineStr">
        <is>
          <t>HÄSSLEHOLM</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34859-2021</t>
        </is>
      </c>
      <c r="B2102" s="1" t="n">
        <v>44382</v>
      </c>
      <c r="C2102" s="1" t="n">
        <v>45796</v>
      </c>
      <c r="D2102" t="inlineStr">
        <is>
          <t>SKÅNE LÄN</t>
        </is>
      </c>
      <c r="E2102" t="inlineStr">
        <is>
          <t>SVALÖV</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34995-2021</t>
        </is>
      </c>
      <c r="B2103" s="1" t="n">
        <v>44383</v>
      </c>
      <c r="C2103" s="1" t="n">
        <v>45796</v>
      </c>
      <c r="D2103" t="inlineStr">
        <is>
          <t>SKÅNE LÄN</t>
        </is>
      </c>
      <c r="E2103" t="inlineStr">
        <is>
          <t>OSBY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35142-2021</t>
        </is>
      </c>
      <c r="B2104" s="1" t="n">
        <v>44384</v>
      </c>
      <c r="C2104" s="1" t="n">
        <v>45796</v>
      </c>
      <c r="D2104" t="inlineStr">
        <is>
          <t>SKÅNE LÄN</t>
        </is>
      </c>
      <c r="E2104" t="inlineStr">
        <is>
          <t>TOMELILLA</t>
        </is>
      </c>
      <c r="F2104" t="inlineStr">
        <is>
          <t>Övriga Aktiebolag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35140-2021</t>
        </is>
      </c>
      <c r="B2105" s="1" t="n">
        <v>44384</v>
      </c>
      <c r="C2105" s="1" t="n">
        <v>45796</v>
      </c>
      <c r="D2105" t="inlineStr">
        <is>
          <t>SKÅNE LÄN</t>
        </is>
      </c>
      <c r="E2105" t="inlineStr">
        <is>
          <t>TOMELILLA</t>
        </is>
      </c>
      <c r="F2105" t="inlineStr">
        <is>
          <t>Övriga Aktiebolag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35290-2021</t>
        </is>
      </c>
      <c r="B2106" s="1" t="n">
        <v>44384</v>
      </c>
      <c r="C2106" s="1" t="n">
        <v>45796</v>
      </c>
      <c r="D2106" t="inlineStr">
        <is>
          <t>SKÅNE LÄN</t>
        </is>
      </c>
      <c r="E2106" t="inlineStr">
        <is>
          <t>OSBY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35133-2021</t>
        </is>
      </c>
      <c r="B2107" s="1" t="n">
        <v>44384</v>
      </c>
      <c r="C2107" s="1" t="n">
        <v>45796</v>
      </c>
      <c r="D2107" t="inlineStr">
        <is>
          <t>SKÅNE LÄN</t>
        </is>
      </c>
      <c r="E2107" t="inlineStr">
        <is>
          <t>TOMELILLA</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35304-2021</t>
        </is>
      </c>
      <c r="B2108" s="1" t="n">
        <v>44384</v>
      </c>
      <c r="C2108" s="1" t="n">
        <v>45796</v>
      </c>
      <c r="D2108" t="inlineStr">
        <is>
          <t>SKÅNE LÄN</t>
        </is>
      </c>
      <c r="E2108" t="inlineStr">
        <is>
          <t>KRISTIANSTAD</t>
        </is>
      </c>
      <c r="F2108" t="inlineStr">
        <is>
          <t>Kyrkan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35300-2021</t>
        </is>
      </c>
      <c r="B2109" s="1" t="n">
        <v>44384</v>
      </c>
      <c r="C2109" s="1" t="n">
        <v>45796</v>
      </c>
      <c r="D2109" t="inlineStr">
        <is>
          <t>SKÅNE LÄN</t>
        </is>
      </c>
      <c r="E2109" t="inlineStr">
        <is>
          <t>KRISTIANSTAD</t>
        </is>
      </c>
      <c r="F2109" t="inlineStr">
        <is>
          <t>Kyrkan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35491-2021</t>
        </is>
      </c>
      <c r="B2110" s="1" t="n">
        <v>44385</v>
      </c>
      <c r="C2110" s="1" t="n">
        <v>45796</v>
      </c>
      <c r="D2110" t="inlineStr">
        <is>
          <t>SKÅNE LÄN</t>
        </is>
      </c>
      <c r="E2110" t="inlineStr">
        <is>
          <t>HÖÖR</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35910-2021</t>
        </is>
      </c>
      <c r="B2111" s="1" t="n">
        <v>44387</v>
      </c>
      <c r="C2111" s="1" t="n">
        <v>45796</v>
      </c>
      <c r="D2111" t="inlineStr">
        <is>
          <t>SKÅNE LÄN</t>
        </is>
      </c>
      <c r="E2111" t="inlineStr">
        <is>
          <t>ÖRKELLJUNGA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36201-2021</t>
        </is>
      </c>
      <c r="B2112" s="1" t="n">
        <v>44389</v>
      </c>
      <c r="C2112" s="1" t="n">
        <v>45796</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36203-2021</t>
        </is>
      </c>
      <c r="B2113" s="1" t="n">
        <v>44389</v>
      </c>
      <c r="C2113" s="1" t="n">
        <v>45796</v>
      </c>
      <c r="D2113" t="inlineStr">
        <is>
          <t>SKÅNE LÄN</t>
        </is>
      </c>
      <c r="E2113" t="inlineStr">
        <is>
          <t>BROMÖLLA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37546-2021</t>
        </is>
      </c>
      <c r="B2114" s="1" t="n">
        <v>44390</v>
      </c>
      <c r="C2114" s="1" t="n">
        <v>45796</v>
      </c>
      <c r="D2114" t="inlineStr">
        <is>
          <t>SKÅNE LÄN</t>
        </is>
      </c>
      <c r="E2114" t="inlineStr">
        <is>
          <t>KRISTIANSTAD</t>
        </is>
      </c>
      <c r="F2114" t="inlineStr">
        <is>
          <t>Kyrkan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37288-2021</t>
        </is>
      </c>
      <c r="B2115" s="1" t="n">
        <v>44390</v>
      </c>
      <c r="C2115" s="1" t="n">
        <v>45796</v>
      </c>
      <c r="D2115" t="inlineStr">
        <is>
          <t>SKÅNE LÄN</t>
        </is>
      </c>
      <c r="E2115" t="inlineStr">
        <is>
          <t>HÖÖR</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36363-2021</t>
        </is>
      </c>
      <c r="B2116" s="1" t="n">
        <v>44390</v>
      </c>
      <c r="C2116" s="1" t="n">
        <v>45796</v>
      </c>
      <c r="D2116" t="inlineStr">
        <is>
          <t>SKÅNE LÄN</t>
        </is>
      </c>
      <c r="E2116" t="inlineStr">
        <is>
          <t>SJÖBO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36409-2021</t>
        </is>
      </c>
      <c r="B2117" s="1" t="n">
        <v>44390</v>
      </c>
      <c r="C2117" s="1" t="n">
        <v>45796</v>
      </c>
      <c r="D2117" t="inlineStr">
        <is>
          <t>SKÅNE LÄN</t>
        </is>
      </c>
      <c r="E2117" t="inlineStr">
        <is>
          <t>SVALÖV</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36515-2021</t>
        </is>
      </c>
      <c r="B2118" s="1" t="n">
        <v>44390</v>
      </c>
      <c r="C2118" s="1" t="n">
        <v>45796</v>
      </c>
      <c r="D2118" t="inlineStr">
        <is>
          <t>SKÅNE LÄN</t>
        </is>
      </c>
      <c r="E2118" t="inlineStr">
        <is>
          <t>OSBY</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36412-2021</t>
        </is>
      </c>
      <c r="B2119" s="1" t="n">
        <v>44390</v>
      </c>
      <c r="C2119" s="1" t="n">
        <v>45796</v>
      </c>
      <c r="D2119" t="inlineStr">
        <is>
          <t>SKÅNE LÄN</t>
        </is>
      </c>
      <c r="E2119" t="inlineStr">
        <is>
          <t>KRISTIANSTAD</t>
        </is>
      </c>
      <c r="F2119" t="inlineStr">
        <is>
          <t>Kyrkan</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36572-2021</t>
        </is>
      </c>
      <c r="B2120" s="1" t="n">
        <v>44391</v>
      </c>
      <c r="C2120" s="1" t="n">
        <v>45796</v>
      </c>
      <c r="D2120" t="inlineStr">
        <is>
          <t>SKÅNE LÄN</t>
        </is>
      </c>
      <c r="E2120" t="inlineStr">
        <is>
          <t>ÖRKELLJUNGA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36951-2021</t>
        </is>
      </c>
      <c r="B2121" s="1" t="n">
        <v>44393</v>
      </c>
      <c r="C2121" s="1" t="n">
        <v>45796</v>
      </c>
      <c r="D2121" t="inlineStr">
        <is>
          <t>SKÅNE LÄN</t>
        </is>
      </c>
      <c r="E2121" t="inlineStr">
        <is>
          <t>YSTAD</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36947-2021</t>
        </is>
      </c>
      <c r="B2122" s="1" t="n">
        <v>44393</v>
      </c>
      <c r="C2122" s="1" t="n">
        <v>45796</v>
      </c>
      <c r="D2122" t="inlineStr">
        <is>
          <t>SKÅNE LÄN</t>
        </is>
      </c>
      <c r="E2122" t="inlineStr">
        <is>
          <t>YSTAD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37135-2021</t>
        </is>
      </c>
      <c r="B2123" s="1" t="n">
        <v>44396</v>
      </c>
      <c r="C2123" s="1" t="n">
        <v>45796</v>
      </c>
      <c r="D2123" t="inlineStr">
        <is>
          <t>SKÅNE LÄN</t>
        </is>
      </c>
      <c r="E2123" t="inlineStr">
        <is>
          <t>HÖÖR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37141-2021</t>
        </is>
      </c>
      <c r="B2124" s="1" t="n">
        <v>44396</v>
      </c>
      <c r="C2124" s="1" t="n">
        <v>45796</v>
      </c>
      <c r="D2124" t="inlineStr">
        <is>
          <t>SKÅNE LÄN</t>
        </is>
      </c>
      <c r="E2124" t="inlineStr">
        <is>
          <t>HÄSSLEHOLM</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37164-2021</t>
        </is>
      </c>
      <c r="B2125" s="1" t="n">
        <v>44396</v>
      </c>
      <c r="C2125" s="1" t="n">
        <v>45796</v>
      </c>
      <c r="D2125" t="inlineStr">
        <is>
          <t>SKÅNE LÄN</t>
        </is>
      </c>
      <c r="E2125" t="inlineStr">
        <is>
          <t>ÖSTRA GÖINGE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37334-2021</t>
        </is>
      </c>
      <c r="B2126" s="1" t="n">
        <v>44397</v>
      </c>
      <c r="C2126" s="1" t="n">
        <v>45796</v>
      </c>
      <c r="D2126" t="inlineStr">
        <is>
          <t>SKÅNE LÄN</t>
        </is>
      </c>
      <c r="E2126" t="inlineStr">
        <is>
          <t>HÄSSLEHOLM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37558-2021</t>
        </is>
      </c>
      <c r="B2127" s="1" t="n">
        <v>44399</v>
      </c>
      <c r="C2127" s="1" t="n">
        <v>45796</v>
      </c>
      <c r="D2127" t="inlineStr">
        <is>
          <t>SKÅNE LÄN</t>
        </is>
      </c>
      <c r="E2127" t="inlineStr">
        <is>
          <t>KRISTIANSTAD</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37556-2021</t>
        </is>
      </c>
      <c r="B2128" s="1" t="n">
        <v>44399</v>
      </c>
      <c r="C2128" s="1" t="n">
        <v>45796</v>
      </c>
      <c r="D2128" t="inlineStr">
        <is>
          <t>SKÅNE LÄN</t>
        </is>
      </c>
      <c r="E2128" t="inlineStr">
        <is>
          <t>KRISTIANSTAD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37809-2021</t>
        </is>
      </c>
      <c r="B2129" s="1" t="n">
        <v>44402</v>
      </c>
      <c r="C2129" s="1" t="n">
        <v>45796</v>
      </c>
      <c r="D2129" t="inlineStr">
        <is>
          <t>SKÅNE LÄN</t>
        </is>
      </c>
      <c r="E2129" t="inlineStr">
        <is>
          <t>BROMÖLLA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37913-2021</t>
        </is>
      </c>
      <c r="B2130" s="1" t="n">
        <v>44403</v>
      </c>
      <c r="C2130" s="1" t="n">
        <v>45796</v>
      </c>
      <c r="D2130" t="inlineStr">
        <is>
          <t>SKÅNE LÄN</t>
        </is>
      </c>
      <c r="E2130" t="inlineStr">
        <is>
          <t>HÖÖR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37816-2021</t>
        </is>
      </c>
      <c r="B2131" s="1" t="n">
        <v>44403</v>
      </c>
      <c r="C2131" s="1" t="n">
        <v>45796</v>
      </c>
      <c r="D2131" t="inlineStr">
        <is>
          <t>SKÅNE LÄN</t>
        </is>
      </c>
      <c r="E2131" t="inlineStr">
        <is>
          <t>ÖSTRA GÖINGE</t>
        </is>
      </c>
      <c r="G2131" t="n">
        <v>9.5</v>
      </c>
      <c r="H2131" t="n">
        <v>0</v>
      </c>
      <c r="I2131" t="n">
        <v>0</v>
      </c>
      <c r="J2131" t="n">
        <v>0</v>
      </c>
      <c r="K2131" t="n">
        <v>0</v>
      </c>
      <c r="L2131" t="n">
        <v>0</v>
      </c>
      <c r="M2131" t="n">
        <v>0</v>
      </c>
      <c r="N2131" t="n">
        <v>0</v>
      </c>
      <c r="O2131" t="n">
        <v>0</v>
      </c>
      <c r="P2131" t="n">
        <v>0</v>
      </c>
      <c r="Q2131" t="n">
        <v>0</v>
      </c>
      <c r="R2131" s="2" t="inlineStr"/>
    </row>
    <row r="2132" ht="15" customHeight="1">
      <c r="A2132" t="inlineStr">
        <is>
          <t>A 37898-2021</t>
        </is>
      </c>
      <c r="B2132" s="1" t="n">
        <v>44403</v>
      </c>
      <c r="C2132" s="1" t="n">
        <v>45796</v>
      </c>
      <c r="D2132" t="inlineStr">
        <is>
          <t>SKÅNE LÄN</t>
        </is>
      </c>
      <c r="E2132" t="inlineStr">
        <is>
          <t>HÄSSLEHOLM</t>
        </is>
      </c>
      <c r="F2132" t="inlineStr">
        <is>
          <t>Kommuner</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38228-2021</t>
        </is>
      </c>
      <c r="B2133" s="1" t="n">
        <v>44405</v>
      </c>
      <c r="C2133" s="1" t="n">
        <v>45796</v>
      </c>
      <c r="D2133" t="inlineStr">
        <is>
          <t>SKÅNE LÄN</t>
        </is>
      </c>
      <c r="E2133" t="inlineStr">
        <is>
          <t>HÄSSLEHOLM</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38160-2021</t>
        </is>
      </c>
      <c r="B2134" s="1" t="n">
        <v>44405</v>
      </c>
      <c r="C2134" s="1" t="n">
        <v>45796</v>
      </c>
      <c r="D2134" t="inlineStr">
        <is>
          <t>SKÅNE LÄN</t>
        </is>
      </c>
      <c r="E2134" t="inlineStr">
        <is>
          <t>HÄSSLEHOLM</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38372-2021</t>
        </is>
      </c>
      <c r="B2135" s="1" t="n">
        <v>44406</v>
      </c>
      <c r="C2135" s="1" t="n">
        <v>45796</v>
      </c>
      <c r="D2135" t="inlineStr">
        <is>
          <t>SKÅNE LÄN</t>
        </is>
      </c>
      <c r="E2135" t="inlineStr">
        <is>
          <t>HÄSSLEHOLM</t>
        </is>
      </c>
      <c r="F2135" t="inlineStr">
        <is>
          <t>Kommuner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38693-2021</t>
        </is>
      </c>
      <c r="B2136" s="1" t="n">
        <v>44410</v>
      </c>
      <c r="C2136" s="1" t="n">
        <v>45796</v>
      </c>
      <c r="D2136" t="inlineStr">
        <is>
          <t>SKÅNE LÄN</t>
        </is>
      </c>
      <c r="E2136" t="inlineStr">
        <is>
          <t>KRISTIANSTAD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39444-2021</t>
        </is>
      </c>
      <c r="B2137" s="1" t="n">
        <v>44412</v>
      </c>
      <c r="C2137" s="1" t="n">
        <v>45796</v>
      </c>
      <c r="D2137" t="inlineStr">
        <is>
          <t>SKÅNE LÄN</t>
        </is>
      </c>
      <c r="E2137" t="inlineStr">
        <is>
          <t>KRISTIANSTAD</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39449-2021</t>
        </is>
      </c>
      <c r="B2138" s="1" t="n">
        <v>44412</v>
      </c>
      <c r="C2138" s="1" t="n">
        <v>45796</v>
      </c>
      <c r="D2138" t="inlineStr">
        <is>
          <t>SKÅNE LÄN</t>
        </is>
      </c>
      <c r="E2138" t="inlineStr">
        <is>
          <t>KRISTIANSTAD</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39365-2021</t>
        </is>
      </c>
      <c r="B2139" s="1" t="n">
        <v>44414</v>
      </c>
      <c r="C2139" s="1" t="n">
        <v>45796</v>
      </c>
      <c r="D2139" t="inlineStr">
        <is>
          <t>SKÅNE LÄN</t>
        </is>
      </c>
      <c r="E2139" t="inlineStr">
        <is>
          <t>ÖRKELLJUNGA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39476-2021</t>
        </is>
      </c>
      <c r="B2140" s="1" t="n">
        <v>44414</v>
      </c>
      <c r="C2140" s="1" t="n">
        <v>45796</v>
      </c>
      <c r="D2140" t="inlineStr">
        <is>
          <t>SKÅNE LÄN</t>
        </is>
      </c>
      <c r="E2140" t="inlineStr">
        <is>
          <t>ÖSTRA GÖINGE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39772-2021</t>
        </is>
      </c>
      <c r="B2141" s="1" t="n">
        <v>44416</v>
      </c>
      <c r="C2141" s="1" t="n">
        <v>45796</v>
      </c>
      <c r="D2141" t="inlineStr">
        <is>
          <t>SKÅNE LÄN</t>
        </is>
      </c>
      <c r="E2141" t="inlineStr">
        <is>
          <t>ÖRKELLJUNGA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39805-2021</t>
        </is>
      </c>
      <c r="B2142" s="1" t="n">
        <v>44416</v>
      </c>
      <c r="C2142" s="1" t="n">
        <v>45796</v>
      </c>
      <c r="D2142" t="inlineStr">
        <is>
          <t>SKÅNE LÄN</t>
        </is>
      </c>
      <c r="E2142" t="inlineStr">
        <is>
          <t>ÖRKELLJUNGA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39834-2021</t>
        </is>
      </c>
      <c r="B2143" s="1" t="n">
        <v>44417</v>
      </c>
      <c r="C2143" s="1" t="n">
        <v>45796</v>
      </c>
      <c r="D2143" t="inlineStr">
        <is>
          <t>SKÅNE LÄN</t>
        </is>
      </c>
      <c r="E2143" t="inlineStr">
        <is>
          <t>SIMRISHAMN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39993-2021</t>
        </is>
      </c>
      <c r="B2144" s="1" t="n">
        <v>44417</v>
      </c>
      <c r="C2144" s="1" t="n">
        <v>45796</v>
      </c>
      <c r="D2144" t="inlineStr">
        <is>
          <t>SKÅNE LÄN</t>
        </is>
      </c>
      <c r="E2144" t="inlineStr">
        <is>
          <t>KRISTIANSTAD</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39996-2021</t>
        </is>
      </c>
      <c r="B2145" s="1" t="n">
        <v>44417</v>
      </c>
      <c r="C2145" s="1" t="n">
        <v>45796</v>
      </c>
      <c r="D2145" t="inlineStr">
        <is>
          <t>SKÅNE LÄN</t>
        </is>
      </c>
      <c r="E2145" t="inlineStr">
        <is>
          <t>KRISTIANSTAD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40228-2021</t>
        </is>
      </c>
      <c r="B2146" s="1" t="n">
        <v>44418</v>
      </c>
      <c r="C2146" s="1" t="n">
        <v>45796</v>
      </c>
      <c r="D2146" t="inlineStr">
        <is>
          <t>SKÅNE LÄN</t>
        </is>
      </c>
      <c r="E2146" t="inlineStr">
        <is>
          <t>KLIPPAN</t>
        </is>
      </c>
      <c r="F2146" t="inlineStr">
        <is>
          <t>Övriga Aktiebolag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40238-2021</t>
        </is>
      </c>
      <c r="B2147" s="1" t="n">
        <v>44418</v>
      </c>
      <c r="C2147" s="1" t="n">
        <v>45796</v>
      </c>
      <c r="D2147" t="inlineStr">
        <is>
          <t>SKÅNE LÄN</t>
        </is>
      </c>
      <c r="E2147" t="inlineStr">
        <is>
          <t>KLIPPAN</t>
        </is>
      </c>
      <c r="F2147" t="inlineStr">
        <is>
          <t>Övriga Aktiebolag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40236-2021</t>
        </is>
      </c>
      <c r="B2148" s="1" t="n">
        <v>44418</v>
      </c>
      <c r="C2148" s="1" t="n">
        <v>45796</v>
      </c>
      <c r="D2148" t="inlineStr">
        <is>
          <t>SKÅNE LÄN</t>
        </is>
      </c>
      <c r="E2148" t="inlineStr">
        <is>
          <t>KLIPPAN</t>
        </is>
      </c>
      <c r="F2148" t="inlineStr">
        <is>
          <t>Övriga Aktiebolag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40241-2021</t>
        </is>
      </c>
      <c r="B2149" s="1" t="n">
        <v>44418</v>
      </c>
      <c r="C2149" s="1" t="n">
        <v>45796</v>
      </c>
      <c r="D2149" t="inlineStr">
        <is>
          <t>SKÅNE LÄN</t>
        </is>
      </c>
      <c r="E2149" t="inlineStr">
        <is>
          <t>KLIPPAN</t>
        </is>
      </c>
      <c r="F2149" t="inlineStr">
        <is>
          <t>Övriga Aktiebolag</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40328-2021</t>
        </is>
      </c>
      <c r="B2150" s="1" t="n">
        <v>44419</v>
      </c>
      <c r="C2150" s="1" t="n">
        <v>45796</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40342-2021</t>
        </is>
      </c>
      <c r="B2151" s="1" t="n">
        <v>44419</v>
      </c>
      <c r="C2151" s="1" t="n">
        <v>45796</v>
      </c>
      <c r="D2151" t="inlineStr">
        <is>
          <t>SKÅNE LÄN</t>
        </is>
      </c>
      <c r="E2151" t="inlineStr">
        <is>
          <t>HÄSSLEHOLM</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40366-2021</t>
        </is>
      </c>
      <c r="B2152" s="1" t="n">
        <v>44419</v>
      </c>
      <c r="C2152" s="1" t="n">
        <v>45796</v>
      </c>
      <c r="D2152" t="inlineStr">
        <is>
          <t>SKÅNE LÄN</t>
        </is>
      </c>
      <c r="E2152" t="inlineStr">
        <is>
          <t>KRISTIANSTAD</t>
        </is>
      </c>
      <c r="F2152" t="inlineStr">
        <is>
          <t>Kommuner</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40330-2021</t>
        </is>
      </c>
      <c r="B2153" s="1" t="n">
        <v>44419</v>
      </c>
      <c r="C2153" s="1" t="n">
        <v>45796</v>
      </c>
      <c r="D2153" t="inlineStr">
        <is>
          <t>SKÅNE LÄN</t>
        </is>
      </c>
      <c r="E2153" t="inlineStr">
        <is>
          <t>KRISTIANSTAD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40595-2021</t>
        </is>
      </c>
      <c r="B2154" s="1" t="n">
        <v>44420</v>
      </c>
      <c r="C2154" s="1" t="n">
        <v>45796</v>
      </c>
      <c r="D2154" t="inlineStr">
        <is>
          <t>SKÅNE LÄN</t>
        </is>
      </c>
      <c r="E2154" t="inlineStr">
        <is>
          <t>HÖÖR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40694-2021</t>
        </is>
      </c>
      <c r="B2155" s="1" t="n">
        <v>44420</v>
      </c>
      <c r="C2155" s="1" t="n">
        <v>45796</v>
      </c>
      <c r="D2155" t="inlineStr">
        <is>
          <t>SKÅNE LÄN</t>
        </is>
      </c>
      <c r="E2155" t="inlineStr">
        <is>
          <t>OSBY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40695-2021</t>
        </is>
      </c>
      <c r="B2156" s="1" t="n">
        <v>44420</v>
      </c>
      <c r="C2156" s="1" t="n">
        <v>45796</v>
      </c>
      <c r="D2156" t="inlineStr">
        <is>
          <t>SKÅNE LÄN</t>
        </is>
      </c>
      <c r="E2156" t="inlineStr">
        <is>
          <t>SJÖBO</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40702-2021</t>
        </is>
      </c>
      <c r="B2157" s="1" t="n">
        <v>44420</v>
      </c>
      <c r="C2157" s="1" t="n">
        <v>45796</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40762-2021</t>
        </is>
      </c>
      <c r="B2158" s="1" t="n">
        <v>44420</v>
      </c>
      <c r="C2158" s="1" t="n">
        <v>45796</v>
      </c>
      <c r="D2158" t="inlineStr">
        <is>
          <t>SKÅNE LÄN</t>
        </is>
      </c>
      <c r="E2158" t="inlineStr">
        <is>
          <t>KLIPPAN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40862-2021</t>
        </is>
      </c>
      <c r="B2159" s="1" t="n">
        <v>44421</v>
      </c>
      <c r="C2159" s="1" t="n">
        <v>45796</v>
      </c>
      <c r="D2159" t="inlineStr">
        <is>
          <t>SKÅNE LÄN</t>
        </is>
      </c>
      <c r="E2159" t="inlineStr">
        <is>
          <t>OSBY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41322-2021</t>
        </is>
      </c>
      <c r="B2160" s="1" t="n">
        <v>44424</v>
      </c>
      <c r="C2160" s="1" t="n">
        <v>45796</v>
      </c>
      <c r="D2160" t="inlineStr">
        <is>
          <t>SKÅNE LÄN</t>
        </is>
      </c>
      <c r="E2160" t="inlineStr">
        <is>
          <t>OSBY</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41581-2021</t>
        </is>
      </c>
      <c r="B2161" s="1" t="n">
        <v>44425</v>
      </c>
      <c r="C2161" s="1" t="n">
        <v>45796</v>
      </c>
      <c r="D2161" t="inlineStr">
        <is>
          <t>SKÅNE LÄN</t>
        </is>
      </c>
      <c r="E2161" t="inlineStr">
        <is>
          <t>HÄSSLEHOLM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41816-2021</t>
        </is>
      </c>
      <c r="B2162" s="1" t="n">
        <v>44425</v>
      </c>
      <c r="C2162" s="1" t="n">
        <v>45796</v>
      </c>
      <c r="D2162" t="inlineStr">
        <is>
          <t>SKÅNE LÄN</t>
        </is>
      </c>
      <c r="E2162" t="inlineStr">
        <is>
          <t>OSBY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41998-2021</t>
        </is>
      </c>
      <c r="B2163" s="1" t="n">
        <v>44425</v>
      </c>
      <c r="C2163" s="1" t="n">
        <v>45796</v>
      </c>
      <c r="D2163" t="inlineStr">
        <is>
          <t>SKÅNE LÄN</t>
        </is>
      </c>
      <c r="E2163" t="inlineStr">
        <is>
          <t>HÄSSLEHOLM</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41896-2021</t>
        </is>
      </c>
      <c r="B2164" s="1" t="n">
        <v>44426</v>
      </c>
      <c r="C2164" s="1" t="n">
        <v>45796</v>
      </c>
      <c r="D2164" t="inlineStr">
        <is>
          <t>SKÅNE LÄN</t>
        </is>
      </c>
      <c r="E2164" t="inlineStr">
        <is>
          <t>BROMÖLLA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42221-2021</t>
        </is>
      </c>
      <c r="B2165" s="1" t="n">
        <v>44426</v>
      </c>
      <c r="C2165" s="1" t="n">
        <v>45796</v>
      </c>
      <c r="D2165" t="inlineStr">
        <is>
          <t>SKÅNE LÄN</t>
        </is>
      </c>
      <c r="E2165" t="inlineStr">
        <is>
          <t>HÖRBY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42592-2021</t>
        </is>
      </c>
      <c r="B2166" s="1" t="n">
        <v>44428</v>
      </c>
      <c r="C2166" s="1" t="n">
        <v>45796</v>
      </c>
      <c r="D2166" t="inlineStr">
        <is>
          <t>SKÅNE LÄN</t>
        </is>
      </c>
      <c r="E2166" t="inlineStr">
        <is>
          <t>ÖSTRA GÖINGE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42658-2021</t>
        </is>
      </c>
      <c r="B2167" s="1" t="n">
        <v>44428</v>
      </c>
      <c r="C2167" s="1" t="n">
        <v>45796</v>
      </c>
      <c r="D2167" t="inlineStr">
        <is>
          <t>SKÅNE LÄN</t>
        </is>
      </c>
      <c r="E2167" t="inlineStr">
        <is>
          <t>KRISTIANSTAD</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42681-2021</t>
        </is>
      </c>
      <c r="B2168" s="1" t="n">
        <v>44428</v>
      </c>
      <c r="C2168" s="1" t="n">
        <v>45796</v>
      </c>
      <c r="D2168" t="inlineStr">
        <is>
          <t>SKÅNE LÄN</t>
        </is>
      </c>
      <c r="E2168" t="inlineStr">
        <is>
          <t>KRISTIANSTAD</t>
        </is>
      </c>
      <c r="F2168" t="inlineStr">
        <is>
          <t>Övriga Aktiebolag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42660-2021</t>
        </is>
      </c>
      <c r="B2169" s="1" t="n">
        <v>44428</v>
      </c>
      <c r="C2169" s="1" t="n">
        <v>45796</v>
      </c>
      <c r="D2169" t="inlineStr">
        <is>
          <t>SKÅNE LÄN</t>
        </is>
      </c>
      <c r="E2169" t="inlineStr">
        <is>
          <t>SJÖBO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42776-2021</t>
        </is>
      </c>
      <c r="B2170" s="1" t="n">
        <v>44428</v>
      </c>
      <c r="C2170" s="1" t="n">
        <v>45796</v>
      </c>
      <c r="D2170" t="inlineStr">
        <is>
          <t>SKÅNE LÄN</t>
        </is>
      </c>
      <c r="E2170" t="inlineStr">
        <is>
          <t>HÄSSLEHOLM</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43026-2021</t>
        </is>
      </c>
      <c r="B2171" s="1" t="n">
        <v>44431</v>
      </c>
      <c r="C2171" s="1" t="n">
        <v>45796</v>
      </c>
      <c r="D2171" t="inlineStr">
        <is>
          <t>SKÅNE LÄN</t>
        </is>
      </c>
      <c r="E2171" t="inlineStr">
        <is>
          <t>OSBY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43655-2021</t>
        </is>
      </c>
      <c r="B2172" s="1" t="n">
        <v>44433</v>
      </c>
      <c r="C2172" s="1" t="n">
        <v>45796</v>
      </c>
      <c r="D2172" t="inlineStr">
        <is>
          <t>SKÅNE LÄN</t>
        </is>
      </c>
      <c r="E2172" t="inlineStr">
        <is>
          <t>KRISTIANSTAD</t>
        </is>
      </c>
      <c r="F2172" t="inlineStr">
        <is>
          <t>Övriga Aktiebolag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43639-2021</t>
        </is>
      </c>
      <c r="B2173" s="1" t="n">
        <v>44433</v>
      </c>
      <c r="C2173" s="1" t="n">
        <v>45796</v>
      </c>
      <c r="D2173" t="inlineStr">
        <is>
          <t>SKÅNE LÄN</t>
        </is>
      </c>
      <c r="E2173" t="inlineStr">
        <is>
          <t>HÄSSLEHOLM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43516-2021</t>
        </is>
      </c>
      <c r="B2174" s="1" t="n">
        <v>44433</v>
      </c>
      <c r="C2174" s="1" t="n">
        <v>45796</v>
      </c>
      <c r="D2174" t="inlineStr">
        <is>
          <t>SKÅNE LÄN</t>
        </is>
      </c>
      <c r="E2174" t="inlineStr">
        <is>
          <t>OSBY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43647-2021</t>
        </is>
      </c>
      <c r="B2175" s="1" t="n">
        <v>44433</v>
      </c>
      <c r="C2175" s="1" t="n">
        <v>45796</v>
      </c>
      <c r="D2175" t="inlineStr">
        <is>
          <t>SKÅNE LÄN</t>
        </is>
      </c>
      <c r="E2175" t="inlineStr">
        <is>
          <t>BROMÖLLA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43856-2021</t>
        </is>
      </c>
      <c r="B2176" s="1" t="n">
        <v>44434</v>
      </c>
      <c r="C2176" s="1" t="n">
        <v>45796</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43855-2021</t>
        </is>
      </c>
      <c r="B2177" s="1" t="n">
        <v>44434</v>
      </c>
      <c r="C2177" s="1" t="n">
        <v>45796</v>
      </c>
      <c r="D2177" t="inlineStr">
        <is>
          <t>SKÅNE LÄN</t>
        </is>
      </c>
      <c r="E2177" t="inlineStr">
        <is>
          <t>OSBY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43981-2021</t>
        </is>
      </c>
      <c r="B2178" s="1" t="n">
        <v>44434</v>
      </c>
      <c r="C2178" s="1" t="n">
        <v>45796</v>
      </c>
      <c r="D2178" t="inlineStr">
        <is>
          <t>SKÅNE LÄN</t>
        </is>
      </c>
      <c r="E2178" t="inlineStr">
        <is>
          <t>KRISTIANSTAD</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44166-2021</t>
        </is>
      </c>
      <c r="B2179" s="1" t="n">
        <v>44434</v>
      </c>
      <c r="C2179" s="1" t="n">
        <v>45796</v>
      </c>
      <c r="D2179" t="inlineStr">
        <is>
          <t>SKÅNE LÄN</t>
        </is>
      </c>
      <c r="E2179" t="inlineStr">
        <is>
          <t>HÖÖR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44160-2021</t>
        </is>
      </c>
      <c r="B2180" s="1" t="n">
        <v>44434</v>
      </c>
      <c r="C2180" s="1" t="n">
        <v>45796</v>
      </c>
      <c r="D2180" t="inlineStr">
        <is>
          <t>SKÅNE LÄN</t>
        </is>
      </c>
      <c r="E2180" t="inlineStr">
        <is>
          <t>HÖÖR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44262-2021</t>
        </is>
      </c>
      <c r="B2181" s="1" t="n">
        <v>44434</v>
      </c>
      <c r="C2181" s="1" t="n">
        <v>45796</v>
      </c>
      <c r="D2181" t="inlineStr">
        <is>
          <t>SKÅNE LÄN</t>
        </is>
      </c>
      <c r="E2181" t="inlineStr">
        <is>
          <t>HÄSSLEHOLM</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44173-2021</t>
        </is>
      </c>
      <c r="B2182" s="1" t="n">
        <v>44434</v>
      </c>
      <c r="C2182" s="1" t="n">
        <v>45796</v>
      </c>
      <c r="D2182" t="inlineStr">
        <is>
          <t>SKÅNE LÄN</t>
        </is>
      </c>
      <c r="E2182" t="inlineStr">
        <is>
          <t>HÖÖR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44328-2021</t>
        </is>
      </c>
      <c r="B2183" s="1" t="n">
        <v>44435</v>
      </c>
      <c r="C2183" s="1" t="n">
        <v>45796</v>
      </c>
      <c r="D2183" t="inlineStr">
        <is>
          <t>SKÅNE LÄN</t>
        </is>
      </c>
      <c r="E2183" t="inlineStr">
        <is>
          <t>HÄSSLEHOLM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44341-2021</t>
        </is>
      </c>
      <c r="B2184" s="1" t="n">
        <v>44435</v>
      </c>
      <c r="C2184" s="1" t="n">
        <v>45796</v>
      </c>
      <c r="D2184" t="inlineStr">
        <is>
          <t>SKÅNE LÄN</t>
        </is>
      </c>
      <c r="E2184" t="inlineStr">
        <is>
          <t>HÖÖR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44329-2021</t>
        </is>
      </c>
      <c r="B2185" s="1" t="n">
        <v>44435</v>
      </c>
      <c r="C2185" s="1" t="n">
        <v>45796</v>
      </c>
      <c r="D2185" t="inlineStr">
        <is>
          <t>SKÅNE LÄN</t>
        </is>
      </c>
      <c r="E2185" t="inlineStr">
        <is>
          <t>KRISTIANSTAD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44361-2021</t>
        </is>
      </c>
      <c r="B2186" s="1" t="n">
        <v>44435</v>
      </c>
      <c r="C2186" s="1" t="n">
        <v>45796</v>
      </c>
      <c r="D2186" t="inlineStr">
        <is>
          <t>SKÅNE LÄN</t>
        </is>
      </c>
      <c r="E2186" t="inlineStr">
        <is>
          <t>KRISTIANSTAD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44498-2021</t>
        </is>
      </c>
      <c r="B2187" s="1" t="n">
        <v>44435</v>
      </c>
      <c r="C2187" s="1" t="n">
        <v>45796</v>
      </c>
      <c r="D2187" t="inlineStr">
        <is>
          <t>SKÅNE LÄN</t>
        </is>
      </c>
      <c r="E2187" t="inlineStr">
        <is>
          <t>SJÖBO</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44628-2021</t>
        </is>
      </c>
      <c r="B2188" s="1" t="n">
        <v>44437</v>
      </c>
      <c r="C2188" s="1" t="n">
        <v>45796</v>
      </c>
      <c r="D2188" t="inlineStr">
        <is>
          <t>SKÅNE LÄN</t>
        </is>
      </c>
      <c r="E2188" t="inlineStr">
        <is>
          <t>OSBY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44629-2021</t>
        </is>
      </c>
      <c r="B2189" s="1" t="n">
        <v>44437</v>
      </c>
      <c r="C2189" s="1" t="n">
        <v>45796</v>
      </c>
      <c r="D2189" t="inlineStr">
        <is>
          <t>SKÅNE LÄN</t>
        </is>
      </c>
      <c r="E2189" t="inlineStr">
        <is>
          <t>OSBY</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44755-2021</t>
        </is>
      </c>
      <c r="B2190" s="1" t="n">
        <v>44438</v>
      </c>
      <c r="C2190" s="1" t="n">
        <v>45796</v>
      </c>
      <c r="D2190" t="inlineStr">
        <is>
          <t>SKÅNE LÄN</t>
        </is>
      </c>
      <c r="E2190" t="inlineStr">
        <is>
          <t>HÄSSLEHOLM</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44764-2021</t>
        </is>
      </c>
      <c r="B2191" s="1" t="n">
        <v>44438</v>
      </c>
      <c r="C2191" s="1" t="n">
        <v>45796</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44731-2021</t>
        </is>
      </c>
      <c r="B2192" s="1" t="n">
        <v>44438</v>
      </c>
      <c r="C2192" s="1" t="n">
        <v>45796</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44697-2021</t>
        </is>
      </c>
      <c r="B2193" s="1" t="n">
        <v>44438</v>
      </c>
      <c r="C2193" s="1" t="n">
        <v>45796</v>
      </c>
      <c r="D2193" t="inlineStr">
        <is>
          <t>SKÅNE LÄN</t>
        </is>
      </c>
      <c r="E2193" t="inlineStr">
        <is>
          <t>HÄSSLEHOLM</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44770-2021</t>
        </is>
      </c>
      <c r="B2194" s="1" t="n">
        <v>44438</v>
      </c>
      <c r="C2194" s="1" t="n">
        <v>45796</v>
      </c>
      <c r="D2194" t="inlineStr">
        <is>
          <t>SKÅNE LÄN</t>
        </is>
      </c>
      <c r="E2194" t="inlineStr">
        <is>
          <t>HÄSSLEHOLM</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44794-2021</t>
        </is>
      </c>
      <c r="B2195" s="1" t="n">
        <v>44438</v>
      </c>
      <c r="C2195" s="1" t="n">
        <v>45796</v>
      </c>
      <c r="D2195" t="inlineStr">
        <is>
          <t>SKÅNE LÄN</t>
        </is>
      </c>
      <c r="E2195" t="inlineStr">
        <is>
          <t>HÄSSLEHOLM</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45284-2021</t>
        </is>
      </c>
      <c r="B2196" s="1" t="n">
        <v>44439</v>
      </c>
      <c r="C2196" s="1" t="n">
        <v>45796</v>
      </c>
      <c r="D2196" t="inlineStr">
        <is>
          <t>SKÅNE LÄN</t>
        </is>
      </c>
      <c r="E2196" t="inlineStr">
        <is>
          <t>HÄSSLEHOLM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45443-2021</t>
        </is>
      </c>
      <c r="B2197" s="1" t="n">
        <v>44440</v>
      </c>
      <c r="C2197" s="1" t="n">
        <v>45796</v>
      </c>
      <c r="D2197" t="inlineStr">
        <is>
          <t>SKÅNE LÄN</t>
        </is>
      </c>
      <c r="E2197" t="inlineStr">
        <is>
          <t>ÖRKELLJUNGA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45814-2021</t>
        </is>
      </c>
      <c r="B2198" s="1" t="n">
        <v>44441</v>
      </c>
      <c r="C2198" s="1" t="n">
        <v>45796</v>
      </c>
      <c r="D2198" t="inlineStr">
        <is>
          <t>SKÅNE LÄN</t>
        </is>
      </c>
      <c r="E2198" t="inlineStr">
        <is>
          <t>HÄSSLEHOLM</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45984-2021</t>
        </is>
      </c>
      <c r="B2199" s="1" t="n">
        <v>44441</v>
      </c>
      <c r="C2199" s="1" t="n">
        <v>45796</v>
      </c>
      <c r="D2199" t="inlineStr">
        <is>
          <t>SKÅNE LÄN</t>
        </is>
      </c>
      <c r="E2199" t="inlineStr">
        <is>
          <t>HÄSSLEHOLM</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45989-2021</t>
        </is>
      </c>
      <c r="B2200" s="1" t="n">
        <v>44441</v>
      </c>
      <c r="C2200" s="1" t="n">
        <v>45796</v>
      </c>
      <c r="D2200" t="inlineStr">
        <is>
          <t>SKÅNE LÄN</t>
        </is>
      </c>
      <c r="E2200" t="inlineStr">
        <is>
          <t>HÄSSLEHOLM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46000-2021</t>
        </is>
      </c>
      <c r="B2201" s="1" t="n">
        <v>44441</v>
      </c>
      <c r="C2201" s="1" t="n">
        <v>45796</v>
      </c>
      <c r="D2201" t="inlineStr">
        <is>
          <t>SKÅNE LÄN</t>
        </is>
      </c>
      <c r="E2201" t="inlineStr">
        <is>
          <t>HÄSSLEHOLM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46193-2021</t>
        </is>
      </c>
      <c r="B2202" s="1" t="n">
        <v>44442</v>
      </c>
      <c r="C2202" s="1" t="n">
        <v>45796</v>
      </c>
      <c r="D2202" t="inlineStr">
        <is>
          <t>SKÅNE LÄN</t>
        </is>
      </c>
      <c r="E2202" t="inlineStr">
        <is>
          <t>KRISTIANSTAD</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46107-2021</t>
        </is>
      </c>
      <c r="B2203" s="1" t="n">
        <v>44442</v>
      </c>
      <c r="C2203" s="1" t="n">
        <v>45796</v>
      </c>
      <c r="D2203" t="inlineStr">
        <is>
          <t>SKÅNE LÄN</t>
        </is>
      </c>
      <c r="E2203" t="inlineStr">
        <is>
          <t>HÖÖR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46190-2021</t>
        </is>
      </c>
      <c r="B2204" s="1" t="n">
        <v>44442</v>
      </c>
      <c r="C2204" s="1" t="n">
        <v>45796</v>
      </c>
      <c r="D2204" t="inlineStr">
        <is>
          <t>SKÅNE LÄN</t>
        </is>
      </c>
      <c r="E2204" t="inlineStr">
        <is>
          <t>KRISTIANSTAD</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46692-2021</t>
        </is>
      </c>
      <c r="B2205" s="1" t="n">
        <v>44445</v>
      </c>
      <c r="C2205" s="1" t="n">
        <v>45796</v>
      </c>
      <c r="D2205" t="inlineStr">
        <is>
          <t>SKÅNE LÄN</t>
        </is>
      </c>
      <c r="E2205" t="inlineStr">
        <is>
          <t>KLIPPAN</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46922-2021</t>
        </is>
      </c>
      <c r="B2206" s="1" t="n">
        <v>44446</v>
      </c>
      <c r="C2206" s="1" t="n">
        <v>45796</v>
      </c>
      <c r="D2206" t="inlineStr">
        <is>
          <t>SKÅNE LÄN</t>
        </is>
      </c>
      <c r="E2206" t="inlineStr">
        <is>
          <t>HÖÖR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47112-2021</t>
        </is>
      </c>
      <c r="B2207" s="1" t="n">
        <v>44446</v>
      </c>
      <c r="C2207" s="1" t="n">
        <v>45796</v>
      </c>
      <c r="D2207" t="inlineStr">
        <is>
          <t>SKÅNE LÄN</t>
        </is>
      </c>
      <c r="E2207" t="inlineStr">
        <is>
          <t>HÄSSLEHOLM</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47258-2021</t>
        </is>
      </c>
      <c r="B2208" s="1" t="n">
        <v>44446</v>
      </c>
      <c r="C2208" s="1" t="n">
        <v>45796</v>
      </c>
      <c r="D2208" t="inlineStr">
        <is>
          <t>SKÅNE LÄN</t>
        </is>
      </c>
      <c r="E2208" t="inlineStr">
        <is>
          <t>PERSTORP</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47253-2021</t>
        </is>
      </c>
      <c r="B2209" s="1" t="n">
        <v>44446</v>
      </c>
      <c r="C2209" s="1" t="n">
        <v>45796</v>
      </c>
      <c r="D2209" t="inlineStr">
        <is>
          <t>SKÅNE LÄN</t>
        </is>
      </c>
      <c r="E2209" t="inlineStr">
        <is>
          <t>PERSTORP</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47263-2021</t>
        </is>
      </c>
      <c r="B2210" s="1" t="n">
        <v>44446</v>
      </c>
      <c r="C2210" s="1" t="n">
        <v>45796</v>
      </c>
      <c r="D2210" t="inlineStr">
        <is>
          <t>SKÅNE LÄN</t>
        </is>
      </c>
      <c r="E2210" t="inlineStr">
        <is>
          <t>PERSTORP</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47278-2021</t>
        </is>
      </c>
      <c r="B2211" s="1" t="n">
        <v>44446</v>
      </c>
      <c r="C2211" s="1" t="n">
        <v>45796</v>
      </c>
      <c r="D2211" t="inlineStr">
        <is>
          <t>SKÅNE LÄN</t>
        </is>
      </c>
      <c r="E2211" t="inlineStr">
        <is>
          <t>PERSTORP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47211-2021</t>
        </is>
      </c>
      <c r="B2212" s="1" t="n">
        <v>44447</v>
      </c>
      <c r="C2212" s="1" t="n">
        <v>45796</v>
      </c>
      <c r="D2212" t="inlineStr">
        <is>
          <t>SKÅNE LÄN</t>
        </is>
      </c>
      <c r="E2212" t="inlineStr">
        <is>
          <t>OSBY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47737-2021</t>
        </is>
      </c>
      <c r="B2213" s="1" t="n">
        <v>44448</v>
      </c>
      <c r="C2213" s="1" t="n">
        <v>45796</v>
      </c>
      <c r="D2213" t="inlineStr">
        <is>
          <t>SKÅNE LÄN</t>
        </is>
      </c>
      <c r="E2213" t="inlineStr">
        <is>
          <t>HÄSSLEHOLM</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47803-2021</t>
        </is>
      </c>
      <c r="B2214" s="1" t="n">
        <v>44448</v>
      </c>
      <c r="C2214" s="1" t="n">
        <v>45796</v>
      </c>
      <c r="D2214" t="inlineStr">
        <is>
          <t>SKÅNE LÄN</t>
        </is>
      </c>
      <c r="E2214" t="inlineStr">
        <is>
          <t>OSBY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47907-2021</t>
        </is>
      </c>
      <c r="B2215" s="1" t="n">
        <v>44448</v>
      </c>
      <c r="C2215" s="1" t="n">
        <v>45796</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47906-2021</t>
        </is>
      </c>
      <c r="B2216" s="1" t="n">
        <v>44448</v>
      </c>
      <c r="C2216" s="1" t="n">
        <v>45796</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47967-2021</t>
        </is>
      </c>
      <c r="B2217" s="1" t="n">
        <v>44448</v>
      </c>
      <c r="C2217" s="1" t="n">
        <v>45796</v>
      </c>
      <c r="D2217" t="inlineStr">
        <is>
          <t>SKÅNE LÄN</t>
        </is>
      </c>
      <c r="E2217" t="inlineStr">
        <is>
          <t>KLIPPAN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48054-2021</t>
        </is>
      </c>
      <c r="B2218" s="1" t="n">
        <v>44449</v>
      </c>
      <c r="C2218" s="1" t="n">
        <v>45796</v>
      </c>
      <c r="D2218" t="inlineStr">
        <is>
          <t>SKÅNE LÄN</t>
        </is>
      </c>
      <c r="E2218" t="inlineStr">
        <is>
          <t>KRISTIANSTAD</t>
        </is>
      </c>
      <c r="F2218" t="inlineStr">
        <is>
          <t>Övriga Aktiebolag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48023-2021</t>
        </is>
      </c>
      <c r="B2219" s="1" t="n">
        <v>44449</v>
      </c>
      <c r="C2219" s="1" t="n">
        <v>45796</v>
      </c>
      <c r="D2219" t="inlineStr">
        <is>
          <t>SKÅNE LÄN</t>
        </is>
      </c>
      <c r="E2219" t="inlineStr">
        <is>
          <t>SJÖBO</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48009-2021</t>
        </is>
      </c>
      <c r="B2220" s="1" t="n">
        <v>44449</v>
      </c>
      <c r="C2220" s="1" t="n">
        <v>45796</v>
      </c>
      <c r="D2220" t="inlineStr">
        <is>
          <t>SKÅNE LÄN</t>
        </is>
      </c>
      <c r="E2220" t="inlineStr">
        <is>
          <t>SJÖBO</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48007-2021</t>
        </is>
      </c>
      <c r="B2221" s="1" t="n">
        <v>44449</v>
      </c>
      <c r="C2221" s="1" t="n">
        <v>45796</v>
      </c>
      <c r="D2221" t="inlineStr">
        <is>
          <t>SKÅNE LÄN</t>
        </is>
      </c>
      <c r="E2221" t="inlineStr">
        <is>
          <t>SJÖBO</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48026-2021</t>
        </is>
      </c>
      <c r="B2222" s="1" t="n">
        <v>44449</v>
      </c>
      <c r="C2222" s="1" t="n">
        <v>45796</v>
      </c>
      <c r="D2222" t="inlineStr">
        <is>
          <t>SKÅNE LÄN</t>
        </is>
      </c>
      <c r="E2222" t="inlineStr">
        <is>
          <t>SJÖBO</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48184-2021</t>
        </is>
      </c>
      <c r="B2223" s="1" t="n">
        <v>44449</v>
      </c>
      <c r="C2223" s="1" t="n">
        <v>45796</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48173-2021</t>
        </is>
      </c>
      <c r="B2224" s="1" t="n">
        <v>44449</v>
      </c>
      <c r="C2224" s="1" t="n">
        <v>45796</v>
      </c>
      <c r="D2224" t="inlineStr">
        <is>
          <t>SKÅNE LÄN</t>
        </is>
      </c>
      <c r="E2224" t="inlineStr">
        <is>
          <t>KRISTIANSTAD</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48279-2021</t>
        </is>
      </c>
      <c r="B2225" s="1" t="n">
        <v>44449</v>
      </c>
      <c r="C2225" s="1" t="n">
        <v>45796</v>
      </c>
      <c r="D2225" t="inlineStr">
        <is>
          <t>SKÅNE LÄN</t>
        </is>
      </c>
      <c r="E2225" t="inlineStr">
        <is>
          <t>SVALÖV</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48191-2021</t>
        </is>
      </c>
      <c r="B2226" s="1" t="n">
        <v>44449</v>
      </c>
      <c r="C2226" s="1" t="n">
        <v>45796</v>
      </c>
      <c r="D2226" t="inlineStr">
        <is>
          <t>SKÅNE LÄN</t>
        </is>
      </c>
      <c r="E2226" t="inlineStr">
        <is>
          <t>HÄSSLEHOLM</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48262-2021</t>
        </is>
      </c>
      <c r="B2227" s="1" t="n">
        <v>44449</v>
      </c>
      <c r="C2227" s="1" t="n">
        <v>45796</v>
      </c>
      <c r="D2227" t="inlineStr">
        <is>
          <t>SKÅNE LÄN</t>
        </is>
      </c>
      <c r="E2227" t="inlineStr">
        <is>
          <t>SVALÖV</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48313-2021</t>
        </is>
      </c>
      <c r="B2228" s="1" t="n">
        <v>44450</v>
      </c>
      <c r="C2228" s="1" t="n">
        <v>45796</v>
      </c>
      <c r="D2228" t="inlineStr">
        <is>
          <t>SKÅNE LÄN</t>
        </is>
      </c>
      <c r="E2228" t="inlineStr">
        <is>
          <t>HÄSSLEHOLM</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48380-2021</t>
        </is>
      </c>
      <c r="B2229" s="1" t="n">
        <v>44451</v>
      </c>
      <c r="C2229" s="1" t="n">
        <v>45796</v>
      </c>
      <c r="D2229" t="inlineStr">
        <is>
          <t>SKÅNE LÄN</t>
        </is>
      </c>
      <c r="E2229" t="inlineStr">
        <is>
          <t>PERSTORP</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48553-2021</t>
        </is>
      </c>
      <c r="B2230" s="1" t="n">
        <v>44452</v>
      </c>
      <c r="C2230" s="1" t="n">
        <v>45796</v>
      </c>
      <c r="D2230" t="inlineStr">
        <is>
          <t>SKÅNE LÄN</t>
        </is>
      </c>
      <c r="E2230" t="inlineStr">
        <is>
          <t>HÄSSLEHOLM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48624-2021</t>
        </is>
      </c>
      <c r="B2231" s="1" t="n">
        <v>44452</v>
      </c>
      <c r="C2231" s="1" t="n">
        <v>45796</v>
      </c>
      <c r="D2231" t="inlineStr">
        <is>
          <t>SKÅNE LÄN</t>
        </is>
      </c>
      <c r="E2231" t="inlineStr">
        <is>
          <t>HÄSSLEHOLM</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48707-2021</t>
        </is>
      </c>
      <c r="B2232" s="1" t="n">
        <v>44452</v>
      </c>
      <c r="C2232" s="1" t="n">
        <v>45796</v>
      </c>
      <c r="D2232" t="inlineStr">
        <is>
          <t>SKÅNE LÄN</t>
        </is>
      </c>
      <c r="E2232" t="inlineStr">
        <is>
          <t>KRISTIANSTAD</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48807-2021</t>
        </is>
      </c>
      <c r="B2233" s="1" t="n">
        <v>44452</v>
      </c>
      <c r="C2233" s="1" t="n">
        <v>45796</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48631-2021</t>
        </is>
      </c>
      <c r="B2234" s="1" t="n">
        <v>44452</v>
      </c>
      <c r="C2234" s="1" t="n">
        <v>45796</v>
      </c>
      <c r="D2234" t="inlineStr">
        <is>
          <t>SKÅNE LÄN</t>
        </is>
      </c>
      <c r="E2234" t="inlineStr">
        <is>
          <t>HÄSSLEHOLM</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49111-2021</t>
        </is>
      </c>
      <c r="B2235" s="1" t="n">
        <v>44453</v>
      </c>
      <c r="C2235" s="1" t="n">
        <v>45796</v>
      </c>
      <c r="D2235" t="inlineStr">
        <is>
          <t>SKÅNE LÄN</t>
        </is>
      </c>
      <c r="E2235" t="inlineStr">
        <is>
          <t>HÖÖR</t>
        </is>
      </c>
      <c r="G2235" t="n">
        <v>14.5</v>
      </c>
      <c r="H2235" t="n">
        <v>0</v>
      </c>
      <c r="I2235" t="n">
        <v>0</v>
      </c>
      <c r="J2235" t="n">
        <v>0</v>
      </c>
      <c r="K2235" t="n">
        <v>0</v>
      </c>
      <c r="L2235" t="n">
        <v>0</v>
      </c>
      <c r="M2235" t="n">
        <v>0</v>
      </c>
      <c r="N2235" t="n">
        <v>0</v>
      </c>
      <c r="O2235" t="n">
        <v>0</v>
      </c>
      <c r="P2235" t="n">
        <v>0</v>
      </c>
      <c r="Q2235" t="n">
        <v>0</v>
      </c>
      <c r="R2235" s="2" t="inlineStr"/>
    </row>
    <row r="2236" ht="15" customHeight="1">
      <c r="A2236" t="inlineStr">
        <is>
          <t>A 49219-2021</t>
        </is>
      </c>
      <c r="B2236" s="1" t="n">
        <v>44454</v>
      </c>
      <c r="C2236" s="1" t="n">
        <v>45796</v>
      </c>
      <c r="D2236" t="inlineStr">
        <is>
          <t>SKÅNE LÄN</t>
        </is>
      </c>
      <c r="E2236" t="inlineStr">
        <is>
          <t>HÄSSLEHOLM</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49324-2021</t>
        </is>
      </c>
      <c r="B2237" s="1" t="n">
        <v>44454</v>
      </c>
      <c r="C2237" s="1" t="n">
        <v>45796</v>
      </c>
      <c r="D2237" t="inlineStr">
        <is>
          <t>SKÅNE LÄN</t>
        </is>
      </c>
      <c r="E2237" t="inlineStr">
        <is>
          <t>HÄSSLEHOLM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49379-2021</t>
        </is>
      </c>
      <c r="B2238" s="1" t="n">
        <v>44454</v>
      </c>
      <c r="C2238" s="1" t="n">
        <v>45796</v>
      </c>
      <c r="D2238" t="inlineStr">
        <is>
          <t>SKÅNE LÄN</t>
        </is>
      </c>
      <c r="E2238" t="inlineStr">
        <is>
          <t>HÄSSLEHOLM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49384-2021</t>
        </is>
      </c>
      <c r="B2239" s="1" t="n">
        <v>44454</v>
      </c>
      <c r="C2239" s="1" t="n">
        <v>45796</v>
      </c>
      <c r="D2239" t="inlineStr">
        <is>
          <t>SKÅNE LÄN</t>
        </is>
      </c>
      <c r="E2239" t="inlineStr">
        <is>
          <t>HÄSSLEHOLM</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49381-2021</t>
        </is>
      </c>
      <c r="B2240" s="1" t="n">
        <v>44454</v>
      </c>
      <c r="C2240" s="1" t="n">
        <v>45796</v>
      </c>
      <c r="D2240" t="inlineStr">
        <is>
          <t>SKÅNE LÄN</t>
        </is>
      </c>
      <c r="E2240" t="inlineStr">
        <is>
          <t>HÄSSLEHOLM</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49361-2021</t>
        </is>
      </c>
      <c r="B2241" s="1" t="n">
        <v>44454</v>
      </c>
      <c r="C2241" s="1" t="n">
        <v>45796</v>
      </c>
      <c r="D2241" t="inlineStr">
        <is>
          <t>SKÅNE LÄN</t>
        </is>
      </c>
      <c r="E2241" t="inlineStr">
        <is>
          <t>ÄNGELHOLM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49454-2021</t>
        </is>
      </c>
      <c r="B2242" s="1" t="n">
        <v>44454</v>
      </c>
      <c r="C2242" s="1" t="n">
        <v>45796</v>
      </c>
      <c r="D2242" t="inlineStr">
        <is>
          <t>SKÅNE LÄN</t>
        </is>
      </c>
      <c r="E2242" t="inlineStr">
        <is>
          <t>HÄSSLEHOLM</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49450-2021</t>
        </is>
      </c>
      <c r="B2243" s="1" t="n">
        <v>44454</v>
      </c>
      <c r="C2243" s="1" t="n">
        <v>45796</v>
      </c>
      <c r="D2243" t="inlineStr">
        <is>
          <t>SKÅNE LÄN</t>
        </is>
      </c>
      <c r="E2243" t="inlineStr">
        <is>
          <t>HÄSSLEHOLM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49462-2021</t>
        </is>
      </c>
      <c r="B2244" s="1" t="n">
        <v>44454</v>
      </c>
      <c r="C2244" s="1" t="n">
        <v>45796</v>
      </c>
      <c r="D2244" t="inlineStr">
        <is>
          <t>SKÅNE LÄN</t>
        </is>
      </c>
      <c r="E2244" t="inlineStr">
        <is>
          <t>ÖSTRA GÖINGE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49520-2021</t>
        </is>
      </c>
      <c r="B2245" s="1" t="n">
        <v>44455</v>
      </c>
      <c r="C2245" s="1" t="n">
        <v>45796</v>
      </c>
      <c r="D2245" t="inlineStr">
        <is>
          <t>SKÅNE LÄN</t>
        </is>
      </c>
      <c r="E2245" t="inlineStr">
        <is>
          <t>KRISTIANSTAD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50463-2021</t>
        </is>
      </c>
      <c r="B2246" s="1" t="n">
        <v>44455</v>
      </c>
      <c r="C2246" s="1" t="n">
        <v>45796</v>
      </c>
      <c r="D2246" t="inlineStr">
        <is>
          <t>SKÅNE LÄN</t>
        </is>
      </c>
      <c r="E2246" t="inlineStr">
        <is>
          <t>SJÖBO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50366-2021</t>
        </is>
      </c>
      <c r="B2247" s="1" t="n">
        <v>44455</v>
      </c>
      <c r="C2247" s="1" t="n">
        <v>45796</v>
      </c>
      <c r="D2247" t="inlineStr">
        <is>
          <t>SKÅNE LÄN</t>
        </is>
      </c>
      <c r="E2247" t="inlineStr">
        <is>
          <t>OSBY</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49749-2021</t>
        </is>
      </c>
      <c r="B2248" s="1" t="n">
        <v>44455</v>
      </c>
      <c r="C2248" s="1" t="n">
        <v>45796</v>
      </c>
      <c r="D2248" t="inlineStr">
        <is>
          <t>SKÅNE LÄN</t>
        </is>
      </c>
      <c r="E2248" t="inlineStr">
        <is>
          <t>ÖSTRA GÖINGE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49911-2021</t>
        </is>
      </c>
      <c r="B2249" s="1" t="n">
        <v>44455</v>
      </c>
      <c r="C2249" s="1" t="n">
        <v>45796</v>
      </c>
      <c r="D2249" t="inlineStr">
        <is>
          <t>SKÅNE LÄN</t>
        </is>
      </c>
      <c r="E2249" t="inlineStr">
        <is>
          <t>OSBY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50357-2021</t>
        </is>
      </c>
      <c r="B2250" s="1" t="n">
        <v>44455</v>
      </c>
      <c r="C2250" s="1" t="n">
        <v>45796</v>
      </c>
      <c r="D2250" t="inlineStr">
        <is>
          <t>SKÅNE LÄN</t>
        </is>
      </c>
      <c r="E2250" t="inlineStr">
        <is>
          <t>KLIPPAN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50094-2021</t>
        </is>
      </c>
      <c r="B2251" s="1" t="n">
        <v>44456</v>
      </c>
      <c r="C2251" s="1" t="n">
        <v>45796</v>
      </c>
      <c r="D2251" t="inlineStr">
        <is>
          <t>SKÅNE LÄN</t>
        </is>
      </c>
      <c r="E2251" t="inlineStr">
        <is>
          <t>HÄSSLEHOLM</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50474-2021</t>
        </is>
      </c>
      <c r="B2252" s="1" t="n">
        <v>44459</v>
      </c>
      <c r="C2252" s="1" t="n">
        <v>45796</v>
      </c>
      <c r="D2252" t="inlineStr">
        <is>
          <t>SKÅNE LÄN</t>
        </is>
      </c>
      <c r="E2252" t="inlineStr">
        <is>
          <t>OSBY</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50396-2021</t>
        </is>
      </c>
      <c r="B2253" s="1" t="n">
        <v>44459</v>
      </c>
      <c r="C2253" s="1" t="n">
        <v>45796</v>
      </c>
      <c r="D2253" t="inlineStr">
        <is>
          <t>SKÅNE LÄN</t>
        </is>
      </c>
      <c r="E2253" t="inlineStr">
        <is>
          <t>OSBY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50491-2021</t>
        </is>
      </c>
      <c r="B2254" s="1" t="n">
        <v>44459</v>
      </c>
      <c r="C2254" s="1" t="n">
        <v>45796</v>
      </c>
      <c r="D2254" t="inlineStr">
        <is>
          <t>SKÅNE LÄN</t>
        </is>
      </c>
      <c r="E2254" t="inlineStr">
        <is>
          <t>OSBY</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50618-2021</t>
        </is>
      </c>
      <c r="B2255" s="1" t="n">
        <v>44459</v>
      </c>
      <c r="C2255" s="1" t="n">
        <v>45796</v>
      </c>
      <c r="D2255" t="inlineStr">
        <is>
          <t>SKÅNE LÄN</t>
        </is>
      </c>
      <c r="E2255" t="inlineStr">
        <is>
          <t>HÄSSLEHOLM</t>
        </is>
      </c>
      <c r="F2255" t="inlineStr">
        <is>
          <t>Kyrkan</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50922-2021</t>
        </is>
      </c>
      <c r="B2256" s="1" t="n">
        <v>44459</v>
      </c>
      <c r="C2256" s="1" t="n">
        <v>45796</v>
      </c>
      <c r="D2256" t="inlineStr">
        <is>
          <t>SKÅNE LÄN</t>
        </is>
      </c>
      <c r="E2256" t="inlineStr">
        <is>
          <t>ÖSTRA GÖINGE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50927-2021</t>
        </is>
      </c>
      <c r="B2257" s="1" t="n">
        <v>44459</v>
      </c>
      <c r="C2257" s="1" t="n">
        <v>45796</v>
      </c>
      <c r="D2257" t="inlineStr">
        <is>
          <t>SKÅNE LÄN</t>
        </is>
      </c>
      <c r="E2257" t="inlineStr">
        <is>
          <t>ÖSTRA GÖINGE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50834-2021</t>
        </is>
      </c>
      <c r="B2258" s="1" t="n">
        <v>44460</v>
      </c>
      <c r="C2258" s="1" t="n">
        <v>45796</v>
      </c>
      <c r="D2258" t="inlineStr">
        <is>
          <t>SKÅNE LÄN</t>
        </is>
      </c>
      <c r="E2258" t="inlineStr">
        <is>
          <t>KRISTIANSTAD</t>
        </is>
      </c>
      <c r="G2258" t="n">
        <v>2.2</v>
      </c>
      <c r="H2258" t="n">
        <v>0</v>
      </c>
      <c r="I2258" t="n">
        <v>0</v>
      </c>
      <c r="J2258" t="n">
        <v>0</v>
      </c>
      <c r="K2258" t="n">
        <v>0</v>
      </c>
      <c r="L2258" t="n">
        <v>0</v>
      </c>
      <c r="M2258" t="n">
        <v>0</v>
      </c>
      <c r="N2258" t="n">
        <v>0</v>
      </c>
      <c r="O2258" t="n">
        <v>0</v>
      </c>
      <c r="P2258" t="n">
        <v>0</v>
      </c>
      <c r="Q2258" t="n">
        <v>0</v>
      </c>
      <c r="R2258" s="2" t="inlineStr"/>
      <c r="U2258">
        <f>HYPERLINK("https://klasma.github.io/Logging_1290/knärot/A 50834-2021 karta knärot.png", "A 50834-2021")</f>
        <v/>
      </c>
      <c r="V2258">
        <f>HYPERLINK("https://klasma.github.io/Logging_1290/klagomål/A 50834-2021 FSC-klagomål.docx", "A 50834-2021")</f>
        <v/>
      </c>
      <c r="W2258">
        <f>HYPERLINK("https://klasma.github.io/Logging_1290/klagomålsmail/A 50834-2021 FSC-klagomål mail.docx", "A 50834-2021")</f>
        <v/>
      </c>
      <c r="X2258">
        <f>HYPERLINK("https://klasma.github.io/Logging_1290/tillsyn/A 50834-2021 tillsynsbegäran.docx", "A 50834-2021")</f>
        <v/>
      </c>
      <c r="Y2258">
        <f>HYPERLINK("https://klasma.github.io/Logging_1290/tillsynsmail/A 50834-2021 tillsynsbegäran mail.docx", "A 50834-2021")</f>
        <v/>
      </c>
    </row>
    <row r="2259" ht="15" customHeight="1">
      <c r="A2259" t="inlineStr">
        <is>
          <t>A 50828-2021</t>
        </is>
      </c>
      <c r="B2259" s="1" t="n">
        <v>44460</v>
      </c>
      <c r="C2259" s="1" t="n">
        <v>45796</v>
      </c>
      <c r="D2259" t="inlineStr">
        <is>
          <t>SKÅNE LÄN</t>
        </is>
      </c>
      <c r="E2259" t="inlineStr">
        <is>
          <t>KRISTIANSTAD</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50896-2021</t>
        </is>
      </c>
      <c r="B2260" s="1" t="n">
        <v>44460</v>
      </c>
      <c r="C2260" s="1" t="n">
        <v>45796</v>
      </c>
      <c r="D2260" t="inlineStr">
        <is>
          <t>SKÅNE LÄN</t>
        </is>
      </c>
      <c r="E2260" t="inlineStr">
        <is>
          <t>ÖSTRA GÖINGE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51197-2021</t>
        </is>
      </c>
      <c r="B2261" s="1" t="n">
        <v>44460</v>
      </c>
      <c r="C2261" s="1" t="n">
        <v>45796</v>
      </c>
      <c r="D2261" t="inlineStr">
        <is>
          <t>SKÅNE LÄN</t>
        </is>
      </c>
      <c r="E2261" t="inlineStr">
        <is>
          <t>HÖÖR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51159-2021</t>
        </is>
      </c>
      <c r="B2262" s="1" t="n">
        <v>44461</v>
      </c>
      <c r="C2262" s="1" t="n">
        <v>45796</v>
      </c>
      <c r="D2262" t="inlineStr">
        <is>
          <t>SKÅNE LÄN</t>
        </is>
      </c>
      <c r="E2262" t="inlineStr">
        <is>
          <t>HÄSSLEHOLM</t>
        </is>
      </c>
      <c r="F2262" t="inlineStr">
        <is>
          <t>Kommuner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51139-2021</t>
        </is>
      </c>
      <c r="B2263" s="1" t="n">
        <v>44461</v>
      </c>
      <c r="C2263" s="1" t="n">
        <v>45796</v>
      </c>
      <c r="D2263" t="inlineStr">
        <is>
          <t>SKÅNE LÄN</t>
        </is>
      </c>
      <c r="E2263" t="inlineStr">
        <is>
          <t>ÖRKELLJUNGA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51120-2021</t>
        </is>
      </c>
      <c r="B2264" s="1" t="n">
        <v>44461</v>
      </c>
      <c r="C2264" s="1" t="n">
        <v>45796</v>
      </c>
      <c r="D2264" t="inlineStr">
        <is>
          <t>SKÅNE LÄN</t>
        </is>
      </c>
      <c r="E2264" t="inlineStr">
        <is>
          <t>HÖÖR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51131-2021</t>
        </is>
      </c>
      <c r="B2265" s="1" t="n">
        <v>44461</v>
      </c>
      <c r="C2265" s="1" t="n">
        <v>45796</v>
      </c>
      <c r="D2265" t="inlineStr">
        <is>
          <t>SKÅNE LÄN</t>
        </is>
      </c>
      <c r="E2265" t="inlineStr">
        <is>
          <t>HÖÖR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51318-2021</t>
        </is>
      </c>
      <c r="B2266" s="1" t="n">
        <v>44461</v>
      </c>
      <c r="C2266" s="1" t="n">
        <v>45796</v>
      </c>
      <c r="D2266" t="inlineStr">
        <is>
          <t>SKÅNE LÄN</t>
        </is>
      </c>
      <c r="E2266" t="inlineStr">
        <is>
          <t>KRISTIANSTAD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51345-2021</t>
        </is>
      </c>
      <c r="B2267" s="1" t="n">
        <v>44461</v>
      </c>
      <c r="C2267" s="1" t="n">
        <v>45796</v>
      </c>
      <c r="D2267" t="inlineStr">
        <is>
          <t>SKÅNE LÄN</t>
        </is>
      </c>
      <c r="E2267" t="inlineStr">
        <is>
          <t>OSBY</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51353-2021</t>
        </is>
      </c>
      <c r="B2268" s="1" t="n">
        <v>44461</v>
      </c>
      <c r="C2268" s="1" t="n">
        <v>45796</v>
      </c>
      <c r="D2268" t="inlineStr">
        <is>
          <t>SKÅNE LÄN</t>
        </is>
      </c>
      <c r="E2268" t="inlineStr">
        <is>
          <t>OSBY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51356-2021</t>
        </is>
      </c>
      <c r="B2269" s="1" t="n">
        <v>44461</v>
      </c>
      <c r="C2269" s="1" t="n">
        <v>45796</v>
      </c>
      <c r="D2269" t="inlineStr">
        <is>
          <t>SKÅNE LÄN</t>
        </is>
      </c>
      <c r="E2269" t="inlineStr">
        <is>
          <t>OSBY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51559-2021</t>
        </is>
      </c>
      <c r="B2270" s="1" t="n">
        <v>44462</v>
      </c>
      <c r="C2270" s="1" t="n">
        <v>45796</v>
      </c>
      <c r="D2270" t="inlineStr">
        <is>
          <t>SKÅNE LÄN</t>
        </is>
      </c>
      <c r="E2270" t="inlineStr">
        <is>
          <t>ÖSTRA GÖINGE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51895-2021</t>
        </is>
      </c>
      <c r="B2271" s="1" t="n">
        <v>44462</v>
      </c>
      <c r="C2271" s="1" t="n">
        <v>45796</v>
      </c>
      <c r="D2271" t="inlineStr">
        <is>
          <t>SKÅNE LÄN</t>
        </is>
      </c>
      <c r="E2271" t="inlineStr">
        <is>
          <t>HÄSSLEHOLM</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51893-2021</t>
        </is>
      </c>
      <c r="B2272" s="1" t="n">
        <v>44462</v>
      </c>
      <c r="C2272" s="1" t="n">
        <v>45796</v>
      </c>
      <c r="D2272" t="inlineStr">
        <is>
          <t>SKÅNE LÄN</t>
        </is>
      </c>
      <c r="E2272" t="inlineStr">
        <is>
          <t>HÄSSLEHOLM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51859-2021</t>
        </is>
      </c>
      <c r="B2273" s="1" t="n">
        <v>44462</v>
      </c>
      <c r="C2273" s="1" t="n">
        <v>45796</v>
      </c>
      <c r="D2273" t="inlineStr">
        <is>
          <t>SKÅNE LÄN</t>
        </is>
      </c>
      <c r="E2273" t="inlineStr">
        <is>
          <t>OSBY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51888-2021</t>
        </is>
      </c>
      <c r="B2274" s="1" t="n">
        <v>44462</v>
      </c>
      <c r="C2274" s="1" t="n">
        <v>45796</v>
      </c>
      <c r="D2274" t="inlineStr">
        <is>
          <t>SKÅNE LÄN</t>
        </is>
      </c>
      <c r="E2274" t="inlineStr">
        <is>
          <t>HÄSSLEHOLM</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52057-2021</t>
        </is>
      </c>
      <c r="B2275" s="1" t="n">
        <v>44463</v>
      </c>
      <c r="C2275" s="1" t="n">
        <v>45796</v>
      </c>
      <c r="D2275" t="inlineStr">
        <is>
          <t>SKÅNE LÄN</t>
        </is>
      </c>
      <c r="E2275" t="inlineStr">
        <is>
          <t>KRISTIANSTAD</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52196-2021</t>
        </is>
      </c>
      <c r="B2276" s="1" t="n">
        <v>44463</v>
      </c>
      <c r="C2276" s="1" t="n">
        <v>45796</v>
      </c>
      <c r="D2276" t="inlineStr">
        <is>
          <t>SKÅNE LÄN</t>
        </is>
      </c>
      <c r="E2276" t="inlineStr">
        <is>
          <t>OSBY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52235-2021</t>
        </is>
      </c>
      <c r="B2277" s="1" t="n">
        <v>44463</v>
      </c>
      <c r="C2277" s="1" t="n">
        <v>45796</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52295-2021</t>
        </is>
      </c>
      <c r="B2278" s="1" t="n">
        <v>44463</v>
      </c>
      <c r="C2278" s="1" t="n">
        <v>45796</v>
      </c>
      <c r="D2278" t="inlineStr">
        <is>
          <t>SKÅNE LÄN</t>
        </is>
      </c>
      <c r="E2278" t="inlineStr">
        <is>
          <t>HÄSSLEHOLM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52306-2021</t>
        </is>
      </c>
      <c r="B2279" s="1" t="n">
        <v>44463</v>
      </c>
      <c r="C2279" s="1" t="n">
        <v>45796</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52304-2021</t>
        </is>
      </c>
      <c r="B2280" s="1" t="n">
        <v>44463</v>
      </c>
      <c r="C2280" s="1" t="n">
        <v>45796</v>
      </c>
      <c r="D2280" t="inlineStr">
        <is>
          <t>SKÅNE LÄN</t>
        </is>
      </c>
      <c r="E2280" t="inlineStr">
        <is>
          <t>ÖSTRA GÖINGE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52372-2021</t>
        </is>
      </c>
      <c r="B2281" s="1" t="n">
        <v>44465</v>
      </c>
      <c r="C2281" s="1" t="n">
        <v>45796</v>
      </c>
      <c r="D2281" t="inlineStr">
        <is>
          <t>SKÅNE LÄN</t>
        </is>
      </c>
      <c r="E2281" t="inlineStr">
        <is>
          <t>ÖRKELLJUNGA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52642-2021</t>
        </is>
      </c>
      <c r="B2282" s="1" t="n">
        <v>44466</v>
      </c>
      <c r="C2282" s="1" t="n">
        <v>45796</v>
      </c>
      <c r="D2282" t="inlineStr">
        <is>
          <t>SKÅNE LÄN</t>
        </is>
      </c>
      <c r="E2282" t="inlineStr">
        <is>
          <t>HÄSSLEHOLM</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52461-2021</t>
        </is>
      </c>
      <c r="B2283" s="1" t="n">
        <v>44466</v>
      </c>
      <c r="C2283" s="1" t="n">
        <v>45796</v>
      </c>
      <c r="D2283" t="inlineStr">
        <is>
          <t>SKÅNE LÄN</t>
        </is>
      </c>
      <c r="E2283" t="inlineStr">
        <is>
          <t>HÄSSLEHOLM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52567-2021</t>
        </is>
      </c>
      <c r="B2284" s="1" t="n">
        <v>44466</v>
      </c>
      <c r="C2284" s="1" t="n">
        <v>45796</v>
      </c>
      <c r="D2284" t="inlineStr">
        <is>
          <t>SKÅNE LÄN</t>
        </is>
      </c>
      <c r="E2284" t="inlineStr">
        <is>
          <t>HÄSSLEHOLM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52625-2021</t>
        </is>
      </c>
      <c r="B2285" s="1" t="n">
        <v>44466</v>
      </c>
      <c r="C2285" s="1" t="n">
        <v>45796</v>
      </c>
      <c r="D2285" t="inlineStr">
        <is>
          <t>SKÅNE LÄN</t>
        </is>
      </c>
      <c r="E2285" t="inlineStr">
        <is>
          <t>ÖSTRA GÖINGE</t>
        </is>
      </c>
      <c r="F2285" t="inlineStr">
        <is>
          <t>Kyrkan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52522-2021</t>
        </is>
      </c>
      <c r="B2286" s="1" t="n">
        <v>44466</v>
      </c>
      <c r="C2286" s="1" t="n">
        <v>45796</v>
      </c>
      <c r="D2286" t="inlineStr">
        <is>
          <t>SKÅNE LÄN</t>
        </is>
      </c>
      <c r="E2286" t="inlineStr">
        <is>
          <t>ÖSTRA GÖINGE</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52528-2021</t>
        </is>
      </c>
      <c r="B2287" s="1" t="n">
        <v>44466</v>
      </c>
      <c r="C2287" s="1" t="n">
        <v>45796</v>
      </c>
      <c r="D2287" t="inlineStr">
        <is>
          <t>SKÅNE LÄN</t>
        </is>
      </c>
      <c r="E2287" t="inlineStr">
        <is>
          <t>ÖRKELLJUNGA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52832-2021</t>
        </is>
      </c>
      <c r="B2288" s="1" t="n">
        <v>44466</v>
      </c>
      <c r="C2288" s="1" t="n">
        <v>45796</v>
      </c>
      <c r="D2288" t="inlineStr">
        <is>
          <t>SKÅNE LÄN</t>
        </is>
      </c>
      <c r="E2288" t="inlineStr">
        <is>
          <t>HÖRBY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52729-2021</t>
        </is>
      </c>
      <c r="B2289" s="1" t="n">
        <v>44467</v>
      </c>
      <c r="C2289" s="1" t="n">
        <v>45796</v>
      </c>
      <c r="D2289" t="inlineStr">
        <is>
          <t>SKÅNE LÄN</t>
        </is>
      </c>
      <c r="E2289" t="inlineStr">
        <is>
          <t>PERSTORP</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52786-2021</t>
        </is>
      </c>
      <c r="B2290" s="1" t="n">
        <v>44467</v>
      </c>
      <c r="C2290" s="1" t="n">
        <v>45796</v>
      </c>
      <c r="D2290" t="inlineStr">
        <is>
          <t>SKÅNE LÄN</t>
        </is>
      </c>
      <c r="E2290" t="inlineStr">
        <is>
          <t>HÄSSLEHOLM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52855-2021</t>
        </is>
      </c>
      <c r="B2291" s="1" t="n">
        <v>44467</v>
      </c>
      <c r="C2291" s="1" t="n">
        <v>45796</v>
      </c>
      <c r="D2291" t="inlineStr">
        <is>
          <t>SKÅNE LÄN</t>
        </is>
      </c>
      <c r="E2291" t="inlineStr">
        <is>
          <t>ÖSTRA GÖINGE</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52930-2021</t>
        </is>
      </c>
      <c r="B2292" s="1" t="n">
        <v>44467</v>
      </c>
      <c r="C2292" s="1" t="n">
        <v>45796</v>
      </c>
      <c r="D2292" t="inlineStr">
        <is>
          <t>SKÅNE LÄN</t>
        </is>
      </c>
      <c r="E2292" t="inlineStr">
        <is>
          <t>ÖSTRA GÖINGE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52924-2021</t>
        </is>
      </c>
      <c r="B2293" s="1" t="n">
        <v>44467</v>
      </c>
      <c r="C2293" s="1" t="n">
        <v>45796</v>
      </c>
      <c r="D2293" t="inlineStr">
        <is>
          <t>SKÅNE LÄN</t>
        </is>
      </c>
      <c r="E2293" t="inlineStr">
        <is>
          <t>KRISTIANSTAD</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53055-2021</t>
        </is>
      </c>
      <c r="B2294" s="1" t="n">
        <v>44467</v>
      </c>
      <c r="C2294" s="1" t="n">
        <v>45796</v>
      </c>
      <c r="D2294" t="inlineStr">
        <is>
          <t>SKÅNE LÄN</t>
        </is>
      </c>
      <c r="E2294" t="inlineStr">
        <is>
          <t>HÄSSLEHOLM</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53130-2021</t>
        </is>
      </c>
      <c r="B2295" s="1" t="n">
        <v>44468</v>
      </c>
      <c r="C2295" s="1" t="n">
        <v>45796</v>
      </c>
      <c r="D2295" t="inlineStr">
        <is>
          <t>SKÅNE LÄN</t>
        </is>
      </c>
      <c r="E2295" t="inlineStr">
        <is>
          <t>BÅSTAD</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53339-2021</t>
        </is>
      </c>
      <c r="B2296" s="1" t="n">
        <v>44468</v>
      </c>
      <c r="C2296" s="1" t="n">
        <v>45796</v>
      </c>
      <c r="D2296" t="inlineStr">
        <is>
          <t>SKÅNE LÄN</t>
        </is>
      </c>
      <c r="E2296" t="inlineStr">
        <is>
          <t>OSBY</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53258-2021</t>
        </is>
      </c>
      <c r="B2297" s="1" t="n">
        <v>44468</v>
      </c>
      <c r="C2297" s="1" t="n">
        <v>45796</v>
      </c>
      <c r="D2297" t="inlineStr">
        <is>
          <t>SKÅNE LÄN</t>
        </is>
      </c>
      <c r="E2297" t="inlineStr">
        <is>
          <t>KRISTIANSTAD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53131-2021</t>
        </is>
      </c>
      <c r="B2298" s="1" t="n">
        <v>44468</v>
      </c>
      <c r="C2298" s="1" t="n">
        <v>45796</v>
      </c>
      <c r="D2298" t="inlineStr">
        <is>
          <t>SKÅNE LÄN</t>
        </is>
      </c>
      <c r="E2298" t="inlineStr">
        <is>
          <t>BÅSTAD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53431-2021</t>
        </is>
      </c>
      <c r="B2299" s="1" t="n">
        <v>44468</v>
      </c>
      <c r="C2299" s="1" t="n">
        <v>45796</v>
      </c>
      <c r="D2299" t="inlineStr">
        <is>
          <t>SKÅNE LÄN</t>
        </is>
      </c>
      <c r="E2299" t="inlineStr">
        <is>
          <t>ÖRKELLJUNGA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53491-2021</t>
        </is>
      </c>
      <c r="B2300" s="1" t="n">
        <v>44468</v>
      </c>
      <c r="C2300" s="1" t="n">
        <v>45796</v>
      </c>
      <c r="D2300" t="inlineStr">
        <is>
          <t>SKÅNE LÄN</t>
        </is>
      </c>
      <c r="E2300" t="inlineStr">
        <is>
          <t>KRISTIANSTAD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53784-2021</t>
        </is>
      </c>
      <c r="B2301" s="1" t="n">
        <v>44469</v>
      </c>
      <c r="C2301" s="1" t="n">
        <v>45796</v>
      </c>
      <c r="D2301" t="inlineStr">
        <is>
          <t>SKÅNE LÄN</t>
        </is>
      </c>
      <c r="E2301" t="inlineStr">
        <is>
          <t>PERSTORP</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53935-2021</t>
        </is>
      </c>
      <c r="B2302" s="1" t="n">
        <v>44469</v>
      </c>
      <c r="C2302" s="1" t="n">
        <v>45796</v>
      </c>
      <c r="D2302" t="inlineStr">
        <is>
          <t>SKÅNE LÄN</t>
        </is>
      </c>
      <c r="E2302" t="inlineStr">
        <is>
          <t>OSBY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53917-2021</t>
        </is>
      </c>
      <c r="B2303" s="1" t="n">
        <v>44469</v>
      </c>
      <c r="C2303" s="1" t="n">
        <v>45796</v>
      </c>
      <c r="D2303" t="inlineStr">
        <is>
          <t>SKÅNE LÄN</t>
        </is>
      </c>
      <c r="E2303" t="inlineStr">
        <is>
          <t>OSBY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54175-2021</t>
        </is>
      </c>
      <c r="B2304" s="1" t="n">
        <v>44470</v>
      </c>
      <c r="C2304" s="1" t="n">
        <v>45796</v>
      </c>
      <c r="D2304" t="inlineStr">
        <is>
          <t>SKÅNE LÄN</t>
        </is>
      </c>
      <c r="E2304" t="inlineStr">
        <is>
          <t>HÄSSLEHOLM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54057-2021</t>
        </is>
      </c>
      <c r="B2305" s="1" t="n">
        <v>44470</v>
      </c>
      <c r="C2305" s="1" t="n">
        <v>45796</v>
      </c>
      <c r="D2305" t="inlineStr">
        <is>
          <t>SKÅNE LÄN</t>
        </is>
      </c>
      <c r="E2305" t="inlineStr">
        <is>
          <t>KRISTIANSTAD</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54171-2021</t>
        </is>
      </c>
      <c r="B2306" s="1" t="n">
        <v>44470</v>
      </c>
      <c r="C2306" s="1" t="n">
        <v>45796</v>
      </c>
      <c r="D2306" t="inlineStr">
        <is>
          <t>SKÅNE LÄN</t>
        </is>
      </c>
      <c r="E2306" t="inlineStr">
        <is>
          <t>HÄSSLEHOLM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54178-2021</t>
        </is>
      </c>
      <c r="B2307" s="1" t="n">
        <v>44470</v>
      </c>
      <c r="C2307" s="1" t="n">
        <v>45796</v>
      </c>
      <c r="D2307" t="inlineStr">
        <is>
          <t>SKÅNE LÄN</t>
        </is>
      </c>
      <c r="E2307" t="inlineStr">
        <is>
          <t>HÄSSLEHOLM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54307-2021</t>
        </is>
      </c>
      <c r="B2308" s="1" t="n">
        <v>44472</v>
      </c>
      <c r="C2308" s="1" t="n">
        <v>45796</v>
      </c>
      <c r="D2308" t="inlineStr">
        <is>
          <t>SKÅNE LÄN</t>
        </is>
      </c>
      <c r="E2308" t="inlineStr">
        <is>
          <t>OSBY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54305-2021</t>
        </is>
      </c>
      <c r="B2309" s="1" t="n">
        <v>44472</v>
      </c>
      <c r="C2309" s="1" t="n">
        <v>45796</v>
      </c>
      <c r="D2309" t="inlineStr">
        <is>
          <t>SKÅNE LÄN</t>
        </is>
      </c>
      <c r="E2309" t="inlineStr">
        <is>
          <t>PERSTORP</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54317-2021</t>
        </is>
      </c>
      <c r="B2310" s="1" t="n">
        <v>44472</v>
      </c>
      <c r="C2310" s="1" t="n">
        <v>45796</v>
      </c>
      <c r="D2310" t="inlineStr">
        <is>
          <t>SKÅNE LÄN</t>
        </is>
      </c>
      <c r="E2310" t="inlineStr">
        <is>
          <t>ÖSTRA GÖINGE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54411-2021</t>
        </is>
      </c>
      <c r="B2311" s="1" t="n">
        <v>44473</v>
      </c>
      <c r="C2311" s="1" t="n">
        <v>45796</v>
      </c>
      <c r="D2311" t="inlineStr">
        <is>
          <t>SKÅNE LÄN</t>
        </is>
      </c>
      <c r="E2311" t="inlineStr">
        <is>
          <t>PERSTORP</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54686-2021</t>
        </is>
      </c>
      <c r="B2312" s="1" t="n">
        <v>44473</v>
      </c>
      <c r="C2312" s="1" t="n">
        <v>45796</v>
      </c>
      <c r="D2312" t="inlineStr">
        <is>
          <t>SKÅNE LÄN</t>
        </is>
      </c>
      <c r="E2312" t="inlineStr">
        <is>
          <t>HÖÖR</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55056-2021</t>
        </is>
      </c>
      <c r="B2313" s="1" t="n">
        <v>44474</v>
      </c>
      <c r="C2313" s="1" t="n">
        <v>45796</v>
      </c>
      <c r="D2313" t="inlineStr">
        <is>
          <t>SKÅNE LÄN</t>
        </is>
      </c>
      <c r="E2313" t="inlineStr">
        <is>
          <t>HÄSSLEHOLM</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54894-2021</t>
        </is>
      </c>
      <c r="B2314" s="1" t="n">
        <v>44474</v>
      </c>
      <c r="C2314" s="1" t="n">
        <v>45796</v>
      </c>
      <c r="D2314" t="inlineStr">
        <is>
          <t>SKÅNE LÄN</t>
        </is>
      </c>
      <c r="E2314" t="inlineStr">
        <is>
          <t>ÖSTRA GÖINGE</t>
        </is>
      </c>
      <c r="F2314" t="inlineStr">
        <is>
          <t>Kyrkan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55416-2021</t>
        </is>
      </c>
      <c r="B2315" s="1" t="n">
        <v>44475</v>
      </c>
      <c r="C2315" s="1" t="n">
        <v>45796</v>
      </c>
      <c r="D2315" t="inlineStr">
        <is>
          <t>SKÅNE LÄN</t>
        </is>
      </c>
      <c r="E2315" t="inlineStr">
        <is>
          <t>HÄSSLEHOLM</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55454-2021</t>
        </is>
      </c>
      <c r="B2316" s="1" t="n">
        <v>44475</v>
      </c>
      <c r="C2316" s="1" t="n">
        <v>45796</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55572-2021</t>
        </is>
      </c>
      <c r="B2317" s="1" t="n">
        <v>44475</v>
      </c>
      <c r="C2317" s="1" t="n">
        <v>45796</v>
      </c>
      <c r="D2317" t="inlineStr">
        <is>
          <t>SKÅNE LÄN</t>
        </is>
      </c>
      <c r="E2317" t="inlineStr">
        <is>
          <t>OSBY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55586-2021</t>
        </is>
      </c>
      <c r="B2318" s="1" t="n">
        <v>44475</v>
      </c>
      <c r="C2318" s="1" t="n">
        <v>45796</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55587-2021</t>
        </is>
      </c>
      <c r="B2319" s="1" t="n">
        <v>44475</v>
      </c>
      <c r="C2319" s="1" t="n">
        <v>45796</v>
      </c>
      <c r="D2319" t="inlineStr">
        <is>
          <t>SKÅNE LÄN</t>
        </is>
      </c>
      <c r="E2319" t="inlineStr">
        <is>
          <t>KLIPPAN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55588-2021</t>
        </is>
      </c>
      <c r="B2320" s="1" t="n">
        <v>44475</v>
      </c>
      <c r="C2320" s="1" t="n">
        <v>45796</v>
      </c>
      <c r="D2320" t="inlineStr">
        <is>
          <t>SKÅNE LÄN</t>
        </is>
      </c>
      <c r="E2320" t="inlineStr">
        <is>
          <t>KLIPPAN</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55737-2021</t>
        </is>
      </c>
      <c r="B2321" s="1" t="n">
        <v>44476</v>
      </c>
      <c r="C2321" s="1" t="n">
        <v>45796</v>
      </c>
      <c r="D2321" t="inlineStr">
        <is>
          <t>SKÅNE LÄN</t>
        </is>
      </c>
      <c r="E2321" t="inlineStr">
        <is>
          <t>KRISTIANSTAD</t>
        </is>
      </c>
      <c r="F2321" t="inlineStr">
        <is>
          <t>Sveaskog</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56006-2021</t>
        </is>
      </c>
      <c r="B2322" s="1" t="n">
        <v>44477</v>
      </c>
      <c r="C2322" s="1" t="n">
        <v>45796</v>
      </c>
      <c r="D2322" t="inlineStr">
        <is>
          <t>SKÅNE LÄN</t>
        </is>
      </c>
      <c r="E2322" t="inlineStr">
        <is>
          <t>ÖRKELLJUNGA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56063-2021</t>
        </is>
      </c>
      <c r="B2323" s="1" t="n">
        <v>44477</v>
      </c>
      <c r="C2323" s="1" t="n">
        <v>45796</v>
      </c>
      <c r="D2323" t="inlineStr">
        <is>
          <t>SKÅNE LÄN</t>
        </is>
      </c>
      <c r="E2323" t="inlineStr">
        <is>
          <t>ÄNGELHOLM</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56137-2021</t>
        </is>
      </c>
      <c r="B2324" s="1" t="n">
        <v>44477</v>
      </c>
      <c r="C2324" s="1" t="n">
        <v>45796</v>
      </c>
      <c r="D2324" t="inlineStr">
        <is>
          <t>SKÅNE LÄN</t>
        </is>
      </c>
      <c r="E2324" t="inlineStr">
        <is>
          <t>SJÖBO</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56094-2021</t>
        </is>
      </c>
      <c r="B2325" s="1" t="n">
        <v>44477</v>
      </c>
      <c r="C2325" s="1" t="n">
        <v>45796</v>
      </c>
      <c r="D2325" t="inlineStr">
        <is>
          <t>SKÅNE LÄN</t>
        </is>
      </c>
      <c r="E2325" t="inlineStr">
        <is>
          <t>ÄNGELHOLM</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56177-2021</t>
        </is>
      </c>
      <c r="B2326" s="1" t="n">
        <v>44477</v>
      </c>
      <c r="C2326" s="1" t="n">
        <v>45796</v>
      </c>
      <c r="D2326" t="inlineStr">
        <is>
          <t>SKÅNE LÄN</t>
        </is>
      </c>
      <c r="E2326" t="inlineStr">
        <is>
          <t>OSBY</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56089-2021</t>
        </is>
      </c>
      <c r="B2327" s="1" t="n">
        <v>44477</v>
      </c>
      <c r="C2327" s="1" t="n">
        <v>45796</v>
      </c>
      <c r="D2327" t="inlineStr">
        <is>
          <t>SKÅNE LÄN</t>
        </is>
      </c>
      <c r="E2327" t="inlineStr">
        <is>
          <t>KLIPPAN</t>
        </is>
      </c>
      <c r="G2327" t="n">
        <v>20.9</v>
      </c>
      <c r="H2327" t="n">
        <v>0</v>
      </c>
      <c r="I2327" t="n">
        <v>0</v>
      </c>
      <c r="J2327" t="n">
        <v>0</v>
      </c>
      <c r="K2327" t="n">
        <v>0</v>
      </c>
      <c r="L2327" t="n">
        <v>0</v>
      </c>
      <c r="M2327" t="n">
        <v>0</v>
      </c>
      <c r="N2327" t="n">
        <v>0</v>
      </c>
      <c r="O2327" t="n">
        <v>0</v>
      </c>
      <c r="P2327" t="n">
        <v>0</v>
      </c>
      <c r="Q2327" t="n">
        <v>0</v>
      </c>
      <c r="R2327" s="2" t="inlineStr"/>
    </row>
    <row r="2328" ht="15" customHeight="1">
      <c r="A2328" t="inlineStr">
        <is>
          <t>A 56021-2021</t>
        </is>
      </c>
      <c r="B2328" s="1" t="n">
        <v>44477</v>
      </c>
      <c r="C2328" s="1" t="n">
        <v>45796</v>
      </c>
      <c r="D2328" t="inlineStr">
        <is>
          <t>SKÅNE LÄN</t>
        </is>
      </c>
      <c r="E2328" t="inlineStr">
        <is>
          <t>ÖRKELLJUNGA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56229-2021</t>
        </is>
      </c>
      <c r="B2329" s="1" t="n">
        <v>44478</v>
      </c>
      <c r="C2329" s="1" t="n">
        <v>45796</v>
      </c>
      <c r="D2329" t="inlineStr">
        <is>
          <t>SKÅNE LÄN</t>
        </is>
      </c>
      <c r="E2329" t="inlineStr">
        <is>
          <t>OSBY</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56431-2021</t>
        </is>
      </c>
      <c r="B2330" s="1" t="n">
        <v>44480</v>
      </c>
      <c r="C2330" s="1" t="n">
        <v>45796</v>
      </c>
      <c r="D2330" t="inlineStr">
        <is>
          <t>SKÅNE LÄN</t>
        </is>
      </c>
      <c r="E2330" t="inlineStr">
        <is>
          <t>HÄSSLEHOLM</t>
        </is>
      </c>
      <c r="F2330" t="inlineStr">
        <is>
          <t>Kyrkan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56502-2021</t>
        </is>
      </c>
      <c r="B2331" s="1" t="n">
        <v>44480</v>
      </c>
      <c r="C2331" s="1" t="n">
        <v>45796</v>
      </c>
      <c r="D2331" t="inlineStr">
        <is>
          <t>SKÅNE LÄN</t>
        </is>
      </c>
      <c r="E2331" t="inlineStr">
        <is>
          <t>HÄSSLEHOLM</t>
        </is>
      </c>
      <c r="F2331" t="inlineStr">
        <is>
          <t>Kyrkan</t>
        </is>
      </c>
      <c r="G2331" t="n">
        <v>13.8</v>
      </c>
      <c r="H2331" t="n">
        <v>0</v>
      </c>
      <c r="I2331" t="n">
        <v>0</v>
      </c>
      <c r="J2331" t="n">
        <v>0</v>
      </c>
      <c r="K2331" t="n">
        <v>0</v>
      </c>
      <c r="L2331" t="n">
        <v>0</v>
      </c>
      <c r="M2331" t="n">
        <v>0</v>
      </c>
      <c r="N2331" t="n">
        <v>0</v>
      </c>
      <c r="O2331" t="n">
        <v>0</v>
      </c>
      <c r="P2331" t="n">
        <v>0</v>
      </c>
      <c r="Q2331" t="n">
        <v>0</v>
      </c>
      <c r="R2331" s="2" t="inlineStr"/>
    </row>
    <row r="2332" ht="15" customHeight="1">
      <c r="A2332" t="inlineStr">
        <is>
          <t>A 56328-2021</t>
        </is>
      </c>
      <c r="B2332" s="1" t="n">
        <v>44480</v>
      </c>
      <c r="C2332" s="1" t="n">
        <v>45796</v>
      </c>
      <c r="D2332" t="inlineStr">
        <is>
          <t>SKÅNE LÄN</t>
        </is>
      </c>
      <c r="E2332" t="inlineStr">
        <is>
          <t>OSBY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56424-2021</t>
        </is>
      </c>
      <c r="B2333" s="1" t="n">
        <v>44480</v>
      </c>
      <c r="C2333" s="1" t="n">
        <v>45796</v>
      </c>
      <c r="D2333" t="inlineStr">
        <is>
          <t>SKÅNE LÄN</t>
        </is>
      </c>
      <c r="E2333" t="inlineStr">
        <is>
          <t>HÄSSLEHOLM</t>
        </is>
      </c>
      <c r="F2333" t="inlineStr">
        <is>
          <t>Kyrkan</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56477-2021</t>
        </is>
      </c>
      <c r="B2334" s="1" t="n">
        <v>44480</v>
      </c>
      <c r="C2334" s="1" t="n">
        <v>45796</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56490-2021</t>
        </is>
      </c>
      <c r="B2335" s="1" t="n">
        <v>44480</v>
      </c>
      <c r="C2335" s="1" t="n">
        <v>45796</v>
      </c>
      <c r="D2335" t="inlineStr">
        <is>
          <t>SKÅNE LÄN</t>
        </is>
      </c>
      <c r="E2335" t="inlineStr">
        <is>
          <t>HÄSSLEHOLM</t>
        </is>
      </c>
      <c r="F2335" t="inlineStr">
        <is>
          <t>Kyrkan</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56443-2021</t>
        </is>
      </c>
      <c r="B2336" s="1" t="n">
        <v>44480</v>
      </c>
      <c r="C2336" s="1" t="n">
        <v>45796</v>
      </c>
      <c r="D2336" t="inlineStr">
        <is>
          <t>SKÅNE LÄN</t>
        </is>
      </c>
      <c r="E2336" t="inlineStr">
        <is>
          <t>ÖSTRA GÖINGE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56512-2021</t>
        </is>
      </c>
      <c r="B2337" s="1" t="n">
        <v>44480</v>
      </c>
      <c r="C2337" s="1" t="n">
        <v>45796</v>
      </c>
      <c r="D2337" t="inlineStr">
        <is>
          <t>SKÅNE LÄN</t>
        </is>
      </c>
      <c r="E2337" t="inlineStr">
        <is>
          <t>HÖÖR</t>
        </is>
      </c>
      <c r="G2337" t="n">
        <v>13.3</v>
      </c>
      <c r="H2337" t="n">
        <v>0</v>
      </c>
      <c r="I2337" t="n">
        <v>0</v>
      </c>
      <c r="J2337" t="n">
        <v>0</v>
      </c>
      <c r="K2337" t="n">
        <v>0</v>
      </c>
      <c r="L2337" t="n">
        <v>0</v>
      </c>
      <c r="M2337" t="n">
        <v>0</v>
      </c>
      <c r="N2337" t="n">
        <v>0</v>
      </c>
      <c r="O2337" t="n">
        <v>0</v>
      </c>
      <c r="P2337" t="n">
        <v>0</v>
      </c>
      <c r="Q2337" t="n">
        <v>0</v>
      </c>
      <c r="R2337" s="2" t="inlineStr"/>
    </row>
    <row r="2338" ht="15" customHeight="1">
      <c r="A2338" t="inlineStr">
        <is>
          <t>A 56527-2021</t>
        </is>
      </c>
      <c r="B2338" s="1" t="n">
        <v>44480</v>
      </c>
      <c r="C2338" s="1" t="n">
        <v>45796</v>
      </c>
      <c r="D2338" t="inlineStr">
        <is>
          <t>SKÅNE LÄN</t>
        </is>
      </c>
      <c r="E2338" t="inlineStr">
        <is>
          <t>HÄSSLEHOLM</t>
        </is>
      </c>
      <c r="F2338" t="inlineStr">
        <is>
          <t>Kyrkan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56569-2021</t>
        </is>
      </c>
      <c r="B2339" s="1" t="n">
        <v>44480</v>
      </c>
      <c r="C2339" s="1" t="n">
        <v>45796</v>
      </c>
      <c r="D2339" t="inlineStr">
        <is>
          <t>SKÅNE LÄN</t>
        </is>
      </c>
      <c r="E2339" t="inlineStr">
        <is>
          <t>ÄNGELHOLM</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56855-2021</t>
        </is>
      </c>
      <c r="B2340" s="1" t="n">
        <v>44481</v>
      </c>
      <c r="C2340" s="1" t="n">
        <v>45796</v>
      </c>
      <c r="D2340" t="inlineStr">
        <is>
          <t>SKÅNE LÄN</t>
        </is>
      </c>
      <c r="E2340" t="inlineStr">
        <is>
          <t>LUND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56877-2021</t>
        </is>
      </c>
      <c r="B2341" s="1" t="n">
        <v>44481</v>
      </c>
      <c r="C2341" s="1" t="n">
        <v>45796</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56876-2021</t>
        </is>
      </c>
      <c r="B2342" s="1" t="n">
        <v>44481</v>
      </c>
      <c r="C2342" s="1" t="n">
        <v>45796</v>
      </c>
      <c r="D2342" t="inlineStr">
        <is>
          <t>SKÅNE LÄN</t>
        </is>
      </c>
      <c r="E2342" t="inlineStr">
        <is>
          <t>OSBY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56881-2021</t>
        </is>
      </c>
      <c r="B2343" s="1" t="n">
        <v>44481</v>
      </c>
      <c r="C2343" s="1" t="n">
        <v>45796</v>
      </c>
      <c r="D2343" t="inlineStr">
        <is>
          <t>SKÅNE LÄN</t>
        </is>
      </c>
      <c r="E2343" t="inlineStr">
        <is>
          <t>HÄSSLEHOLM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56989-2021</t>
        </is>
      </c>
      <c r="B2344" s="1" t="n">
        <v>44482</v>
      </c>
      <c r="C2344" s="1" t="n">
        <v>45796</v>
      </c>
      <c r="D2344" t="inlineStr">
        <is>
          <t>SKÅNE LÄN</t>
        </is>
      </c>
      <c r="E2344" t="inlineStr">
        <is>
          <t>HÄSSLEHOLM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57227-2021</t>
        </is>
      </c>
      <c r="B2345" s="1" t="n">
        <v>44482</v>
      </c>
      <c r="C2345" s="1" t="n">
        <v>45796</v>
      </c>
      <c r="D2345" t="inlineStr">
        <is>
          <t>SKÅNE LÄN</t>
        </is>
      </c>
      <c r="E2345" t="inlineStr">
        <is>
          <t>OSBY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57488-2021</t>
        </is>
      </c>
      <c r="B2346" s="1" t="n">
        <v>44483</v>
      </c>
      <c r="C2346" s="1" t="n">
        <v>45796</v>
      </c>
      <c r="D2346" t="inlineStr">
        <is>
          <t>SKÅNE LÄN</t>
        </is>
      </c>
      <c r="E2346" t="inlineStr">
        <is>
          <t>KRISTIANSTAD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57451-2021</t>
        </is>
      </c>
      <c r="B2347" s="1" t="n">
        <v>44483</v>
      </c>
      <c r="C2347" s="1" t="n">
        <v>45796</v>
      </c>
      <c r="D2347" t="inlineStr">
        <is>
          <t>SKÅNE LÄN</t>
        </is>
      </c>
      <c r="E2347" t="inlineStr">
        <is>
          <t>SVALÖV</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58175-2021</t>
        </is>
      </c>
      <c r="B2348" s="1" t="n">
        <v>44487</v>
      </c>
      <c r="C2348" s="1" t="n">
        <v>45796</v>
      </c>
      <c r="D2348" t="inlineStr">
        <is>
          <t>SKÅNE LÄN</t>
        </is>
      </c>
      <c r="E2348" t="inlineStr">
        <is>
          <t>KRISTIANSTAD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57952-2021</t>
        </is>
      </c>
      <c r="B2349" s="1" t="n">
        <v>44487</v>
      </c>
      <c r="C2349" s="1" t="n">
        <v>45796</v>
      </c>
      <c r="D2349" t="inlineStr">
        <is>
          <t>SKÅNE LÄN</t>
        </is>
      </c>
      <c r="E2349" t="inlineStr">
        <is>
          <t>KLIPPAN</t>
        </is>
      </c>
      <c r="F2349" t="inlineStr">
        <is>
          <t>Övriga Aktiebolag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57997-2021</t>
        </is>
      </c>
      <c r="B2350" s="1" t="n">
        <v>44487</v>
      </c>
      <c r="C2350" s="1" t="n">
        <v>45796</v>
      </c>
      <c r="D2350" t="inlineStr">
        <is>
          <t>SKÅNE LÄN</t>
        </is>
      </c>
      <c r="E2350" t="inlineStr">
        <is>
          <t>PERSTORP</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58346-2021</t>
        </is>
      </c>
      <c r="B2351" s="1" t="n">
        <v>44487</v>
      </c>
      <c r="C2351" s="1" t="n">
        <v>45796</v>
      </c>
      <c r="D2351" t="inlineStr">
        <is>
          <t>SKÅNE LÄN</t>
        </is>
      </c>
      <c r="E2351" t="inlineStr">
        <is>
          <t>OSBY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58337-2021</t>
        </is>
      </c>
      <c r="B2352" s="1" t="n">
        <v>44487</v>
      </c>
      <c r="C2352" s="1" t="n">
        <v>45796</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58566-2021</t>
        </is>
      </c>
      <c r="B2353" s="1" t="n">
        <v>44488</v>
      </c>
      <c r="C2353" s="1" t="n">
        <v>45796</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58564-2021</t>
        </is>
      </c>
      <c r="B2354" s="1" t="n">
        <v>44488</v>
      </c>
      <c r="C2354" s="1" t="n">
        <v>45796</v>
      </c>
      <c r="D2354" t="inlineStr">
        <is>
          <t>SKÅNE LÄN</t>
        </is>
      </c>
      <c r="E2354" t="inlineStr">
        <is>
          <t>HÄSSLEHOLM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58633-2021</t>
        </is>
      </c>
      <c r="B2355" s="1" t="n">
        <v>44489</v>
      </c>
      <c r="C2355" s="1" t="n">
        <v>45796</v>
      </c>
      <c r="D2355" t="inlineStr">
        <is>
          <t>SKÅNE LÄN</t>
        </is>
      </c>
      <c r="E2355" t="inlineStr">
        <is>
          <t>KLIPPAN</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58868-2021</t>
        </is>
      </c>
      <c r="B2356" s="1" t="n">
        <v>44489</v>
      </c>
      <c r="C2356" s="1" t="n">
        <v>45796</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58642-2021</t>
        </is>
      </c>
      <c r="B2357" s="1" t="n">
        <v>44489</v>
      </c>
      <c r="C2357" s="1" t="n">
        <v>45796</v>
      </c>
      <c r="D2357" t="inlineStr">
        <is>
          <t>SKÅNE LÄN</t>
        </is>
      </c>
      <c r="E2357" t="inlineStr">
        <is>
          <t>KLIPPAN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59008-2021</t>
        </is>
      </c>
      <c r="B2358" s="1" t="n">
        <v>44489</v>
      </c>
      <c r="C2358" s="1" t="n">
        <v>45796</v>
      </c>
      <c r="D2358" t="inlineStr">
        <is>
          <t>SKÅNE LÄN</t>
        </is>
      </c>
      <c r="E2358" t="inlineStr">
        <is>
          <t>KLIPPAN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59016-2021</t>
        </is>
      </c>
      <c r="B2359" s="1" t="n">
        <v>44489</v>
      </c>
      <c r="C2359" s="1" t="n">
        <v>45796</v>
      </c>
      <c r="D2359" t="inlineStr">
        <is>
          <t>SKÅNE LÄN</t>
        </is>
      </c>
      <c r="E2359" t="inlineStr">
        <is>
          <t>PERSTORP</t>
        </is>
      </c>
      <c r="F2359" t="inlineStr">
        <is>
          <t>Övriga Aktiebolag</t>
        </is>
      </c>
      <c r="G2359" t="n">
        <v>17.6</v>
      </c>
      <c r="H2359" t="n">
        <v>0</v>
      </c>
      <c r="I2359" t="n">
        <v>0</v>
      </c>
      <c r="J2359" t="n">
        <v>0</v>
      </c>
      <c r="K2359" t="n">
        <v>0</v>
      </c>
      <c r="L2359" t="n">
        <v>0</v>
      </c>
      <c r="M2359" t="n">
        <v>0</v>
      </c>
      <c r="N2359" t="n">
        <v>0</v>
      </c>
      <c r="O2359" t="n">
        <v>0</v>
      </c>
      <c r="P2359" t="n">
        <v>0</v>
      </c>
      <c r="Q2359" t="n">
        <v>0</v>
      </c>
      <c r="R2359" s="2" t="inlineStr"/>
    </row>
    <row r="2360" ht="15" customHeight="1">
      <c r="A2360" t="inlineStr">
        <is>
          <t>A 59131-2021</t>
        </is>
      </c>
      <c r="B2360" s="1" t="n">
        <v>44490</v>
      </c>
      <c r="C2360" s="1" t="n">
        <v>45796</v>
      </c>
      <c r="D2360" t="inlineStr">
        <is>
          <t>SKÅNE LÄN</t>
        </is>
      </c>
      <c r="E2360" t="inlineStr">
        <is>
          <t>TOMELILLA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59137-2021</t>
        </is>
      </c>
      <c r="B2361" s="1" t="n">
        <v>44490</v>
      </c>
      <c r="C2361" s="1" t="n">
        <v>45796</v>
      </c>
      <c r="D2361" t="inlineStr">
        <is>
          <t>SKÅNE LÄN</t>
        </is>
      </c>
      <c r="E2361" t="inlineStr">
        <is>
          <t>HÖÖR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59390-2021</t>
        </is>
      </c>
      <c r="B2362" s="1" t="n">
        <v>44490</v>
      </c>
      <c r="C2362" s="1" t="n">
        <v>45796</v>
      </c>
      <c r="D2362" t="inlineStr">
        <is>
          <t>SKÅNE LÄN</t>
        </is>
      </c>
      <c r="E2362" t="inlineStr">
        <is>
          <t>HÄSSLEHOLM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59831-2021</t>
        </is>
      </c>
      <c r="B2363" s="1" t="n">
        <v>44491</v>
      </c>
      <c r="C2363" s="1" t="n">
        <v>45796</v>
      </c>
      <c r="D2363" t="inlineStr">
        <is>
          <t>SKÅNE LÄN</t>
        </is>
      </c>
      <c r="E2363" t="inlineStr">
        <is>
          <t>KRISTIANSTAD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59754-2021</t>
        </is>
      </c>
      <c r="B2364" s="1" t="n">
        <v>44494</v>
      </c>
      <c r="C2364" s="1" t="n">
        <v>45796</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59949-2021</t>
        </is>
      </c>
      <c r="B2365" s="1" t="n">
        <v>44494</v>
      </c>
      <c r="C2365" s="1" t="n">
        <v>45796</v>
      </c>
      <c r="D2365" t="inlineStr">
        <is>
          <t>SKÅNE LÄN</t>
        </is>
      </c>
      <c r="E2365" t="inlineStr">
        <is>
          <t>BROMÖLLA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60021-2021</t>
        </is>
      </c>
      <c r="B2366" s="1" t="n">
        <v>44495</v>
      </c>
      <c r="C2366" s="1" t="n">
        <v>45796</v>
      </c>
      <c r="D2366" t="inlineStr">
        <is>
          <t>SKÅNE LÄN</t>
        </is>
      </c>
      <c r="E2366" t="inlineStr">
        <is>
          <t>PERSTORP</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60260-2021</t>
        </is>
      </c>
      <c r="B2367" s="1" t="n">
        <v>44495</v>
      </c>
      <c r="C2367" s="1" t="n">
        <v>45796</v>
      </c>
      <c r="D2367" t="inlineStr">
        <is>
          <t>SKÅNE LÄN</t>
        </is>
      </c>
      <c r="E2367" t="inlineStr">
        <is>
          <t>HÄSSLEHOLM</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60263-2021</t>
        </is>
      </c>
      <c r="B2368" s="1" t="n">
        <v>44495</v>
      </c>
      <c r="C2368" s="1" t="n">
        <v>45796</v>
      </c>
      <c r="D2368" t="inlineStr">
        <is>
          <t>SKÅNE LÄN</t>
        </is>
      </c>
      <c r="E2368" t="inlineStr">
        <is>
          <t>SJÖBO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61147-2021</t>
        </is>
      </c>
      <c r="B2369" s="1" t="n">
        <v>44497</v>
      </c>
      <c r="C2369" s="1" t="n">
        <v>45796</v>
      </c>
      <c r="D2369" t="inlineStr">
        <is>
          <t>SKÅNE LÄN</t>
        </is>
      </c>
      <c r="E2369" t="inlineStr">
        <is>
          <t>KRISTIANSTAD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61198-2021</t>
        </is>
      </c>
      <c r="B2370" s="1" t="n">
        <v>44497</v>
      </c>
      <c r="C2370" s="1" t="n">
        <v>45796</v>
      </c>
      <c r="D2370" t="inlineStr">
        <is>
          <t>SKÅNE LÄN</t>
        </is>
      </c>
      <c r="E2370" t="inlineStr">
        <is>
          <t>KRISTIANSTAD</t>
        </is>
      </c>
      <c r="G2370" t="n">
        <v>13.8</v>
      </c>
      <c r="H2370" t="n">
        <v>0</v>
      </c>
      <c r="I2370" t="n">
        <v>0</v>
      </c>
      <c r="J2370" t="n">
        <v>0</v>
      </c>
      <c r="K2370" t="n">
        <v>0</v>
      </c>
      <c r="L2370" t="n">
        <v>0</v>
      </c>
      <c r="M2370" t="n">
        <v>0</v>
      </c>
      <c r="N2370" t="n">
        <v>0</v>
      </c>
      <c r="O2370" t="n">
        <v>0</v>
      </c>
      <c r="P2370" t="n">
        <v>0</v>
      </c>
      <c r="Q2370" t="n">
        <v>0</v>
      </c>
      <c r="R2370" s="2" t="inlineStr"/>
    </row>
    <row r="2371" ht="15" customHeight="1">
      <c r="A2371" t="inlineStr">
        <is>
          <t>A 61073-2021</t>
        </is>
      </c>
      <c r="B2371" s="1" t="n">
        <v>44497</v>
      </c>
      <c r="C2371" s="1" t="n">
        <v>45796</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61137-2021</t>
        </is>
      </c>
      <c r="B2372" s="1" t="n">
        <v>44497</v>
      </c>
      <c r="C2372" s="1" t="n">
        <v>45796</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61072-2021</t>
        </is>
      </c>
      <c r="B2373" s="1" t="n">
        <v>44497</v>
      </c>
      <c r="C2373" s="1" t="n">
        <v>45796</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60995-2021</t>
        </is>
      </c>
      <c r="B2374" s="1" t="n">
        <v>44497</v>
      </c>
      <c r="C2374" s="1" t="n">
        <v>45796</v>
      </c>
      <c r="D2374" t="inlineStr">
        <is>
          <t>SKÅNE LÄN</t>
        </is>
      </c>
      <c r="E2374" t="inlineStr">
        <is>
          <t>OSBY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61265-2021</t>
        </is>
      </c>
      <c r="B2375" s="1" t="n">
        <v>44498</v>
      </c>
      <c r="C2375" s="1" t="n">
        <v>45796</v>
      </c>
      <c r="D2375" t="inlineStr">
        <is>
          <t>SKÅNE LÄN</t>
        </is>
      </c>
      <c r="E2375" t="inlineStr">
        <is>
          <t>ÄNGELHOLM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61094-2021</t>
        </is>
      </c>
      <c r="B2376" s="1" t="n">
        <v>44498</v>
      </c>
      <c r="C2376" s="1" t="n">
        <v>45796</v>
      </c>
      <c r="D2376" t="inlineStr">
        <is>
          <t>SKÅNE LÄN</t>
        </is>
      </c>
      <c r="E2376" t="inlineStr">
        <is>
          <t>ÄNGELHOLM</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61269-2021</t>
        </is>
      </c>
      <c r="B2377" s="1" t="n">
        <v>44498</v>
      </c>
      <c r="C2377" s="1" t="n">
        <v>45796</v>
      </c>
      <c r="D2377" t="inlineStr">
        <is>
          <t>SKÅNE LÄN</t>
        </is>
      </c>
      <c r="E2377" t="inlineStr">
        <is>
          <t>ÄNGELHOLM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61263-2021</t>
        </is>
      </c>
      <c r="B2378" s="1" t="n">
        <v>44498</v>
      </c>
      <c r="C2378" s="1" t="n">
        <v>45796</v>
      </c>
      <c r="D2378" t="inlineStr">
        <is>
          <t>SKÅNE LÄN</t>
        </is>
      </c>
      <c r="E2378" t="inlineStr">
        <is>
          <t>ÄNGELHOLM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61353-2021</t>
        </is>
      </c>
      <c r="B2379" s="1" t="n">
        <v>44498</v>
      </c>
      <c r="C2379" s="1" t="n">
        <v>45796</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61650-2021</t>
        </is>
      </c>
      <c r="B2380" s="1" t="n">
        <v>44498</v>
      </c>
      <c r="C2380" s="1" t="n">
        <v>45796</v>
      </c>
      <c r="D2380" t="inlineStr">
        <is>
          <t>SKÅNE LÄN</t>
        </is>
      </c>
      <c r="E2380" t="inlineStr">
        <is>
          <t>ÖRKELLJUNGA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61510-2021</t>
        </is>
      </c>
      <c r="B2381" s="1" t="n">
        <v>44501</v>
      </c>
      <c r="C2381" s="1" t="n">
        <v>45796</v>
      </c>
      <c r="D2381" t="inlineStr">
        <is>
          <t>SKÅNE LÄN</t>
        </is>
      </c>
      <c r="E2381" t="inlineStr">
        <is>
          <t>HÄSSLEHOLM</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61495-2021</t>
        </is>
      </c>
      <c r="B2382" s="1" t="n">
        <v>44501</v>
      </c>
      <c r="C2382" s="1" t="n">
        <v>45796</v>
      </c>
      <c r="D2382" t="inlineStr">
        <is>
          <t>SKÅNE LÄN</t>
        </is>
      </c>
      <c r="E2382" t="inlineStr">
        <is>
          <t>SVALÖV</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61691-2021</t>
        </is>
      </c>
      <c r="B2383" s="1" t="n">
        <v>44501</v>
      </c>
      <c r="C2383" s="1" t="n">
        <v>45796</v>
      </c>
      <c r="D2383" t="inlineStr">
        <is>
          <t>SKÅNE LÄN</t>
        </is>
      </c>
      <c r="E2383" t="inlineStr">
        <is>
          <t>HÄSSLEHOLM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62157-2021</t>
        </is>
      </c>
      <c r="B2384" s="1" t="n">
        <v>44502</v>
      </c>
      <c r="C2384" s="1" t="n">
        <v>45796</v>
      </c>
      <c r="D2384" t="inlineStr">
        <is>
          <t>SKÅNE LÄN</t>
        </is>
      </c>
      <c r="E2384" t="inlineStr">
        <is>
          <t>OSBY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62282-2021</t>
        </is>
      </c>
      <c r="B2385" s="1" t="n">
        <v>44503</v>
      </c>
      <c r="C2385" s="1" t="n">
        <v>45796</v>
      </c>
      <c r="D2385" t="inlineStr">
        <is>
          <t>SKÅNE LÄN</t>
        </is>
      </c>
      <c r="E2385" t="inlineStr">
        <is>
          <t>KRISTIANSTAD</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62644-2021</t>
        </is>
      </c>
      <c r="B2386" s="1" t="n">
        <v>44503</v>
      </c>
      <c r="C2386" s="1" t="n">
        <v>45796</v>
      </c>
      <c r="D2386" t="inlineStr">
        <is>
          <t>SKÅNE LÄN</t>
        </is>
      </c>
      <c r="E2386" t="inlineStr">
        <is>
          <t>KLIPPAN</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63135-2021</t>
        </is>
      </c>
      <c r="B2387" s="1" t="n">
        <v>44505</v>
      </c>
      <c r="C2387" s="1" t="n">
        <v>45796</v>
      </c>
      <c r="D2387" t="inlineStr">
        <is>
          <t>SKÅNE LÄN</t>
        </is>
      </c>
      <c r="E2387" t="inlineStr">
        <is>
          <t>OSBY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63077-2021</t>
        </is>
      </c>
      <c r="B2388" s="1" t="n">
        <v>44505</v>
      </c>
      <c r="C2388" s="1" t="n">
        <v>45796</v>
      </c>
      <c r="D2388" t="inlineStr">
        <is>
          <t>SKÅNE LÄN</t>
        </is>
      </c>
      <c r="E2388" t="inlineStr">
        <is>
          <t>OSBY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63559-2021</t>
        </is>
      </c>
      <c r="B2389" s="1" t="n">
        <v>44508</v>
      </c>
      <c r="C2389" s="1" t="n">
        <v>45796</v>
      </c>
      <c r="D2389" t="inlineStr">
        <is>
          <t>SKÅNE LÄN</t>
        </is>
      </c>
      <c r="E2389" t="inlineStr">
        <is>
          <t>HÖRBY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63558-2021</t>
        </is>
      </c>
      <c r="B2390" s="1" t="n">
        <v>44508</v>
      </c>
      <c r="C2390" s="1" t="n">
        <v>45796</v>
      </c>
      <c r="D2390" t="inlineStr">
        <is>
          <t>SKÅNE LÄN</t>
        </is>
      </c>
      <c r="E2390" t="inlineStr">
        <is>
          <t>OSBY</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63767-2021</t>
        </is>
      </c>
      <c r="B2391" s="1" t="n">
        <v>44509</v>
      </c>
      <c r="C2391" s="1" t="n">
        <v>45796</v>
      </c>
      <c r="D2391" t="inlineStr">
        <is>
          <t>SKÅNE LÄN</t>
        </is>
      </c>
      <c r="E2391" t="inlineStr">
        <is>
          <t>HÄSSLEHOLM</t>
        </is>
      </c>
      <c r="F2391" t="inlineStr">
        <is>
          <t>Övriga Aktiebolag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63681-2021</t>
        </is>
      </c>
      <c r="B2392" s="1" t="n">
        <v>44509</v>
      </c>
      <c r="C2392" s="1" t="n">
        <v>45796</v>
      </c>
      <c r="D2392" t="inlineStr">
        <is>
          <t>SKÅNE LÄN</t>
        </is>
      </c>
      <c r="E2392" t="inlineStr">
        <is>
          <t>BROMÖLLA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64128-2021</t>
        </is>
      </c>
      <c r="B2393" s="1" t="n">
        <v>44509</v>
      </c>
      <c r="C2393" s="1" t="n">
        <v>45796</v>
      </c>
      <c r="D2393" t="inlineStr">
        <is>
          <t>SKÅNE LÄN</t>
        </is>
      </c>
      <c r="E2393" t="inlineStr">
        <is>
          <t>HÖRBY</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63913-2021</t>
        </is>
      </c>
      <c r="B2394" s="1" t="n">
        <v>44509</v>
      </c>
      <c r="C2394" s="1" t="n">
        <v>45796</v>
      </c>
      <c r="D2394" t="inlineStr">
        <is>
          <t>SKÅNE LÄN</t>
        </is>
      </c>
      <c r="E2394" t="inlineStr">
        <is>
          <t>HÖRBY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63972-2021</t>
        </is>
      </c>
      <c r="B2395" s="1" t="n">
        <v>44509</v>
      </c>
      <c r="C2395" s="1" t="n">
        <v>45796</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64141-2021</t>
        </is>
      </c>
      <c r="B2396" s="1" t="n">
        <v>44510</v>
      </c>
      <c r="C2396" s="1" t="n">
        <v>45796</v>
      </c>
      <c r="D2396" t="inlineStr">
        <is>
          <t>SKÅNE LÄN</t>
        </is>
      </c>
      <c r="E2396" t="inlineStr">
        <is>
          <t>OSBY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64144-2021</t>
        </is>
      </c>
      <c r="B2397" s="1" t="n">
        <v>44510</v>
      </c>
      <c r="C2397" s="1" t="n">
        <v>45796</v>
      </c>
      <c r="D2397" t="inlineStr">
        <is>
          <t>SKÅNE LÄN</t>
        </is>
      </c>
      <c r="E2397" t="inlineStr">
        <is>
          <t>OSBY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64255-2021</t>
        </is>
      </c>
      <c r="B2398" s="1" t="n">
        <v>44510</v>
      </c>
      <c r="C2398" s="1" t="n">
        <v>45796</v>
      </c>
      <c r="D2398" t="inlineStr">
        <is>
          <t>SKÅNE LÄN</t>
        </is>
      </c>
      <c r="E2398" t="inlineStr">
        <is>
          <t>HÖRBY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64469-2021</t>
        </is>
      </c>
      <c r="B2399" s="1" t="n">
        <v>44511</v>
      </c>
      <c r="C2399" s="1" t="n">
        <v>45796</v>
      </c>
      <c r="D2399" t="inlineStr">
        <is>
          <t>SKÅNE LÄN</t>
        </is>
      </c>
      <c r="E2399" t="inlineStr">
        <is>
          <t>OSBY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64607-2021</t>
        </is>
      </c>
      <c r="B2400" s="1" t="n">
        <v>44511</v>
      </c>
      <c r="C2400" s="1" t="n">
        <v>45796</v>
      </c>
      <c r="D2400" t="inlineStr">
        <is>
          <t>SKÅNE LÄN</t>
        </is>
      </c>
      <c r="E2400" t="inlineStr">
        <is>
          <t>HÄSSLEHOLM</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64627-2021</t>
        </is>
      </c>
      <c r="B2401" s="1" t="n">
        <v>44511</v>
      </c>
      <c r="C2401" s="1" t="n">
        <v>45796</v>
      </c>
      <c r="D2401" t="inlineStr">
        <is>
          <t>SKÅNE LÄN</t>
        </is>
      </c>
      <c r="E2401" t="inlineStr">
        <is>
          <t>PERSTORP</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64621-2021</t>
        </is>
      </c>
      <c r="B2402" s="1" t="n">
        <v>44511</v>
      </c>
      <c r="C2402" s="1" t="n">
        <v>45796</v>
      </c>
      <c r="D2402" t="inlineStr">
        <is>
          <t>SKÅNE LÄN</t>
        </is>
      </c>
      <c r="E2402" t="inlineStr">
        <is>
          <t>BROMÖLLA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64826-2021</t>
        </is>
      </c>
      <c r="B2403" s="1" t="n">
        <v>44512</v>
      </c>
      <c r="C2403" s="1" t="n">
        <v>45796</v>
      </c>
      <c r="D2403" t="inlineStr">
        <is>
          <t>SKÅNE LÄN</t>
        </is>
      </c>
      <c r="E2403" t="inlineStr">
        <is>
          <t>HÄSSLEHOLM</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65093-2021</t>
        </is>
      </c>
      <c r="B2404" s="1" t="n">
        <v>44513</v>
      </c>
      <c r="C2404" s="1" t="n">
        <v>45796</v>
      </c>
      <c r="D2404" t="inlineStr">
        <is>
          <t>SKÅNE LÄN</t>
        </is>
      </c>
      <c r="E2404" t="inlineStr">
        <is>
          <t>KRISTIANSTAD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65097-2021</t>
        </is>
      </c>
      <c r="B2405" s="1" t="n">
        <v>44513</v>
      </c>
      <c r="C2405" s="1" t="n">
        <v>45796</v>
      </c>
      <c r="D2405" t="inlineStr">
        <is>
          <t>SKÅNE LÄN</t>
        </is>
      </c>
      <c r="E2405" t="inlineStr">
        <is>
          <t>KRISTIANSTAD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65203-2021</t>
        </is>
      </c>
      <c r="B2406" s="1" t="n">
        <v>44515</v>
      </c>
      <c r="C2406" s="1" t="n">
        <v>45796</v>
      </c>
      <c r="D2406" t="inlineStr">
        <is>
          <t>SKÅNE LÄN</t>
        </is>
      </c>
      <c r="E2406" t="inlineStr">
        <is>
          <t>HÖÖR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65197-2021</t>
        </is>
      </c>
      <c r="B2407" s="1" t="n">
        <v>44515</v>
      </c>
      <c r="C2407" s="1" t="n">
        <v>45796</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65211-2021</t>
        </is>
      </c>
      <c r="B2408" s="1" t="n">
        <v>44515</v>
      </c>
      <c r="C2408" s="1" t="n">
        <v>45796</v>
      </c>
      <c r="D2408" t="inlineStr">
        <is>
          <t>SKÅNE LÄN</t>
        </is>
      </c>
      <c r="E2408" t="inlineStr">
        <is>
          <t>ÖRKELLJUNGA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65200-2021</t>
        </is>
      </c>
      <c r="B2409" s="1" t="n">
        <v>44515</v>
      </c>
      <c r="C2409" s="1" t="n">
        <v>45796</v>
      </c>
      <c r="D2409" t="inlineStr">
        <is>
          <t>SKÅNE LÄN</t>
        </is>
      </c>
      <c r="E2409" t="inlineStr">
        <is>
          <t>HÖÖR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65235-2021</t>
        </is>
      </c>
      <c r="B2410" s="1" t="n">
        <v>44515</v>
      </c>
      <c r="C2410" s="1" t="n">
        <v>45796</v>
      </c>
      <c r="D2410" t="inlineStr">
        <is>
          <t>SKÅNE LÄN</t>
        </is>
      </c>
      <c r="E2410" t="inlineStr">
        <is>
          <t>HÄSSLEHOLM</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65469-2021</t>
        </is>
      </c>
      <c r="B2411" s="1" t="n">
        <v>44516</v>
      </c>
      <c r="C2411" s="1" t="n">
        <v>45796</v>
      </c>
      <c r="D2411" t="inlineStr">
        <is>
          <t>SKÅNE LÄN</t>
        </is>
      </c>
      <c r="E2411" t="inlineStr">
        <is>
          <t>ÖRKELLJUNGA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65644-2021</t>
        </is>
      </c>
      <c r="B2412" s="1" t="n">
        <v>44516</v>
      </c>
      <c r="C2412" s="1" t="n">
        <v>45796</v>
      </c>
      <c r="D2412" t="inlineStr">
        <is>
          <t>SKÅNE LÄN</t>
        </is>
      </c>
      <c r="E2412" t="inlineStr">
        <is>
          <t>OSBY</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65640-2021</t>
        </is>
      </c>
      <c r="B2413" s="1" t="n">
        <v>44516</v>
      </c>
      <c r="C2413" s="1" t="n">
        <v>45796</v>
      </c>
      <c r="D2413" t="inlineStr">
        <is>
          <t>SKÅNE LÄN</t>
        </is>
      </c>
      <c r="E2413" t="inlineStr">
        <is>
          <t>TRELLEBORG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65642-2021</t>
        </is>
      </c>
      <c r="B2414" s="1" t="n">
        <v>44516</v>
      </c>
      <c r="C2414" s="1" t="n">
        <v>45796</v>
      </c>
      <c r="D2414" t="inlineStr">
        <is>
          <t>SKÅNE LÄN</t>
        </is>
      </c>
      <c r="E2414" t="inlineStr">
        <is>
          <t>TRELLEBORG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65675-2021</t>
        </is>
      </c>
      <c r="B2415" s="1" t="n">
        <v>44516</v>
      </c>
      <c r="C2415" s="1" t="n">
        <v>45796</v>
      </c>
      <c r="D2415" t="inlineStr">
        <is>
          <t>SKÅNE LÄN</t>
        </is>
      </c>
      <c r="E2415" t="inlineStr">
        <is>
          <t>TRELLEBORG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66099-2021</t>
        </is>
      </c>
      <c r="B2416" s="1" t="n">
        <v>44517</v>
      </c>
      <c r="C2416" s="1" t="n">
        <v>45796</v>
      </c>
      <c r="D2416" t="inlineStr">
        <is>
          <t>SKÅNE LÄN</t>
        </is>
      </c>
      <c r="E2416" t="inlineStr">
        <is>
          <t>HÖRBY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66321-2021</t>
        </is>
      </c>
      <c r="B2417" s="1" t="n">
        <v>44518</v>
      </c>
      <c r="C2417" s="1" t="n">
        <v>45796</v>
      </c>
      <c r="D2417" t="inlineStr">
        <is>
          <t>SKÅNE LÄN</t>
        </is>
      </c>
      <c r="E2417" t="inlineStr">
        <is>
          <t>HÄSSLEHOLM</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66449-2021</t>
        </is>
      </c>
      <c r="B2418" s="1" t="n">
        <v>44518</v>
      </c>
      <c r="C2418" s="1" t="n">
        <v>45796</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66413-2021</t>
        </is>
      </c>
      <c r="B2419" s="1" t="n">
        <v>44518</v>
      </c>
      <c r="C2419" s="1" t="n">
        <v>45796</v>
      </c>
      <c r="D2419" t="inlineStr">
        <is>
          <t>SKÅNE LÄN</t>
        </is>
      </c>
      <c r="E2419" t="inlineStr">
        <is>
          <t>HÄSSLEHOLM</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66526-2021</t>
        </is>
      </c>
      <c r="B2420" s="1" t="n">
        <v>44519</v>
      </c>
      <c r="C2420" s="1" t="n">
        <v>45796</v>
      </c>
      <c r="D2420" t="inlineStr">
        <is>
          <t>SKÅNE LÄN</t>
        </is>
      </c>
      <c r="E2420" t="inlineStr">
        <is>
          <t>ÖSTRA GÖINGE</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66518-2021</t>
        </is>
      </c>
      <c r="B2421" s="1" t="n">
        <v>44519</v>
      </c>
      <c r="C2421" s="1" t="n">
        <v>45796</v>
      </c>
      <c r="D2421" t="inlineStr">
        <is>
          <t>SKÅNE LÄN</t>
        </is>
      </c>
      <c r="E2421" t="inlineStr">
        <is>
          <t>HÄSSLEHOLM</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66520-2021</t>
        </is>
      </c>
      <c r="B2422" s="1" t="n">
        <v>44519</v>
      </c>
      <c r="C2422" s="1" t="n">
        <v>45796</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66803-2021</t>
        </is>
      </c>
      <c r="B2423" s="1" t="n">
        <v>44522</v>
      </c>
      <c r="C2423" s="1" t="n">
        <v>45796</v>
      </c>
      <c r="D2423" t="inlineStr">
        <is>
          <t>SKÅNE LÄN</t>
        </is>
      </c>
      <c r="E2423" t="inlineStr">
        <is>
          <t>PERSTORP</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66987-2021</t>
        </is>
      </c>
      <c r="B2424" s="1" t="n">
        <v>44522</v>
      </c>
      <c r="C2424" s="1" t="n">
        <v>45796</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66984-2021</t>
        </is>
      </c>
      <c r="B2425" s="1" t="n">
        <v>44522</v>
      </c>
      <c r="C2425" s="1" t="n">
        <v>45796</v>
      </c>
      <c r="D2425" t="inlineStr">
        <is>
          <t>SKÅNE LÄN</t>
        </is>
      </c>
      <c r="E2425" t="inlineStr">
        <is>
          <t>OSBY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67024-2021</t>
        </is>
      </c>
      <c r="B2426" s="1" t="n">
        <v>44522</v>
      </c>
      <c r="C2426" s="1" t="n">
        <v>45796</v>
      </c>
      <c r="D2426" t="inlineStr">
        <is>
          <t>SKÅNE LÄN</t>
        </is>
      </c>
      <c r="E2426" t="inlineStr">
        <is>
          <t>KRISTIANSTAD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67150-2021</t>
        </is>
      </c>
      <c r="B2427" s="1" t="n">
        <v>44523</v>
      </c>
      <c r="C2427" s="1" t="n">
        <v>45796</v>
      </c>
      <c r="D2427" t="inlineStr">
        <is>
          <t>SKÅNE LÄN</t>
        </is>
      </c>
      <c r="E2427" t="inlineStr">
        <is>
          <t>HÄSSLEHOLM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67222-2021</t>
        </is>
      </c>
      <c r="B2428" s="1" t="n">
        <v>44523</v>
      </c>
      <c r="C2428" s="1" t="n">
        <v>45796</v>
      </c>
      <c r="D2428" t="inlineStr">
        <is>
          <t>SKÅNE LÄN</t>
        </is>
      </c>
      <c r="E2428" t="inlineStr">
        <is>
          <t>OSBY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67355-2021</t>
        </is>
      </c>
      <c r="B2429" s="1" t="n">
        <v>44523</v>
      </c>
      <c r="C2429" s="1" t="n">
        <v>45796</v>
      </c>
      <c r="D2429" t="inlineStr">
        <is>
          <t>SKÅNE LÄN</t>
        </is>
      </c>
      <c r="E2429" t="inlineStr">
        <is>
          <t>HÄSSLEHOLM</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67332-2021</t>
        </is>
      </c>
      <c r="B2430" s="1" t="n">
        <v>44523</v>
      </c>
      <c r="C2430" s="1" t="n">
        <v>45796</v>
      </c>
      <c r="D2430" t="inlineStr">
        <is>
          <t>SKÅNE LÄN</t>
        </is>
      </c>
      <c r="E2430" t="inlineStr">
        <is>
          <t>OSBY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67426-2021</t>
        </is>
      </c>
      <c r="B2431" s="1" t="n">
        <v>44523</v>
      </c>
      <c r="C2431" s="1" t="n">
        <v>45796</v>
      </c>
      <c r="D2431" t="inlineStr">
        <is>
          <t>SKÅNE LÄN</t>
        </is>
      </c>
      <c r="E2431" t="inlineStr">
        <is>
          <t>HÖRBY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67347-2021</t>
        </is>
      </c>
      <c r="B2432" s="1" t="n">
        <v>44523</v>
      </c>
      <c r="C2432" s="1" t="n">
        <v>45796</v>
      </c>
      <c r="D2432" t="inlineStr">
        <is>
          <t>SKÅNE LÄN</t>
        </is>
      </c>
      <c r="E2432" t="inlineStr">
        <is>
          <t>OSBY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67456-2021</t>
        </is>
      </c>
      <c r="B2433" s="1" t="n">
        <v>44524</v>
      </c>
      <c r="C2433" s="1" t="n">
        <v>45796</v>
      </c>
      <c r="D2433" t="inlineStr">
        <is>
          <t>SKÅNE LÄN</t>
        </is>
      </c>
      <c r="E2433" t="inlineStr">
        <is>
          <t>SVEDALA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67517-2021</t>
        </is>
      </c>
      <c r="B2434" s="1" t="n">
        <v>44524</v>
      </c>
      <c r="C2434" s="1" t="n">
        <v>45796</v>
      </c>
      <c r="D2434" t="inlineStr">
        <is>
          <t>SKÅNE LÄN</t>
        </is>
      </c>
      <c r="E2434" t="inlineStr">
        <is>
          <t>HÄSSLEHOLM</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67616-2021</t>
        </is>
      </c>
      <c r="B2435" s="1" t="n">
        <v>44524</v>
      </c>
      <c r="C2435" s="1" t="n">
        <v>45796</v>
      </c>
      <c r="D2435" t="inlineStr">
        <is>
          <t>SKÅNE LÄN</t>
        </is>
      </c>
      <c r="E2435" t="inlineStr">
        <is>
          <t>OSBY</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67613-2021</t>
        </is>
      </c>
      <c r="B2436" s="1" t="n">
        <v>44524</v>
      </c>
      <c r="C2436" s="1" t="n">
        <v>45796</v>
      </c>
      <c r="D2436" t="inlineStr">
        <is>
          <t>SKÅNE LÄN</t>
        </is>
      </c>
      <c r="E2436" t="inlineStr">
        <is>
          <t>OSBY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67669-2021</t>
        </is>
      </c>
      <c r="B2437" s="1" t="n">
        <v>44524</v>
      </c>
      <c r="C2437" s="1" t="n">
        <v>45796</v>
      </c>
      <c r="D2437" t="inlineStr">
        <is>
          <t>SKÅNE LÄN</t>
        </is>
      </c>
      <c r="E2437" t="inlineStr">
        <is>
          <t>PERSTORP</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67671-2021</t>
        </is>
      </c>
      <c r="B2438" s="1" t="n">
        <v>44524</v>
      </c>
      <c r="C2438" s="1" t="n">
        <v>45796</v>
      </c>
      <c r="D2438" t="inlineStr">
        <is>
          <t>SKÅNE LÄN</t>
        </is>
      </c>
      <c r="E2438" t="inlineStr">
        <is>
          <t>PERSTORP</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67801-2021</t>
        </is>
      </c>
      <c r="B2439" s="1" t="n">
        <v>44525</v>
      </c>
      <c r="C2439" s="1" t="n">
        <v>45796</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68007-2021</t>
        </is>
      </c>
      <c r="B2440" s="1" t="n">
        <v>44525</v>
      </c>
      <c r="C2440" s="1" t="n">
        <v>45796</v>
      </c>
      <c r="D2440" t="inlineStr">
        <is>
          <t>SKÅNE LÄN</t>
        </is>
      </c>
      <c r="E2440" t="inlineStr">
        <is>
          <t>SJÖBO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68005-2021</t>
        </is>
      </c>
      <c r="B2441" s="1" t="n">
        <v>44525</v>
      </c>
      <c r="C2441" s="1" t="n">
        <v>45796</v>
      </c>
      <c r="D2441" t="inlineStr">
        <is>
          <t>SKÅNE LÄN</t>
        </is>
      </c>
      <c r="E2441" t="inlineStr">
        <is>
          <t>LUND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68082-2021</t>
        </is>
      </c>
      <c r="B2442" s="1" t="n">
        <v>44526</v>
      </c>
      <c r="C2442" s="1" t="n">
        <v>45796</v>
      </c>
      <c r="D2442" t="inlineStr">
        <is>
          <t>SKÅNE LÄN</t>
        </is>
      </c>
      <c r="E2442" t="inlineStr">
        <is>
          <t>ÖRKELLJUNGA</t>
        </is>
      </c>
      <c r="G2442" t="n">
        <v>19.7</v>
      </c>
      <c r="H2442" t="n">
        <v>0</v>
      </c>
      <c r="I2442" t="n">
        <v>0</v>
      </c>
      <c r="J2442" t="n">
        <v>0</v>
      </c>
      <c r="K2442" t="n">
        <v>0</v>
      </c>
      <c r="L2442" t="n">
        <v>0</v>
      </c>
      <c r="M2442" t="n">
        <v>0</v>
      </c>
      <c r="N2442" t="n">
        <v>0</v>
      </c>
      <c r="O2442" t="n">
        <v>0</v>
      </c>
      <c r="P2442" t="n">
        <v>0</v>
      </c>
      <c r="Q2442" t="n">
        <v>0</v>
      </c>
      <c r="R2442" s="2" t="inlineStr"/>
    </row>
    <row r="2443" ht="15" customHeight="1">
      <c r="A2443" t="inlineStr">
        <is>
          <t>A 68408-2021</t>
        </is>
      </c>
      <c r="B2443" s="1" t="n">
        <v>44526</v>
      </c>
      <c r="C2443" s="1" t="n">
        <v>45796</v>
      </c>
      <c r="D2443" t="inlineStr">
        <is>
          <t>SKÅNE LÄN</t>
        </is>
      </c>
      <c r="E2443" t="inlineStr">
        <is>
          <t>HÄSSLEHOLM</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68487-2021</t>
        </is>
      </c>
      <c r="B2444" s="1" t="n">
        <v>44529</v>
      </c>
      <c r="C2444" s="1" t="n">
        <v>45796</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68592-2021</t>
        </is>
      </c>
      <c r="B2445" s="1" t="n">
        <v>44529</v>
      </c>
      <c r="C2445" s="1" t="n">
        <v>45796</v>
      </c>
      <c r="D2445" t="inlineStr">
        <is>
          <t>SKÅNE LÄN</t>
        </is>
      </c>
      <c r="E2445" t="inlineStr">
        <is>
          <t>OSBY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69041-2021</t>
        </is>
      </c>
      <c r="B2446" s="1" t="n">
        <v>44529</v>
      </c>
      <c r="C2446" s="1" t="n">
        <v>45796</v>
      </c>
      <c r="D2446" t="inlineStr">
        <is>
          <t>SKÅNE LÄN</t>
        </is>
      </c>
      <c r="E2446" t="inlineStr">
        <is>
          <t>KLIPPAN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68909-2021</t>
        </is>
      </c>
      <c r="B2447" s="1" t="n">
        <v>44530</v>
      </c>
      <c r="C2447" s="1" t="n">
        <v>45796</v>
      </c>
      <c r="D2447" t="inlineStr">
        <is>
          <t>SKÅNE LÄN</t>
        </is>
      </c>
      <c r="E2447" t="inlineStr">
        <is>
          <t>HÄSSLEHOLM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69072-2021</t>
        </is>
      </c>
      <c r="B2448" s="1" t="n">
        <v>44530</v>
      </c>
      <c r="C2448" s="1" t="n">
        <v>45796</v>
      </c>
      <c r="D2448" t="inlineStr">
        <is>
          <t>SKÅNE LÄN</t>
        </is>
      </c>
      <c r="E2448" t="inlineStr">
        <is>
          <t>OSBY</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69088-2021</t>
        </is>
      </c>
      <c r="B2449" s="1" t="n">
        <v>44530</v>
      </c>
      <c r="C2449" s="1" t="n">
        <v>45796</v>
      </c>
      <c r="D2449" t="inlineStr">
        <is>
          <t>SKÅNE LÄN</t>
        </is>
      </c>
      <c r="E2449" t="inlineStr">
        <is>
          <t>OSBY</t>
        </is>
      </c>
      <c r="F2449" t="inlineStr">
        <is>
          <t>Kommuner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69093-2021</t>
        </is>
      </c>
      <c r="B2450" s="1" t="n">
        <v>44530</v>
      </c>
      <c r="C2450" s="1" t="n">
        <v>45796</v>
      </c>
      <c r="D2450" t="inlineStr">
        <is>
          <t>SKÅNE LÄN</t>
        </is>
      </c>
      <c r="E2450" t="inlineStr">
        <is>
          <t>OSBY</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68856-2021</t>
        </is>
      </c>
      <c r="B2451" s="1" t="n">
        <v>44530</v>
      </c>
      <c r="C2451" s="1" t="n">
        <v>45796</v>
      </c>
      <c r="D2451" t="inlineStr">
        <is>
          <t>SKÅNE LÄN</t>
        </is>
      </c>
      <c r="E2451" t="inlineStr">
        <is>
          <t>KLIPPAN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69375-2021</t>
        </is>
      </c>
      <c r="B2452" s="1" t="n">
        <v>44531</v>
      </c>
      <c r="C2452" s="1" t="n">
        <v>45796</v>
      </c>
      <c r="D2452" t="inlineStr">
        <is>
          <t>SKÅNE LÄN</t>
        </is>
      </c>
      <c r="E2452" t="inlineStr">
        <is>
          <t>ÖSTRA GÖINGE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69387-2021</t>
        </is>
      </c>
      <c r="B2453" s="1" t="n">
        <v>44531</v>
      </c>
      <c r="C2453" s="1" t="n">
        <v>45796</v>
      </c>
      <c r="D2453" t="inlineStr">
        <is>
          <t>SKÅNE LÄN</t>
        </is>
      </c>
      <c r="E2453" t="inlineStr">
        <is>
          <t>ÖSTRA GÖINGE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69394-2021</t>
        </is>
      </c>
      <c r="B2454" s="1" t="n">
        <v>44531</v>
      </c>
      <c r="C2454" s="1" t="n">
        <v>45796</v>
      </c>
      <c r="D2454" t="inlineStr">
        <is>
          <t>SKÅNE LÄN</t>
        </is>
      </c>
      <c r="E2454" t="inlineStr">
        <is>
          <t>KLIPPAN</t>
        </is>
      </c>
      <c r="F2454" t="inlineStr">
        <is>
          <t>Övriga Aktiebolag</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69357-2021</t>
        </is>
      </c>
      <c r="B2455" s="1" t="n">
        <v>44531</v>
      </c>
      <c r="C2455" s="1" t="n">
        <v>45796</v>
      </c>
      <c r="D2455" t="inlineStr">
        <is>
          <t>SKÅNE LÄN</t>
        </is>
      </c>
      <c r="E2455" t="inlineStr">
        <is>
          <t>HÄSSLEHOLM</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69393-2021</t>
        </is>
      </c>
      <c r="B2456" s="1" t="n">
        <v>44531</v>
      </c>
      <c r="C2456" s="1" t="n">
        <v>45796</v>
      </c>
      <c r="D2456" t="inlineStr">
        <is>
          <t>SKÅNE LÄN</t>
        </is>
      </c>
      <c r="E2456" t="inlineStr">
        <is>
          <t>ÖSTRA GÖINGE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69376-2021</t>
        </is>
      </c>
      <c r="B2457" s="1" t="n">
        <v>44531</v>
      </c>
      <c r="C2457" s="1" t="n">
        <v>45796</v>
      </c>
      <c r="D2457" t="inlineStr">
        <is>
          <t>SKÅNE LÄN</t>
        </is>
      </c>
      <c r="E2457" t="inlineStr">
        <is>
          <t>ÖSTRA GÖINGE</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69383-2021</t>
        </is>
      </c>
      <c r="B2458" s="1" t="n">
        <v>44531</v>
      </c>
      <c r="C2458" s="1" t="n">
        <v>45796</v>
      </c>
      <c r="D2458" t="inlineStr">
        <is>
          <t>SKÅNE LÄN</t>
        </is>
      </c>
      <c r="E2458" t="inlineStr">
        <is>
          <t>ÖSTRA GÖINGE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69390-2021</t>
        </is>
      </c>
      <c r="B2459" s="1" t="n">
        <v>44531</v>
      </c>
      <c r="C2459" s="1" t="n">
        <v>45796</v>
      </c>
      <c r="D2459" t="inlineStr">
        <is>
          <t>SKÅNE LÄN</t>
        </is>
      </c>
      <c r="E2459" t="inlineStr">
        <is>
          <t>ÖSTRA GÖINGE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69384-2021</t>
        </is>
      </c>
      <c r="B2460" s="1" t="n">
        <v>44531</v>
      </c>
      <c r="C2460" s="1" t="n">
        <v>45796</v>
      </c>
      <c r="D2460" t="inlineStr">
        <is>
          <t>SKÅNE LÄN</t>
        </is>
      </c>
      <c r="E2460" t="inlineStr">
        <is>
          <t>ÖSTRA GÖINGE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69392-2021</t>
        </is>
      </c>
      <c r="B2461" s="1" t="n">
        <v>44531</v>
      </c>
      <c r="C2461" s="1" t="n">
        <v>45796</v>
      </c>
      <c r="D2461" t="inlineStr">
        <is>
          <t>SKÅNE LÄN</t>
        </is>
      </c>
      <c r="E2461" t="inlineStr">
        <is>
          <t>KLIPPAN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69419-2021</t>
        </is>
      </c>
      <c r="B2462" s="1" t="n">
        <v>44531</v>
      </c>
      <c r="C2462" s="1" t="n">
        <v>45796</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70087-2021</t>
        </is>
      </c>
      <c r="B2463" s="1" t="n">
        <v>44533</v>
      </c>
      <c r="C2463" s="1" t="n">
        <v>45796</v>
      </c>
      <c r="D2463" t="inlineStr">
        <is>
          <t>SKÅNE LÄN</t>
        </is>
      </c>
      <c r="E2463" t="inlineStr">
        <is>
          <t>HÄSSLEHOLM</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70163-2021</t>
        </is>
      </c>
      <c r="B2464" s="1" t="n">
        <v>44533</v>
      </c>
      <c r="C2464" s="1" t="n">
        <v>45796</v>
      </c>
      <c r="D2464" t="inlineStr">
        <is>
          <t>SKÅNE LÄN</t>
        </is>
      </c>
      <c r="E2464" t="inlineStr">
        <is>
          <t>KLIPPAN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69993-2021</t>
        </is>
      </c>
      <c r="B2465" s="1" t="n">
        <v>44533</v>
      </c>
      <c r="C2465" s="1" t="n">
        <v>45796</v>
      </c>
      <c r="D2465" t="inlineStr">
        <is>
          <t>SKÅNE LÄN</t>
        </is>
      </c>
      <c r="E2465" t="inlineStr">
        <is>
          <t>KRISTIANSTAD</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70357-2021</t>
        </is>
      </c>
      <c r="B2466" s="1" t="n">
        <v>44536</v>
      </c>
      <c r="C2466" s="1" t="n">
        <v>45796</v>
      </c>
      <c r="D2466" t="inlineStr">
        <is>
          <t>SKÅNE LÄN</t>
        </is>
      </c>
      <c r="E2466" t="inlineStr">
        <is>
          <t>KRISTIANSTAD</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70705-2021</t>
        </is>
      </c>
      <c r="B2467" s="1" t="n">
        <v>44537</v>
      </c>
      <c r="C2467" s="1" t="n">
        <v>45796</v>
      </c>
      <c r="D2467" t="inlineStr">
        <is>
          <t>SKÅNE LÄN</t>
        </is>
      </c>
      <c r="E2467" t="inlineStr">
        <is>
          <t>KRISTIANSTAD</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70802-2021</t>
        </is>
      </c>
      <c r="B2468" s="1" t="n">
        <v>44537</v>
      </c>
      <c r="C2468" s="1" t="n">
        <v>45796</v>
      </c>
      <c r="D2468" t="inlineStr">
        <is>
          <t>SKÅNE LÄN</t>
        </is>
      </c>
      <c r="E2468" t="inlineStr">
        <is>
          <t>ÖRKELLJUNGA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70982-2021</t>
        </is>
      </c>
      <c r="B2469" s="1" t="n">
        <v>44538</v>
      </c>
      <c r="C2469" s="1" t="n">
        <v>45796</v>
      </c>
      <c r="D2469" t="inlineStr">
        <is>
          <t>SKÅNE LÄN</t>
        </is>
      </c>
      <c r="E2469" t="inlineStr">
        <is>
          <t>HÖÖR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70933-2021</t>
        </is>
      </c>
      <c r="B2470" s="1" t="n">
        <v>44538</v>
      </c>
      <c r="C2470" s="1" t="n">
        <v>45796</v>
      </c>
      <c r="D2470" t="inlineStr">
        <is>
          <t>SKÅNE LÄN</t>
        </is>
      </c>
      <c r="E2470" t="inlineStr">
        <is>
          <t>SJÖBO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70984-2021</t>
        </is>
      </c>
      <c r="B2471" s="1" t="n">
        <v>44538</v>
      </c>
      <c r="C2471" s="1" t="n">
        <v>45796</v>
      </c>
      <c r="D2471" t="inlineStr">
        <is>
          <t>SKÅNE LÄN</t>
        </is>
      </c>
      <c r="E2471" t="inlineStr">
        <is>
          <t>HÖÖR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71056-2021</t>
        </is>
      </c>
      <c r="B2472" s="1" t="n">
        <v>44538</v>
      </c>
      <c r="C2472" s="1" t="n">
        <v>45796</v>
      </c>
      <c r="D2472" t="inlineStr">
        <is>
          <t>SKÅNE LÄN</t>
        </is>
      </c>
      <c r="E2472" t="inlineStr">
        <is>
          <t>SJÖBO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71747-2021</t>
        </is>
      </c>
      <c r="B2473" s="1" t="n">
        <v>44539</v>
      </c>
      <c r="C2473" s="1" t="n">
        <v>45796</v>
      </c>
      <c r="D2473" t="inlineStr">
        <is>
          <t>SKÅNE LÄN</t>
        </is>
      </c>
      <c r="E2473" t="inlineStr">
        <is>
          <t>ÖSTRA GÖINGE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71741-2021</t>
        </is>
      </c>
      <c r="B2474" s="1" t="n">
        <v>44539</v>
      </c>
      <c r="C2474" s="1" t="n">
        <v>45796</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71383-2021</t>
        </is>
      </c>
      <c r="B2475" s="1" t="n">
        <v>44540</v>
      </c>
      <c r="C2475" s="1" t="n">
        <v>45796</v>
      </c>
      <c r="D2475" t="inlineStr">
        <is>
          <t>SKÅNE LÄN</t>
        </is>
      </c>
      <c r="E2475" t="inlineStr">
        <is>
          <t>KRISTIANSTAD</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71637-2021</t>
        </is>
      </c>
      <c r="B2476" s="1" t="n">
        <v>44543</v>
      </c>
      <c r="C2476" s="1" t="n">
        <v>45796</v>
      </c>
      <c r="D2476" t="inlineStr">
        <is>
          <t>SKÅNE LÄN</t>
        </is>
      </c>
      <c r="E2476" t="inlineStr">
        <is>
          <t>ÖRKELLJUNGA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72100-2021</t>
        </is>
      </c>
      <c r="B2477" s="1" t="n">
        <v>44544</v>
      </c>
      <c r="C2477" s="1" t="n">
        <v>45796</v>
      </c>
      <c r="D2477" t="inlineStr">
        <is>
          <t>SKÅNE LÄN</t>
        </is>
      </c>
      <c r="E2477" t="inlineStr">
        <is>
          <t>KRISTIANSTAD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72261-2021</t>
        </is>
      </c>
      <c r="B2478" s="1" t="n">
        <v>44545</v>
      </c>
      <c r="C2478" s="1" t="n">
        <v>45796</v>
      </c>
      <c r="D2478" t="inlineStr">
        <is>
          <t>SKÅNE LÄN</t>
        </is>
      </c>
      <c r="E2478" t="inlineStr">
        <is>
          <t>ÖRKELLJUNGA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72707-2021</t>
        </is>
      </c>
      <c r="B2479" s="1" t="n">
        <v>44546</v>
      </c>
      <c r="C2479" s="1" t="n">
        <v>45796</v>
      </c>
      <c r="D2479" t="inlineStr">
        <is>
          <t>SKÅNE LÄN</t>
        </is>
      </c>
      <c r="E2479" t="inlineStr">
        <is>
          <t>ÖRKELLJUNGA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72746-2021</t>
        </is>
      </c>
      <c r="B2480" s="1" t="n">
        <v>44546</v>
      </c>
      <c r="C2480" s="1" t="n">
        <v>45796</v>
      </c>
      <c r="D2480" t="inlineStr">
        <is>
          <t>SKÅNE LÄN</t>
        </is>
      </c>
      <c r="E2480" t="inlineStr">
        <is>
          <t>ÖSTRA GÖINGE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73544-2021</t>
        </is>
      </c>
      <c r="B2481" s="1" t="n">
        <v>44551</v>
      </c>
      <c r="C2481" s="1" t="n">
        <v>45796</v>
      </c>
      <c r="D2481" t="inlineStr">
        <is>
          <t>SKÅNE LÄN</t>
        </is>
      </c>
      <c r="E2481" t="inlineStr">
        <is>
          <t>HÖÖR</t>
        </is>
      </c>
      <c r="F2481" t="inlineStr">
        <is>
          <t>Övriga statliga verk och myndigheter</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73513-2021</t>
        </is>
      </c>
      <c r="B2482" s="1" t="n">
        <v>44551</v>
      </c>
      <c r="C2482" s="1" t="n">
        <v>45796</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73830-2021</t>
        </is>
      </c>
      <c r="B2483" s="1" t="n">
        <v>44552</v>
      </c>
      <c r="C2483" s="1" t="n">
        <v>45796</v>
      </c>
      <c r="D2483" t="inlineStr">
        <is>
          <t>SKÅNE LÄN</t>
        </is>
      </c>
      <c r="E2483" t="inlineStr">
        <is>
          <t>ÖRKELLJUNGA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74030-2021</t>
        </is>
      </c>
      <c r="B2484" s="1" t="n">
        <v>44553</v>
      </c>
      <c r="C2484" s="1" t="n">
        <v>45796</v>
      </c>
      <c r="D2484" t="inlineStr">
        <is>
          <t>SKÅNE LÄN</t>
        </is>
      </c>
      <c r="E2484" t="inlineStr">
        <is>
          <t>HÄSSLEHOLM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74214-2021</t>
        </is>
      </c>
      <c r="B2485" s="1" t="n">
        <v>44553</v>
      </c>
      <c r="C2485" s="1" t="n">
        <v>45796</v>
      </c>
      <c r="D2485" t="inlineStr">
        <is>
          <t>SKÅNE LÄN</t>
        </is>
      </c>
      <c r="E2485" t="inlineStr">
        <is>
          <t>ÄNGELHOLM</t>
        </is>
      </c>
      <c r="G2485" t="n">
        <v>19.8</v>
      </c>
      <c r="H2485" t="n">
        <v>0</v>
      </c>
      <c r="I2485" t="n">
        <v>0</v>
      </c>
      <c r="J2485" t="n">
        <v>0</v>
      </c>
      <c r="K2485" t="n">
        <v>0</v>
      </c>
      <c r="L2485" t="n">
        <v>0</v>
      </c>
      <c r="M2485" t="n">
        <v>0</v>
      </c>
      <c r="N2485" t="n">
        <v>0</v>
      </c>
      <c r="O2485" t="n">
        <v>0</v>
      </c>
      <c r="P2485" t="n">
        <v>0</v>
      </c>
      <c r="Q2485" t="n">
        <v>0</v>
      </c>
      <c r="R2485" s="2" t="inlineStr"/>
    </row>
    <row r="2486" ht="15" customHeight="1">
      <c r="A2486" t="inlineStr">
        <is>
          <t>A 73920-2021</t>
        </is>
      </c>
      <c r="B2486" s="1" t="n">
        <v>44553</v>
      </c>
      <c r="C2486" s="1" t="n">
        <v>45796</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73927-2021</t>
        </is>
      </c>
      <c r="B2487" s="1" t="n">
        <v>44553</v>
      </c>
      <c r="C2487" s="1" t="n">
        <v>45796</v>
      </c>
      <c r="D2487" t="inlineStr">
        <is>
          <t>SKÅNE LÄN</t>
        </is>
      </c>
      <c r="E2487" t="inlineStr">
        <is>
          <t>OSBY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74008-2021</t>
        </is>
      </c>
      <c r="B2488" s="1" t="n">
        <v>44553</v>
      </c>
      <c r="C2488" s="1" t="n">
        <v>45796</v>
      </c>
      <c r="D2488" t="inlineStr">
        <is>
          <t>SKÅNE LÄN</t>
        </is>
      </c>
      <c r="E2488" t="inlineStr">
        <is>
          <t>ESLÖV</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74036-2021</t>
        </is>
      </c>
      <c r="B2489" s="1" t="n">
        <v>44557</v>
      </c>
      <c r="C2489" s="1" t="n">
        <v>45796</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74018-2021</t>
        </is>
      </c>
      <c r="B2490" s="1" t="n">
        <v>44557</v>
      </c>
      <c r="C2490" s="1" t="n">
        <v>45796</v>
      </c>
      <c r="D2490" t="inlineStr">
        <is>
          <t>SKÅNE LÄN</t>
        </is>
      </c>
      <c r="E2490" t="inlineStr">
        <is>
          <t>OSBY</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74033-2021</t>
        </is>
      </c>
      <c r="B2491" s="1" t="n">
        <v>44557</v>
      </c>
      <c r="C2491" s="1" t="n">
        <v>45796</v>
      </c>
      <c r="D2491" t="inlineStr">
        <is>
          <t>SKÅNE LÄN</t>
        </is>
      </c>
      <c r="E2491" t="inlineStr">
        <is>
          <t>OSBY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74016-2021</t>
        </is>
      </c>
      <c r="B2492" s="1" t="n">
        <v>44557</v>
      </c>
      <c r="C2492" s="1" t="n">
        <v>45796</v>
      </c>
      <c r="D2492" t="inlineStr">
        <is>
          <t>SKÅNE LÄN</t>
        </is>
      </c>
      <c r="E2492" t="inlineStr">
        <is>
          <t>OSBY</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74050-2021</t>
        </is>
      </c>
      <c r="B2493" s="1" t="n">
        <v>44557</v>
      </c>
      <c r="C2493" s="1" t="n">
        <v>45796</v>
      </c>
      <c r="D2493" t="inlineStr">
        <is>
          <t>SKÅNE LÄN</t>
        </is>
      </c>
      <c r="E2493" t="inlineStr">
        <is>
          <t>OSBY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74093-2021</t>
        </is>
      </c>
      <c r="B2494" s="1" t="n">
        <v>44557</v>
      </c>
      <c r="C2494" s="1" t="n">
        <v>45796</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74078-2021</t>
        </is>
      </c>
      <c r="B2495" s="1" t="n">
        <v>44557</v>
      </c>
      <c r="C2495" s="1" t="n">
        <v>45796</v>
      </c>
      <c r="D2495" t="inlineStr">
        <is>
          <t>SKÅNE LÄN</t>
        </is>
      </c>
      <c r="E2495" t="inlineStr">
        <is>
          <t>ÖSTRA GÖINGE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74112-2021</t>
        </is>
      </c>
      <c r="B2496" s="1" t="n">
        <v>44557</v>
      </c>
      <c r="C2496" s="1" t="n">
        <v>45796</v>
      </c>
      <c r="D2496" t="inlineStr">
        <is>
          <t>SKÅNE LÄN</t>
        </is>
      </c>
      <c r="E2496" t="inlineStr">
        <is>
          <t>ÖSTRA GÖINGE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74141-2021</t>
        </is>
      </c>
      <c r="B2497" s="1" t="n">
        <v>44557</v>
      </c>
      <c r="C2497" s="1" t="n">
        <v>45796</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74137-2021</t>
        </is>
      </c>
      <c r="B2498" s="1" t="n">
        <v>44557</v>
      </c>
      <c r="C2498" s="1" t="n">
        <v>45796</v>
      </c>
      <c r="D2498" t="inlineStr">
        <is>
          <t>SKÅNE LÄN</t>
        </is>
      </c>
      <c r="E2498" t="inlineStr">
        <is>
          <t>ÖSTRA GÖINGE</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74144-2021</t>
        </is>
      </c>
      <c r="B2499" s="1" t="n">
        <v>44558</v>
      </c>
      <c r="C2499" s="1" t="n">
        <v>45796</v>
      </c>
      <c r="D2499" t="inlineStr">
        <is>
          <t>SKÅNE LÄN</t>
        </is>
      </c>
      <c r="E2499" t="inlineStr">
        <is>
          <t>ÖSTRA GÖINGE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74073-2021</t>
        </is>
      </c>
      <c r="B2500" s="1" t="n">
        <v>44557</v>
      </c>
      <c r="C2500" s="1" t="n">
        <v>45796</v>
      </c>
      <c r="D2500" t="inlineStr">
        <is>
          <t>SKÅNE LÄN</t>
        </is>
      </c>
      <c r="E2500" t="inlineStr">
        <is>
          <t>OSBY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74094-2021</t>
        </is>
      </c>
      <c r="B2501" s="1" t="n">
        <v>44557</v>
      </c>
      <c r="C2501" s="1" t="n">
        <v>45796</v>
      </c>
      <c r="D2501" t="inlineStr">
        <is>
          <t>SKÅNE LÄN</t>
        </is>
      </c>
      <c r="E2501" t="inlineStr">
        <is>
          <t>ÖSTRA GÖINGE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74142-2021</t>
        </is>
      </c>
      <c r="B2502" s="1" t="n">
        <v>44557</v>
      </c>
      <c r="C2502" s="1" t="n">
        <v>45796</v>
      </c>
      <c r="D2502" t="inlineStr">
        <is>
          <t>SKÅNE LÄN</t>
        </is>
      </c>
      <c r="E2502" t="inlineStr">
        <is>
          <t>ÖSTRA GÖINGE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74135-2021</t>
        </is>
      </c>
      <c r="B2503" s="1" t="n">
        <v>44557</v>
      </c>
      <c r="C2503" s="1" t="n">
        <v>45796</v>
      </c>
      <c r="D2503" t="inlineStr">
        <is>
          <t>SKÅNE LÄN</t>
        </is>
      </c>
      <c r="E2503" t="inlineStr">
        <is>
          <t>ÖSTRA GÖINGE</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74143-2021</t>
        </is>
      </c>
      <c r="B2504" s="1" t="n">
        <v>44557</v>
      </c>
      <c r="C2504" s="1" t="n">
        <v>45796</v>
      </c>
      <c r="D2504" t="inlineStr">
        <is>
          <t>SKÅNE LÄN</t>
        </is>
      </c>
      <c r="E2504" t="inlineStr">
        <is>
          <t>ÖSTRA GÖINGE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74293-2021</t>
        </is>
      </c>
      <c r="B2505" s="1" t="n">
        <v>44558</v>
      </c>
      <c r="C2505" s="1" t="n">
        <v>45796</v>
      </c>
      <c r="D2505" t="inlineStr">
        <is>
          <t>SKÅNE LÄN</t>
        </is>
      </c>
      <c r="E2505" t="inlineStr">
        <is>
          <t>HÄSSLEHOLM</t>
        </is>
      </c>
      <c r="F2505" t="inlineStr">
        <is>
          <t>Kyrkan</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74294-2021</t>
        </is>
      </c>
      <c r="B2506" s="1" t="n">
        <v>44558</v>
      </c>
      <c r="C2506" s="1" t="n">
        <v>45796</v>
      </c>
      <c r="D2506" t="inlineStr">
        <is>
          <t>SKÅNE LÄN</t>
        </is>
      </c>
      <c r="E2506" t="inlineStr">
        <is>
          <t>HÄSSLEHOLM</t>
        </is>
      </c>
      <c r="F2506" t="inlineStr">
        <is>
          <t>Kyrkan</t>
        </is>
      </c>
      <c r="G2506" t="n">
        <v>16.2</v>
      </c>
      <c r="H2506" t="n">
        <v>0</v>
      </c>
      <c r="I2506" t="n">
        <v>0</v>
      </c>
      <c r="J2506" t="n">
        <v>0</v>
      </c>
      <c r="K2506" t="n">
        <v>0</v>
      </c>
      <c r="L2506" t="n">
        <v>0</v>
      </c>
      <c r="M2506" t="n">
        <v>0</v>
      </c>
      <c r="N2506" t="n">
        <v>0</v>
      </c>
      <c r="O2506" t="n">
        <v>0</v>
      </c>
      <c r="P2506" t="n">
        <v>0</v>
      </c>
      <c r="Q2506" t="n">
        <v>0</v>
      </c>
      <c r="R2506" s="2" t="inlineStr"/>
    </row>
    <row r="2507" ht="15" customHeight="1">
      <c r="A2507" t="inlineStr">
        <is>
          <t>A 74289-2021</t>
        </is>
      </c>
      <c r="B2507" s="1" t="n">
        <v>44558</v>
      </c>
      <c r="C2507" s="1" t="n">
        <v>45796</v>
      </c>
      <c r="D2507" t="inlineStr">
        <is>
          <t>SKÅNE LÄN</t>
        </is>
      </c>
      <c r="E2507" t="inlineStr">
        <is>
          <t>KRISTIANSTAD</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74299-2021</t>
        </is>
      </c>
      <c r="B2508" s="1" t="n">
        <v>44558</v>
      </c>
      <c r="C2508" s="1" t="n">
        <v>45796</v>
      </c>
      <c r="D2508" t="inlineStr">
        <is>
          <t>SKÅNE LÄN</t>
        </is>
      </c>
      <c r="E2508" t="inlineStr">
        <is>
          <t>KRISTIANSTAD</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74297-2021</t>
        </is>
      </c>
      <c r="B2509" s="1" t="n">
        <v>44558</v>
      </c>
      <c r="C2509" s="1" t="n">
        <v>45796</v>
      </c>
      <c r="D2509" t="inlineStr">
        <is>
          <t>SKÅNE LÄN</t>
        </is>
      </c>
      <c r="E2509" t="inlineStr">
        <is>
          <t>HÄSSLEHOLM</t>
        </is>
      </c>
      <c r="F2509" t="inlineStr">
        <is>
          <t>Kyrkan</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74408-2021</t>
        </is>
      </c>
      <c r="B2510" s="1" t="n">
        <v>44560</v>
      </c>
      <c r="C2510" s="1" t="n">
        <v>45796</v>
      </c>
      <c r="D2510" t="inlineStr">
        <is>
          <t>SKÅNE LÄN</t>
        </is>
      </c>
      <c r="E2510" t="inlineStr">
        <is>
          <t>TOMELILLA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74453-2021</t>
        </is>
      </c>
      <c r="B2511" s="1" t="n">
        <v>44560</v>
      </c>
      <c r="C2511" s="1" t="n">
        <v>45796</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74418-2021</t>
        </is>
      </c>
      <c r="B2512" s="1" t="n">
        <v>44560</v>
      </c>
      <c r="C2512" s="1" t="n">
        <v>45796</v>
      </c>
      <c r="D2512" t="inlineStr">
        <is>
          <t>SKÅNE LÄN</t>
        </is>
      </c>
      <c r="E2512" t="inlineStr">
        <is>
          <t>SJÖBO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74482-2021</t>
        </is>
      </c>
      <c r="B2513" s="1" t="n">
        <v>44560</v>
      </c>
      <c r="C2513" s="1" t="n">
        <v>45796</v>
      </c>
      <c r="D2513" t="inlineStr">
        <is>
          <t>SKÅNE LÄN</t>
        </is>
      </c>
      <c r="E2513" t="inlineStr">
        <is>
          <t>ÖRKELLJUNGA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74507-2021</t>
        </is>
      </c>
      <c r="B2514" s="1" t="n">
        <v>44560</v>
      </c>
      <c r="C2514" s="1" t="n">
        <v>45796</v>
      </c>
      <c r="D2514" t="inlineStr">
        <is>
          <t>SKÅNE LÄN</t>
        </is>
      </c>
      <c r="E2514" t="inlineStr">
        <is>
          <t>KRISTIANSTAD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74476-2021</t>
        </is>
      </c>
      <c r="B2515" s="1" t="n">
        <v>44560</v>
      </c>
      <c r="C2515" s="1" t="n">
        <v>45796</v>
      </c>
      <c r="D2515" t="inlineStr">
        <is>
          <t>SKÅNE LÄN</t>
        </is>
      </c>
      <c r="E2515" t="inlineStr">
        <is>
          <t>HÄSSLEHOLM</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220-2022</t>
        </is>
      </c>
      <c r="B2516" s="1" t="n">
        <v>44564</v>
      </c>
      <c r="C2516" s="1" t="n">
        <v>45796</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219-2022</t>
        </is>
      </c>
      <c r="B2517" s="1" t="n">
        <v>44564</v>
      </c>
      <c r="C2517" s="1" t="n">
        <v>45796</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255-2022</t>
        </is>
      </c>
      <c r="B2518" s="1" t="n">
        <v>44565</v>
      </c>
      <c r="C2518" s="1" t="n">
        <v>45796</v>
      </c>
      <c r="D2518" t="inlineStr">
        <is>
          <t>SKÅNE LÄN</t>
        </is>
      </c>
      <c r="E2518" t="inlineStr">
        <is>
          <t>HÖRBY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354-2022</t>
        </is>
      </c>
      <c r="B2519" s="1" t="n">
        <v>44565</v>
      </c>
      <c r="C2519" s="1" t="n">
        <v>45796</v>
      </c>
      <c r="D2519" t="inlineStr">
        <is>
          <t>SKÅNE LÄN</t>
        </is>
      </c>
      <c r="E2519" t="inlineStr">
        <is>
          <t>HÄSSLEHOLM</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315-2022</t>
        </is>
      </c>
      <c r="B2520" s="1" t="n">
        <v>44565</v>
      </c>
      <c r="C2520" s="1" t="n">
        <v>45796</v>
      </c>
      <c r="D2520" t="inlineStr">
        <is>
          <t>SKÅNE LÄN</t>
        </is>
      </c>
      <c r="E2520" t="inlineStr">
        <is>
          <t>HÄSSLEHOLM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441-2022</t>
        </is>
      </c>
      <c r="B2521" s="1" t="n">
        <v>44566</v>
      </c>
      <c r="C2521" s="1" t="n">
        <v>45796</v>
      </c>
      <c r="D2521" t="inlineStr">
        <is>
          <t>SKÅNE LÄN</t>
        </is>
      </c>
      <c r="E2521" t="inlineStr">
        <is>
          <t>HÄSSLEHOLM</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418-2022</t>
        </is>
      </c>
      <c r="B2522" s="1" t="n">
        <v>44565</v>
      </c>
      <c r="C2522" s="1" t="n">
        <v>45796</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417-2022</t>
        </is>
      </c>
      <c r="B2523" s="1" t="n">
        <v>44565</v>
      </c>
      <c r="C2523" s="1" t="n">
        <v>45796</v>
      </c>
      <c r="D2523" t="inlineStr">
        <is>
          <t>SKÅNE LÄN</t>
        </is>
      </c>
      <c r="E2523" t="inlineStr">
        <is>
          <t>HÄSSLEHOLM</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525-2022</t>
        </is>
      </c>
      <c r="B2524" s="1" t="n">
        <v>44566</v>
      </c>
      <c r="C2524" s="1" t="n">
        <v>45796</v>
      </c>
      <c r="D2524" t="inlineStr">
        <is>
          <t>SKÅNE LÄN</t>
        </is>
      </c>
      <c r="E2524" t="inlineStr">
        <is>
          <t>HÄSSLEHOLM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1218-2022</t>
        </is>
      </c>
      <c r="B2525" s="1" t="n">
        <v>44572</v>
      </c>
      <c r="C2525" s="1" t="n">
        <v>45796</v>
      </c>
      <c r="D2525" t="inlineStr">
        <is>
          <t>SKÅNE LÄN</t>
        </is>
      </c>
      <c r="E2525" t="inlineStr">
        <is>
          <t>KRISTIANSTAD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1226-2022</t>
        </is>
      </c>
      <c r="B2526" s="1" t="n">
        <v>44572</v>
      </c>
      <c r="C2526" s="1" t="n">
        <v>45796</v>
      </c>
      <c r="D2526" t="inlineStr">
        <is>
          <t>SKÅNE LÄN</t>
        </is>
      </c>
      <c r="E2526" t="inlineStr">
        <is>
          <t>KLIPPAN</t>
        </is>
      </c>
      <c r="F2526" t="inlineStr">
        <is>
          <t>Övriga Aktiebolag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1228-2022</t>
        </is>
      </c>
      <c r="B2527" s="1" t="n">
        <v>44572</v>
      </c>
      <c r="C2527" s="1" t="n">
        <v>45796</v>
      </c>
      <c r="D2527" t="inlineStr">
        <is>
          <t>SKÅNE LÄN</t>
        </is>
      </c>
      <c r="E2527" t="inlineStr">
        <is>
          <t>KRISTIANSTAD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1210-2022</t>
        </is>
      </c>
      <c r="B2528" s="1" t="n">
        <v>44572</v>
      </c>
      <c r="C2528" s="1" t="n">
        <v>45796</v>
      </c>
      <c r="D2528" t="inlineStr">
        <is>
          <t>SKÅNE LÄN</t>
        </is>
      </c>
      <c r="E2528" t="inlineStr">
        <is>
          <t>HÄSSLEHOLM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1235-2022</t>
        </is>
      </c>
      <c r="B2529" s="1" t="n">
        <v>44572</v>
      </c>
      <c r="C2529" s="1" t="n">
        <v>45796</v>
      </c>
      <c r="D2529" t="inlineStr">
        <is>
          <t>SKÅNE LÄN</t>
        </is>
      </c>
      <c r="E2529" t="inlineStr">
        <is>
          <t>SJÖBO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1310-2022</t>
        </is>
      </c>
      <c r="B2530" s="1" t="n">
        <v>44572</v>
      </c>
      <c r="C2530" s="1" t="n">
        <v>45796</v>
      </c>
      <c r="D2530" t="inlineStr">
        <is>
          <t>SKÅNE LÄN</t>
        </is>
      </c>
      <c r="E2530" t="inlineStr">
        <is>
          <t>OSBY</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1351-2022</t>
        </is>
      </c>
      <c r="B2531" s="1" t="n">
        <v>44572</v>
      </c>
      <c r="C2531" s="1" t="n">
        <v>45796</v>
      </c>
      <c r="D2531" t="inlineStr">
        <is>
          <t>SKÅNE LÄN</t>
        </is>
      </c>
      <c r="E2531" t="inlineStr">
        <is>
          <t>KRISTIANSTAD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1466-2022</t>
        </is>
      </c>
      <c r="B2532" s="1" t="n">
        <v>44573</v>
      </c>
      <c r="C2532" s="1" t="n">
        <v>45796</v>
      </c>
      <c r="D2532" t="inlineStr">
        <is>
          <t>SKÅNE LÄN</t>
        </is>
      </c>
      <c r="E2532" t="inlineStr">
        <is>
          <t>OSBY</t>
        </is>
      </c>
      <c r="F2532" t="inlineStr">
        <is>
          <t>Kyrkan</t>
        </is>
      </c>
      <c r="G2532" t="n">
        <v>0</v>
      </c>
      <c r="H2532" t="n">
        <v>0</v>
      </c>
      <c r="I2532" t="n">
        <v>0</v>
      </c>
      <c r="J2532" t="n">
        <v>0</v>
      </c>
      <c r="K2532" t="n">
        <v>0</v>
      </c>
      <c r="L2532" t="n">
        <v>0</v>
      </c>
      <c r="M2532" t="n">
        <v>0</v>
      </c>
      <c r="N2532" t="n">
        <v>0</v>
      </c>
      <c r="O2532" t="n">
        <v>0</v>
      </c>
      <c r="P2532" t="n">
        <v>0</v>
      </c>
      <c r="Q2532" t="n">
        <v>0</v>
      </c>
      <c r="R2532" s="2" t="inlineStr"/>
    </row>
    <row r="2533" ht="15" customHeight="1">
      <c r="A2533" t="inlineStr">
        <is>
          <t>A 1475-2022</t>
        </is>
      </c>
      <c r="B2533" s="1" t="n">
        <v>44573</v>
      </c>
      <c r="C2533" s="1" t="n">
        <v>45796</v>
      </c>
      <c r="D2533" t="inlineStr">
        <is>
          <t>SKÅNE LÄN</t>
        </is>
      </c>
      <c r="E2533" t="inlineStr">
        <is>
          <t>HÖÖR</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1468-2022</t>
        </is>
      </c>
      <c r="B2534" s="1" t="n">
        <v>44573</v>
      </c>
      <c r="C2534" s="1" t="n">
        <v>45796</v>
      </c>
      <c r="D2534" t="inlineStr">
        <is>
          <t>SKÅNE LÄN</t>
        </is>
      </c>
      <c r="E2534" t="inlineStr">
        <is>
          <t>KÄVLINGE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1535-2022</t>
        </is>
      </c>
      <c r="B2535" s="1" t="n">
        <v>44573</v>
      </c>
      <c r="C2535" s="1" t="n">
        <v>45796</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1607-2022</t>
        </is>
      </c>
      <c r="B2536" s="1" t="n">
        <v>44573</v>
      </c>
      <c r="C2536" s="1" t="n">
        <v>45796</v>
      </c>
      <c r="D2536" t="inlineStr">
        <is>
          <t>SKÅNE LÄN</t>
        </is>
      </c>
      <c r="E2536" t="inlineStr">
        <is>
          <t>OSBY</t>
        </is>
      </c>
      <c r="F2536" t="inlineStr">
        <is>
          <t>Kyrkan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1619-2022</t>
        </is>
      </c>
      <c r="B2537" s="1" t="n">
        <v>44573</v>
      </c>
      <c r="C2537" s="1" t="n">
        <v>45796</v>
      </c>
      <c r="D2537" t="inlineStr">
        <is>
          <t>SKÅNE LÄN</t>
        </is>
      </c>
      <c r="E2537" t="inlineStr">
        <is>
          <t>HÄSSLEHOLM</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1524-2022</t>
        </is>
      </c>
      <c r="B2538" s="1" t="n">
        <v>44573</v>
      </c>
      <c r="C2538" s="1" t="n">
        <v>45796</v>
      </c>
      <c r="D2538" t="inlineStr">
        <is>
          <t>SKÅNE LÄN</t>
        </is>
      </c>
      <c r="E2538" t="inlineStr">
        <is>
          <t>BÅSTAD</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1531-2022</t>
        </is>
      </c>
      <c r="B2539" s="1" t="n">
        <v>44573</v>
      </c>
      <c r="C2539" s="1" t="n">
        <v>45796</v>
      </c>
      <c r="D2539" t="inlineStr">
        <is>
          <t>SKÅNE LÄN</t>
        </is>
      </c>
      <c r="E2539" t="inlineStr">
        <is>
          <t>BÅSTAD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1679-2022</t>
        </is>
      </c>
      <c r="B2540" s="1" t="n">
        <v>44573</v>
      </c>
      <c r="C2540" s="1" t="n">
        <v>45796</v>
      </c>
      <c r="D2540" t="inlineStr">
        <is>
          <t>SKÅNE LÄN</t>
        </is>
      </c>
      <c r="E2540" t="inlineStr">
        <is>
          <t>HÄSSLEHOLM</t>
        </is>
      </c>
      <c r="F2540" t="inlineStr">
        <is>
          <t>Kyrkan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1694-2022</t>
        </is>
      </c>
      <c r="B2541" s="1" t="n">
        <v>44574</v>
      </c>
      <c r="C2541" s="1" t="n">
        <v>45796</v>
      </c>
      <c r="D2541" t="inlineStr">
        <is>
          <t>SKÅNE LÄN</t>
        </is>
      </c>
      <c r="E2541" t="inlineStr">
        <is>
          <t>KRISTIANSTAD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1789-2022</t>
        </is>
      </c>
      <c r="B2542" s="1" t="n">
        <v>44574</v>
      </c>
      <c r="C2542" s="1" t="n">
        <v>45796</v>
      </c>
      <c r="D2542" t="inlineStr">
        <is>
          <t>SKÅNE LÄN</t>
        </is>
      </c>
      <c r="E2542" t="inlineStr">
        <is>
          <t>ÖSTRA GÖINGE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1899-2022</t>
        </is>
      </c>
      <c r="B2543" s="1" t="n">
        <v>44575</v>
      </c>
      <c r="C2543" s="1" t="n">
        <v>45796</v>
      </c>
      <c r="D2543" t="inlineStr">
        <is>
          <t>SKÅNE LÄN</t>
        </is>
      </c>
      <c r="E2543" t="inlineStr">
        <is>
          <t>OSBY</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2007-2022</t>
        </is>
      </c>
      <c r="B2544" s="1" t="n">
        <v>44575</v>
      </c>
      <c r="C2544" s="1" t="n">
        <v>45796</v>
      </c>
      <c r="D2544" t="inlineStr">
        <is>
          <t>SKÅNE LÄN</t>
        </is>
      </c>
      <c r="E2544" t="inlineStr">
        <is>
          <t>KRISTIANSTAD</t>
        </is>
      </c>
      <c r="F2544" t="inlineStr">
        <is>
          <t>Övriga Aktiebolag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2026-2022</t>
        </is>
      </c>
      <c r="B2545" s="1" t="n">
        <v>44575</v>
      </c>
      <c r="C2545" s="1" t="n">
        <v>45796</v>
      </c>
      <c r="D2545" t="inlineStr">
        <is>
          <t>SKÅNE LÄN</t>
        </is>
      </c>
      <c r="E2545" t="inlineStr">
        <is>
          <t>SJÖBO</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2046-2022</t>
        </is>
      </c>
      <c r="B2546" s="1" t="n">
        <v>44575</v>
      </c>
      <c r="C2546" s="1" t="n">
        <v>45796</v>
      </c>
      <c r="D2546" t="inlineStr">
        <is>
          <t>SKÅNE LÄN</t>
        </is>
      </c>
      <c r="E2546" t="inlineStr">
        <is>
          <t>KLIPPAN</t>
        </is>
      </c>
      <c r="F2546" t="inlineStr">
        <is>
          <t>Sveaskog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2045-2022</t>
        </is>
      </c>
      <c r="B2547" s="1" t="n">
        <v>44575</v>
      </c>
      <c r="C2547" s="1" t="n">
        <v>45796</v>
      </c>
      <c r="D2547" t="inlineStr">
        <is>
          <t>SKÅNE LÄN</t>
        </is>
      </c>
      <c r="E2547" t="inlineStr">
        <is>
          <t>KLIPPAN</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2063-2022</t>
        </is>
      </c>
      <c r="B2548" s="1" t="n">
        <v>44575</v>
      </c>
      <c r="C2548" s="1" t="n">
        <v>45796</v>
      </c>
      <c r="D2548" t="inlineStr">
        <is>
          <t>SKÅNE LÄN</t>
        </is>
      </c>
      <c r="E2548" t="inlineStr">
        <is>
          <t>ÖSTRA GÖINGE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2193-2022</t>
        </is>
      </c>
      <c r="B2549" s="1" t="n">
        <v>44578</v>
      </c>
      <c r="C2549" s="1" t="n">
        <v>45796</v>
      </c>
      <c r="D2549" t="inlineStr">
        <is>
          <t>SKÅNE LÄN</t>
        </is>
      </c>
      <c r="E2549" t="inlineStr">
        <is>
          <t>TOMELILLA</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2222-2022</t>
        </is>
      </c>
      <c r="B2550" s="1" t="n">
        <v>44578</v>
      </c>
      <c r="C2550" s="1" t="n">
        <v>45796</v>
      </c>
      <c r="D2550" t="inlineStr">
        <is>
          <t>SKÅNE LÄN</t>
        </is>
      </c>
      <c r="E2550" t="inlineStr">
        <is>
          <t>OSBY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2158-2022</t>
        </is>
      </c>
      <c r="B2551" s="1" t="n">
        <v>44578</v>
      </c>
      <c r="C2551" s="1" t="n">
        <v>45796</v>
      </c>
      <c r="D2551" t="inlineStr">
        <is>
          <t>SKÅNE LÄN</t>
        </is>
      </c>
      <c r="E2551" t="inlineStr">
        <is>
          <t>ÖSTRA GÖINGE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2190-2022</t>
        </is>
      </c>
      <c r="B2552" s="1" t="n">
        <v>44578</v>
      </c>
      <c r="C2552" s="1" t="n">
        <v>45796</v>
      </c>
      <c r="D2552" t="inlineStr">
        <is>
          <t>SKÅNE LÄN</t>
        </is>
      </c>
      <c r="E2552" t="inlineStr">
        <is>
          <t>TOMELILLA</t>
        </is>
      </c>
      <c r="F2552" t="inlineStr">
        <is>
          <t>Sveaskog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2150-2022</t>
        </is>
      </c>
      <c r="B2553" s="1" t="n">
        <v>44578</v>
      </c>
      <c r="C2553" s="1" t="n">
        <v>45796</v>
      </c>
      <c r="D2553" t="inlineStr">
        <is>
          <t>SKÅNE LÄN</t>
        </is>
      </c>
      <c r="E2553" t="inlineStr">
        <is>
          <t>ESLÖV</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2405-2022</t>
        </is>
      </c>
      <c r="B2554" s="1" t="n">
        <v>44579</v>
      </c>
      <c r="C2554" s="1" t="n">
        <v>45796</v>
      </c>
      <c r="D2554" t="inlineStr">
        <is>
          <t>SKÅNE LÄN</t>
        </is>
      </c>
      <c r="E2554" t="inlineStr">
        <is>
          <t>ÖRKELLJUNGA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2442-2022</t>
        </is>
      </c>
      <c r="B2555" s="1" t="n">
        <v>44579</v>
      </c>
      <c r="C2555" s="1" t="n">
        <v>45796</v>
      </c>
      <c r="D2555" t="inlineStr">
        <is>
          <t>SKÅNE LÄN</t>
        </is>
      </c>
      <c r="E2555" t="inlineStr">
        <is>
          <t>OSBY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2472-2022</t>
        </is>
      </c>
      <c r="B2556" s="1" t="n">
        <v>44579</v>
      </c>
      <c r="C2556" s="1" t="n">
        <v>45796</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2618-2022</t>
        </is>
      </c>
      <c r="B2557" s="1" t="n">
        <v>44580</v>
      </c>
      <c r="C2557" s="1" t="n">
        <v>45796</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2621-2022</t>
        </is>
      </c>
      <c r="B2558" s="1" t="n">
        <v>44580</v>
      </c>
      <c r="C2558" s="1" t="n">
        <v>45796</v>
      </c>
      <c r="D2558" t="inlineStr">
        <is>
          <t>SKÅNE LÄN</t>
        </is>
      </c>
      <c r="E2558" t="inlineStr">
        <is>
          <t>OSBY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2631-2022</t>
        </is>
      </c>
      <c r="B2559" s="1" t="n">
        <v>44580</v>
      </c>
      <c r="C2559" s="1" t="n">
        <v>45796</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2695-2022</t>
        </is>
      </c>
      <c r="B2560" s="1" t="n">
        <v>44580</v>
      </c>
      <c r="C2560" s="1" t="n">
        <v>45796</v>
      </c>
      <c r="D2560" t="inlineStr">
        <is>
          <t>SKÅNE LÄN</t>
        </is>
      </c>
      <c r="E2560" t="inlineStr">
        <is>
          <t>ÖSTRA GÖINGE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2765-2022</t>
        </is>
      </c>
      <c r="B2561" s="1" t="n">
        <v>44580</v>
      </c>
      <c r="C2561" s="1" t="n">
        <v>45796</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3101-2022</t>
        </is>
      </c>
      <c r="B2562" s="1" t="n">
        <v>44580</v>
      </c>
      <c r="C2562" s="1" t="n">
        <v>45796</v>
      </c>
      <c r="D2562" t="inlineStr">
        <is>
          <t>SKÅNE LÄN</t>
        </is>
      </c>
      <c r="E2562" t="inlineStr">
        <is>
          <t>HÄSSLEHOLM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2858-2022</t>
        </is>
      </c>
      <c r="B2563" s="1" t="n">
        <v>44581</v>
      </c>
      <c r="C2563" s="1" t="n">
        <v>45796</v>
      </c>
      <c r="D2563" t="inlineStr">
        <is>
          <t>SKÅNE LÄN</t>
        </is>
      </c>
      <c r="E2563" t="inlineStr">
        <is>
          <t>HÄSSLEHOLM</t>
        </is>
      </c>
      <c r="F2563" t="inlineStr">
        <is>
          <t>Övriga Aktiebolag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3167-2022</t>
        </is>
      </c>
      <c r="B2564" s="1" t="n">
        <v>44582</v>
      </c>
      <c r="C2564" s="1" t="n">
        <v>45796</v>
      </c>
      <c r="D2564" t="inlineStr">
        <is>
          <t>SKÅNE LÄN</t>
        </is>
      </c>
      <c r="E2564" t="inlineStr">
        <is>
          <t>HÄSSLEHOLM</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3248-2022</t>
        </is>
      </c>
      <c r="B2565" s="1" t="n">
        <v>44583</v>
      </c>
      <c r="C2565" s="1" t="n">
        <v>45796</v>
      </c>
      <c r="D2565" t="inlineStr">
        <is>
          <t>SKÅNE LÄN</t>
        </is>
      </c>
      <c r="E2565" t="inlineStr">
        <is>
          <t>HÄSSLEHOLM</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3245-2022</t>
        </is>
      </c>
      <c r="B2566" s="1" t="n">
        <v>44583</v>
      </c>
      <c r="C2566" s="1" t="n">
        <v>45796</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3247-2022</t>
        </is>
      </c>
      <c r="B2567" s="1" t="n">
        <v>44583</v>
      </c>
      <c r="C2567" s="1" t="n">
        <v>45796</v>
      </c>
      <c r="D2567" t="inlineStr">
        <is>
          <t>SKÅNE LÄN</t>
        </is>
      </c>
      <c r="E2567" t="inlineStr">
        <is>
          <t>HÄSSLEHOLM</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3276-2022</t>
        </is>
      </c>
      <c r="B2568" s="1" t="n">
        <v>44584</v>
      </c>
      <c r="C2568" s="1" t="n">
        <v>45796</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3277-2022</t>
        </is>
      </c>
      <c r="B2569" s="1" t="n">
        <v>44584</v>
      </c>
      <c r="C2569" s="1" t="n">
        <v>45796</v>
      </c>
      <c r="D2569" t="inlineStr">
        <is>
          <t>SKÅNE LÄN</t>
        </is>
      </c>
      <c r="E2569" t="inlineStr">
        <is>
          <t>HÄSSLEHOLM</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3361-2022</t>
        </is>
      </c>
      <c r="B2570" s="1" t="n">
        <v>44585</v>
      </c>
      <c r="C2570" s="1" t="n">
        <v>45796</v>
      </c>
      <c r="D2570" t="inlineStr">
        <is>
          <t>SKÅNE LÄN</t>
        </is>
      </c>
      <c r="E2570" t="inlineStr">
        <is>
          <t>OSBY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3442-2022</t>
        </is>
      </c>
      <c r="B2571" s="1" t="n">
        <v>44585</v>
      </c>
      <c r="C2571" s="1" t="n">
        <v>45796</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3445-2022</t>
        </is>
      </c>
      <c r="B2572" s="1" t="n">
        <v>44585</v>
      </c>
      <c r="C2572" s="1" t="n">
        <v>45796</v>
      </c>
      <c r="D2572" t="inlineStr">
        <is>
          <t>SKÅNE LÄN</t>
        </is>
      </c>
      <c r="E2572" t="inlineStr">
        <is>
          <t>ÖSTRA GÖINGE</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3395-2022</t>
        </is>
      </c>
      <c r="B2573" s="1" t="n">
        <v>44585</v>
      </c>
      <c r="C2573" s="1" t="n">
        <v>45796</v>
      </c>
      <c r="D2573" t="inlineStr">
        <is>
          <t>SKÅNE LÄN</t>
        </is>
      </c>
      <c r="E2573" t="inlineStr">
        <is>
          <t>HÄSSLEHOLM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3454-2022</t>
        </is>
      </c>
      <c r="B2574" s="1" t="n">
        <v>44585</v>
      </c>
      <c r="C2574" s="1" t="n">
        <v>45796</v>
      </c>
      <c r="D2574" t="inlineStr">
        <is>
          <t>SKÅNE LÄN</t>
        </is>
      </c>
      <c r="E2574" t="inlineStr">
        <is>
          <t>OSBY</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3480-2022</t>
        </is>
      </c>
      <c r="B2575" s="1" t="n">
        <v>44585</v>
      </c>
      <c r="C2575" s="1" t="n">
        <v>45796</v>
      </c>
      <c r="D2575" t="inlineStr">
        <is>
          <t>SKÅNE LÄN</t>
        </is>
      </c>
      <c r="E2575" t="inlineStr">
        <is>
          <t>HÖÖR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3452-2022</t>
        </is>
      </c>
      <c r="B2576" s="1" t="n">
        <v>44585</v>
      </c>
      <c r="C2576" s="1" t="n">
        <v>45796</v>
      </c>
      <c r="D2576" t="inlineStr">
        <is>
          <t>SKÅNE LÄN</t>
        </is>
      </c>
      <c r="E2576" t="inlineStr">
        <is>
          <t>OSBY</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3646-2022</t>
        </is>
      </c>
      <c r="B2577" s="1" t="n">
        <v>44586</v>
      </c>
      <c r="C2577" s="1" t="n">
        <v>45796</v>
      </c>
      <c r="D2577" t="inlineStr">
        <is>
          <t>SKÅNE LÄN</t>
        </is>
      </c>
      <c r="E2577" t="inlineStr">
        <is>
          <t>OSBY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3727-2022</t>
        </is>
      </c>
      <c r="B2578" s="1" t="n">
        <v>44586</v>
      </c>
      <c r="C2578" s="1" t="n">
        <v>45796</v>
      </c>
      <c r="D2578" t="inlineStr">
        <is>
          <t>SKÅNE LÄN</t>
        </is>
      </c>
      <c r="E2578" t="inlineStr">
        <is>
          <t>BÅSTAD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3830-2022</t>
        </is>
      </c>
      <c r="B2579" s="1" t="n">
        <v>44587</v>
      </c>
      <c r="C2579" s="1" t="n">
        <v>45796</v>
      </c>
      <c r="D2579" t="inlineStr">
        <is>
          <t>SKÅNE LÄN</t>
        </is>
      </c>
      <c r="E2579" t="inlineStr">
        <is>
          <t>ÖRKELLJUNGA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3855-2022</t>
        </is>
      </c>
      <c r="B2580" s="1" t="n">
        <v>44587</v>
      </c>
      <c r="C2580" s="1" t="n">
        <v>45796</v>
      </c>
      <c r="D2580" t="inlineStr">
        <is>
          <t>SKÅNE LÄN</t>
        </is>
      </c>
      <c r="E2580" t="inlineStr">
        <is>
          <t>HÄSSLEHOLM</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3904-2022</t>
        </is>
      </c>
      <c r="B2581" s="1" t="n">
        <v>44587</v>
      </c>
      <c r="C2581" s="1" t="n">
        <v>45796</v>
      </c>
      <c r="D2581" t="inlineStr">
        <is>
          <t>SKÅNE LÄN</t>
        </is>
      </c>
      <c r="E2581" t="inlineStr">
        <is>
          <t>KRISTIANSTAD</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3908-2022</t>
        </is>
      </c>
      <c r="B2582" s="1" t="n">
        <v>44587</v>
      </c>
      <c r="C2582" s="1" t="n">
        <v>45796</v>
      </c>
      <c r="D2582" t="inlineStr">
        <is>
          <t>SKÅNE LÄN</t>
        </is>
      </c>
      <c r="E2582" t="inlineStr">
        <is>
          <t>KRISTIANSTAD</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3941-2022</t>
        </is>
      </c>
      <c r="B2583" s="1" t="n">
        <v>44587</v>
      </c>
      <c r="C2583" s="1" t="n">
        <v>45796</v>
      </c>
      <c r="D2583" t="inlineStr">
        <is>
          <t>SKÅNE LÄN</t>
        </is>
      </c>
      <c r="E2583" t="inlineStr">
        <is>
          <t>SVALÖV</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3952-2022</t>
        </is>
      </c>
      <c r="B2584" s="1" t="n">
        <v>44587</v>
      </c>
      <c r="C2584" s="1" t="n">
        <v>45796</v>
      </c>
      <c r="D2584" t="inlineStr">
        <is>
          <t>SKÅNE LÄN</t>
        </is>
      </c>
      <c r="E2584" t="inlineStr">
        <is>
          <t>HÄSSLEHOLM</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3973-2022</t>
        </is>
      </c>
      <c r="B2585" s="1" t="n">
        <v>44587</v>
      </c>
      <c r="C2585" s="1" t="n">
        <v>45796</v>
      </c>
      <c r="D2585" t="inlineStr">
        <is>
          <t>SKÅNE LÄN</t>
        </is>
      </c>
      <c r="E2585" t="inlineStr">
        <is>
          <t>OSBY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3992-2022</t>
        </is>
      </c>
      <c r="B2586" s="1" t="n">
        <v>44587</v>
      </c>
      <c r="C2586" s="1" t="n">
        <v>45796</v>
      </c>
      <c r="D2586" t="inlineStr">
        <is>
          <t>SKÅNE LÄN</t>
        </is>
      </c>
      <c r="E2586" t="inlineStr">
        <is>
          <t>HÄSSLEHOLM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4156-2022</t>
        </is>
      </c>
      <c r="B2587" s="1" t="n">
        <v>44588</v>
      </c>
      <c r="C2587" s="1" t="n">
        <v>45796</v>
      </c>
      <c r="D2587" t="inlineStr">
        <is>
          <t>SKÅNE LÄN</t>
        </is>
      </c>
      <c r="E2587" t="inlineStr">
        <is>
          <t>HÄSSLEHOLM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4053-2022</t>
        </is>
      </c>
      <c r="B2588" s="1" t="n">
        <v>44588</v>
      </c>
      <c r="C2588" s="1" t="n">
        <v>45796</v>
      </c>
      <c r="D2588" t="inlineStr">
        <is>
          <t>SKÅNE LÄN</t>
        </is>
      </c>
      <c r="E2588" t="inlineStr">
        <is>
          <t>ÖSTRA GÖINGE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4149-2022</t>
        </is>
      </c>
      <c r="B2589" s="1" t="n">
        <v>44588</v>
      </c>
      <c r="C2589" s="1" t="n">
        <v>45796</v>
      </c>
      <c r="D2589" t="inlineStr">
        <is>
          <t>SKÅNE LÄN</t>
        </is>
      </c>
      <c r="E2589" t="inlineStr">
        <is>
          <t>SVALÖV</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4161-2022</t>
        </is>
      </c>
      <c r="B2590" s="1" t="n">
        <v>44588</v>
      </c>
      <c r="C2590" s="1" t="n">
        <v>45796</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4673-2022</t>
        </is>
      </c>
      <c r="B2591" s="1" t="n">
        <v>44592</v>
      </c>
      <c r="C2591" s="1" t="n">
        <v>45796</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4688-2022</t>
        </is>
      </c>
      <c r="B2592" s="1" t="n">
        <v>44592</v>
      </c>
      <c r="C2592" s="1" t="n">
        <v>45796</v>
      </c>
      <c r="D2592" t="inlineStr">
        <is>
          <t>SKÅNE LÄN</t>
        </is>
      </c>
      <c r="E2592" t="inlineStr">
        <is>
          <t>PERSTORP</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4607-2022</t>
        </is>
      </c>
      <c r="B2593" s="1" t="n">
        <v>44592</v>
      </c>
      <c r="C2593" s="1" t="n">
        <v>45796</v>
      </c>
      <c r="D2593" t="inlineStr">
        <is>
          <t>SKÅNE LÄN</t>
        </is>
      </c>
      <c r="E2593" t="inlineStr">
        <is>
          <t>KRISTIANSTAD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4719-2022</t>
        </is>
      </c>
      <c r="B2594" s="1" t="n">
        <v>44592</v>
      </c>
      <c r="C2594" s="1" t="n">
        <v>45796</v>
      </c>
      <c r="D2594" t="inlineStr">
        <is>
          <t>SKÅNE LÄN</t>
        </is>
      </c>
      <c r="E2594" t="inlineStr">
        <is>
          <t>HÄSSLEHOLM</t>
        </is>
      </c>
      <c r="F2594" t="inlineStr">
        <is>
          <t>Kyrkan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4989-2022</t>
        </is>
      </c>
      <c r="B2595" s="1" t="n">
        <v>44593</v>
      </c>
      <c r="C2595" s="1" t="n">
        <v>45796</v>
      </c>
      <c r="D2595" t="inlineStr">
        <is>
          <t>SKÅNE LÄN</t>
        </is>
      </c>
      <c r="E2595" t="inlineStr">
        <is>
          <t>PERSTORP</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4928-2022</t>
        </is>
      </c>
      <c r="B2596" s="1" t="n">
        <v>44593</v>
      </c>
      <c r="C2596" s="1" t="n">
        <v>45796</v>
      </c>
      <c r="D2596" t="inlineStr">
        <is>
          <t>SKÅNE LÄN</t>
        </is>
      </c>
      <c r="E2596" t="inlineStr">
        <is>
          <t>HÖÖR</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4945-2022</t>
        </is>
      </c>
      <c r="B2597" s="1" t="n">
        <v>44593</v>
      </c>
      <c r="C2597" s="1" t="n">
        <v>45796</v>
      </c>
      <c r="D2597" t="inlineStr">
        <is>
          <t>SKÅNE LÄN</t>
        </is>
      </c>
      <c r="E2597" t="inlineStr">
        <is>
          <t>HÄSSLEHOLM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4964-2022</t>
        </is>
      </c>
      <c r="B2598" s="1" t="n">
        <v>44593</v>
      </c>
      <c r="C2598" s="1" t="n">
        <v>45796</v>
      </c>
      <c r="D2598" t="inlineStr">
        <is>
          <t>SKÅNE LÄN</t>
        </is>
      </c>
      <c r="E2598" t="inlineStr">
        <is>
          <t>SVALÖV</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5046-2022</t>
        </is>
      </c>
      <c r="B2599" s="1" t="n">
        <v>44593</v>
      </c>
      <c r="C2599" s="1" t="n">
        <v>45796</v>
      </c>
      <c r="D2599" t="inlineStr">
        <is>
          <t>SKÅNE LÄN</t>
        </is>
      </c>
      <c r="E2599" t="inlineStr">
        <is>
          <t>ÄNGELHOLM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5054-2022</t>
        </is>
      </c>
      <c r="B2600" s="1" t="n">
        <v>44593</v>
      </c>
      <c r="C2600" s="1" t="n">
        <v>45796</v>
      </c>
      <c r="D2600" t="inlineStr">
        <is>
          <t>SKÅNE LÄN</t>
        </is>
      </c>
      <c r="E2600" t="inlineStr">
        <is>
          <t>HÄSSLEHOLM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5096-2022</t>
        </is>
      </c>
      <c r="B2601" s="1" t="n">
        <v>44593</v>
      </c>
      <c r="C2601" s="1" t="n">
        <v>45796</v>
      </c>
      <c r="D2601" t="inlineStr">
        <is>
          <t>SKÅNE LÄN</t>
        </is>
      </c>
      <c r="E2601" t="inlineStr">
        <is>
          <t>ÖSTRA GÖINGE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5151-2022</t>
        </is>
      </c>
      <c r="B2602" s="1" t="n">
        <v>44593</v>
      </c>
      <c r="C2602" s="1" t="n">
        <v>45796</v>
      </c>
      <c r="D2602" t="inlineStr">
        <is>
          <t>SKÅNE LÄN</t>
        </is>
      </c>
      <c r="E2602" t="inlineStr">
        <is>
          <t>KLIPPAN</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5196-2022</t>
        </is>
      </c>
      <c r="B2603" s="1" t="n">
        <v>44593</v>
      </c>
      <c r="C2603" s="1" t="n">
        <v>45796</v>
      </c>
      <c r="D2603" t="inlineStr">
        <is>
          <t>SKÅNE LÄN</t>
        </is>
      </c>
      <c r="E2603" t="inlineStr">
        <is>
          <t>KLIPPAN</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5523-2022</t>
        </is>
      </c>
      <c r="B2604" s="1" t="n">
        <v>44593</v>
      </c>
      <c r="C2604" s="1" t="n">
        <v>45796</v>
      </c>
      <c r="D2604" t="inlineStr">
        <is>
          <t>SKÅNE LÄN</t>
        </is>
      </c>
      <c r="E2604" t="inlineStr">
        <is>
          <t>KLIPPAN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5091-2022</t>
        </is>
      </c>
      <c r="B2605" s="1" t="n">
        <v>44593</v>
      </c>
      <c r="C2605" s="1" t="n">
        <v>45796</v>
      </c>
      <c r="D2605" t="inlineStr">
        <is>
          <t>SKÅNE LÄN</t>
        </is>
      </c>
      <c r="E2605" t="inlineStr">
        <is>
          <t>HÄSSLEHOLM</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5098-2022</t>
        </is>
      </c>
      <c r="B2606" s="1" t="n">
        <v>44593</v>
      </c>
      <c r="C2606" s="1" t="n">
        <v>45796</v>
      </c>
      <c r="D2606" t="inlineStr">
        <is>
          <t>SKÅNE LÄN</t>
        </is>
      </c>
      <c r="E2606" t="inlineStr">
        <is>
          <t>ÖSTRA GÖINGE</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5183-2022</t>
        </is>
      </c>
      <c r="B2607" s="1" t="n">
        <v>44593</v>
      </c>
      <c r="C2607" s="1" t="n">
        <v>45796</v>
      </c>
      <c r="D2607" t="inlineStr">
        <is>
          <t>SKÅNE LÄN</t>
        </is>
      </c>
      <c r="E2607" t="inlineStr">
        <is>
          <t>KLIPPAN</t>
        </is>
      </c>
      <c r="G2607" t="n">
        <v>11.7</v>
      </c>
      <c r="H2607" t="n">
        <v>0</v>
      </c>
      <c r="I2607" t="n">
        <v>0</v>
      </c>
      <c r="J2607" t="n">
        <v>0</v>
      </c>
      <c r="K2607" t="n">
        <v>0</v>
      </c>
      <c r="L2607" t="n">
        <v>0</v>
      </c>
      <c r="M2607" t="n">
        <v>0</v>
      </c>
      <c r="N2607" t="n">
        <v>0</v>
      </c>
      <c r="O2607" t="n">
        <v>0</v>
      </c>
      <c r="P2607" t="n">
        <v>0</v>
      </c>
      <c r="Q2607" t="n">
        <v>0</v>
      </c>
      <c r="R2607" s="2" t="inlineStr"/>
    </row>
    <row r="2608" ht="15" customHeight="1">
      <c r="A2608" t="inlineStr">
        <is>
          <t>A 5090-2022</t>
        </is>
      </c>
      <c r="B2608" s="1" t="n">
        <v>44593</v>
      </c>
      <c r="C2608" s="1" t="n">
        <v>45796</v>
      </c>
      <c r="D2608" t="inlineStr">
        <is>
          <t>SKÅNE LÄN</t>
        </is>
      </c>
      <c r="E2608" t="inlineStr">
        <is>
          <t>HÄSSLEHOLM</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5256-2022</t>
        </is>
      </c>
      <c r="B2609" s="1" t="n">
        <v>44593</v>
      </c>
      <c r="C2609" s="1" t="n">
        <v>45796</v>
      </c>
      <c r="D2609" t="inlineStr">
        <is>
          <t>SKÅNE LÄN</t>
        </is>
      </c>
      <c r="E2609" t="inlineStr">
        <is>
          <t>KLIPPAN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5557-2022</t>
        </is>
      </c>
      <c r="B2610" s="1" t="n">
        <v>44593</v>
      </c>
      <c r="C2610" s="1" t="n">
        <v>45796</v>
      </c>
      <c r="D2610" t="inlineStr">
        <is>
          <t>SKÅNE LÄN</t>
        </is>
      </c>
      <c r="E2610" t="inlineStr">
        <is>
          <t>KLIPPAN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5262-2022</t>
        </is>
      </c>
      <c r="B2611" s="1" t="n">
        <v>44594</v>
      </c>
      <c r="C2611" s="1" t="n">
        <v>45796</v>
      </c>
      <c r="D2611" t="inlineStr">
        <is>
          <t>SKÅNE LÄN</t>
        </is>
      </c>
      <c r="E2611" t="inlineStr">
        <is>
          <t>OSBY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5138-2022</t>
        </is>
      </c>
      <c r="B2612" s="1" t="n">
        <v>44594</v>
      </c>
      <c r="C2612" s="1" t="n">
        <v>45796</v>
      </c>
      <c r="D2612" t="inlineStr">
        <is>
          <t>SKÅNE LÄN</t>
        </is>
      </c>
      <c r="E2612" t="inlineStr">
        <is>
          <t>HÖÖR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5215-2022</t>
        </is>
      </c>
      <c r="B2613" s="1" t="n">
        <v>44594</v>
      </c>
      <c r="C2613" s="1" t="n">
        <v>45796</v>
      </c>
      <c r="D2613" t="inlineStr">
        <is>
          <t>SKÅNE LÄN</t>
        </is>
      </c>
      <c r="E2613" t="inlineStr">
        <is>
          <t>ÖSTRA GÖINGE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5130-2022</t>
        </is>
      </c>
      <c r="B2614" s="1" t="n">
        <v>44594</v>
      </c>
      <c r="C2614" s="1" t="n">
        <v>45796</v>
      </c>
      <c r="D2614" t="inlineStr">
        <is>
          <t>SKÅNE LÄN</t>
        </is>
      </c>
      <c r="E2614" t="inlineStr">
        <is>
          <t>ESLÖV</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5320-2022</t>
        </is>
      </c>
      <c r="B2615" s="1" t="n">
        <v>44594</v>
      </c>
      <c r="C2615" s="1" t="n">
        <v>45796</v>
      </c>
      <c r="D2615" t="inlineStr">
        <is>
          <t>SKÅNE LÄN</t>
        </is>
      </c>
      <c r="E2615" t="inlineStr">
        <is>
          <t>BROMÖLLA</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5334-2022</t>
        </is>
      </c>
      <c r="B2616" s="1" t="n">
        <v>44594</v>
      </c>
      <c r="C2616" s="1" t="n">
        <v>45796</v>
      </c>
      <c r="D2616" t="inlineStr">
        <is>
          <t>SKÅNE LÄN</t>
        </is>
      </c>
      <c r="E2616" t="inlineStr">
        <is>
          <t>HÄSSLEHOLM</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5537-2022</t>
        </is>
      </c>
      <c r="B2617" s="1" t="n">
        <v>44595</v>
      </c>
      <c r="C2617" s="1" t="n">
        <v>45796</v>
      </c>
      <c r="D2617" t="inlineStr">
        <is>
          <t>SKÅNE LÄN</t>
        </is>
      </c>
      <c r="E2617" t="inlineStr">
        <is>
          <t>KRISTIANSTAD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5484-2022</t>
        </is>
      </c>
      <c r="B2618" s="1" t="n">
        <v>44595</v>
      </c>
      <c r="C2618" s="1" t="n">
        <v>45796</v>
      </c>
      <c r="D2618" t="inlineStr">
        <is>
          <t>SKÅNE LÄN</t>
        </is>
      </c>
      <c r="E2618" t="inlineStr">
        <is>
          <t>OSBY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5569-2022</t>
        </is>
      </c>
      <c r="B2619" s="1" t="n">
        <v>44595</v>
      </c>
      <c r="C2619" s="1" t="n">
        <v>45796</v>
      </c>
      <c r="D2619" t="inlineStr">
        <is>
          <t>SKÅNE LÄN</t>
        </is>
      </c>
      <c r="E2619" t="inlineStr">
        <is>
          <t>OSBY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5564-2022</t>
        </is>
      </c>
      <c r="B2620" s="1" t="n">
        <v>44595</v>
      </c>
      <c r="C2620" s="1" t="n">
        <v>45796</v>
      </c>
      <c r="D2620" t="inlineStr">
        <is>
          <t>SKÅNE LÄN</t>
        </is>
      </c>
      <c r="E2620" t="inlineStr">
        <is>
          <t>HÄSSLEHOLM</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5570-2022</t>
        </is>
      </c>
      <c r="B2621" s="1" t="n">
        <v>44595</v>
      </c>
      <c r="C2621" s="1" t="n">
        <v>45796</v>
      </c>
      <c r="D2621" t="inlineStr">
        <is>
          <t>SKÅNE LÄN</t>
        </is>
      </c>
      <c r="E2621" t="inlineStr">
        <is>
          <t>HÖÖR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5590-2022</t>
        </is>
      </c>
      <c r="B2622" s="1" t="n">
        <v>44595</v>
      </c>
      <c r="C2622" s="1" t="n">
        <v>45796</v>
      </c>
      <c r="D2622" t="inlineStr">
        <is>
          <t>SKÅNE LÄN</t>
        </is>
      </c>
      <c r="E2622" t="inlineStr">
        <is>
          <t>KRISTIANSTAD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5816-2022</t>
        </is>
      </c>
      <c r="B2623" s="1" t="n">
        <v>44596</v>
      </c>
      <c r="C2623" s="1" t="n">
        <v>45796</v>
      </c>
      <c r="D2623" t="inlineStr">
        <is>
          <t>SKÅNE LÄN</t>
        </is>
      </c>
      <c r="E2623" t="inlineStr">
        <is>
          <t>BROMÖLLA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5730-2022</t>
        </is>
      </c>
      <c r="B2624" s="1" t="n">
        <v>44596</v>
      </c>
      <c r="C2624" s="1" t="n">
        <v>45796</v>
      </c>
      <c r="D2624" t="inlineStr">
        <is>
          <t>SKÅNE LÄN</t>
        </is>
      </c>
      <c r="E2624" t="inlineStr">
        <is>
          <t>HÖÖR</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5779-2022</t>
        </is>
      </c>
      <c r="B2625" s="1" t="n">
        <v>44596</v>
      </c>
      <c r="C2625" s="1" t="n">
        <v>45796</v>
      </c>
      <c r="D2625" t="inlineStr">
        <is>
          <t>SKÅNE LÄN</t>
        </is>
      </c>
      <c r="E2625" t="inlineStr">
        <is>
          <t>BROMÖLLA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5726-2022</t>
        </is>
      </c>
      <c r="B2626" s="1" t="n">
        <v>44596</v>
      </c>
      <c r="C2626" s="1" t="n">
        <v>45796</v>
      </c>
      <c r="D2626" t="inlineStr">
        <is>
          <t>SKÅNE LÄN</t>
        </is>
      </c>
      <c r="E2626" t="inlineStr">
        <is>
          <t>HÖÖR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5791-2022</t>
        </is>
      </c>
      <c r="B2627" s="1" t="n">
        <v>44596</v>
      </c>
      <c r="C2627" s="1" t="n">
        <v>45796</v>
      </c>
      <c r="D2627" t="inlineStr">
        <is>
          <t>SKÅNE LÄN</t>
        </is>
      </c>
      <c r="E2627" t="inlineStr">
        <is>
          <t>KLIPPAN</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5812-2022</t>
        </is>
      </c>
      <c r="B2628" s="1" t="n">
        <v>44596</v>
      </c>
      <c r="C2628" s="1" t="n">
        <v>45796</v>
      </c>
      <c r="D2628" t="inlineStr">
        <is>
          <t>SKÅNE LÄN</t>
        </is>
      </c>
      <c r="E2628" t="inlineStr">
        <is>
          <t>ESLÖV</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5853-2022</t>
        </is>
      </c>
      <c r="B2629" s="1" t="n">
        <v>44596</v>
      </c>
      <c r="C2629" s="1" t="n">
        <v>45796</v>
      </c>
      <c r="D2629" t="inlineStr">
        <is>
          <t>SKÅNE LÄN</t>
        </is>
      </c>
      <c r="E2629" t="inlineStr">
        <is>
          <t>KRISTIANSTAD</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6204-2022</t>
        </is>
      </c>
      <c r="B2630" s="1" t="n">
        <v>44596</v>
      </c>
      <c r="C2630" s="1" t="n">
        <v>45796</v>
      </c>
      <c r="D2630" t="inlineStr">
        <is>
          <t>SKÅNE LÄN</t>
        </is>
      </c>
      <c r="E2630" t="inlineStr">
        <is>
          <t>KLIPPAN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5856-2022</t>
        </is>
      </c>
      <c r="B2631" s="1" t="n">
        <v>44596</v>
      </c>
      <c r="C2631" s="1" t="n">
        <v>45796</v>
      </c>
      <c r="D2631" t="inlineStr">
        <is>
          <t>SKÅNE LÄN</t>
        </is>
      </c>
      <c r="E2631" t="inlineStr">
        <is>
          <t>KRISTIANSTAD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5941-2022</t>
        </is>
      </c>
      <c r="B2632" s="1" t="n">
        <v>44598</v>
      </c>
      <c r="C2632" s="1" t="n">
        <v>45796</v>
      </c>
      <c r="D2632" t="inlineStr">
        <is>
          <t>SKÅNE LÄN</t>
        </is>
      </c>
      <c r="E2632" t="inlineStr">
        <is>
          <t>ÖSTRA GÖINGE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5937-2022</t>
        </is>
      </c>
      <c r="B2633" s="1" t="n">
        <v>44598</v>
      </c>
      <c r="C2633" s="1" t="n">
        <v>45796</v>
      </c>
      <c r="D2633" t="inlineStr">
        <is>
          <t>SKÅNE LÄN</t>
        </is>
      </c>
      <c r="E2633" t="inlineStr">
        <is>
          <t>SVALÖV</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6048-2022</t>
        </is>
      </c>
      <c r="B2634" s="1" t="n">
        <v>44599</v>
      </c>
      <c r="C2634" s="1" t="n">
        <v>45796</v>
      </c>
      <c r="D2634" t="inlineStr">
        <is>
          <t>SKÅNE LÄN</t>
        </is>
      </c>
      <c r="E2634" t="inlineStr">
        <is>
          <t>HÄSSLEHOLM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6101-2022</t>
        </is>
      </c>
      <c r="B2635" s="1" t="n">
        <v>44599</v>
      </c>
      <c r="C2635" s="1" t="n">
        <v>45796</v>
      </c>
      <c r="D2635" t="inlineStr">
        <is>
          <t>SKÅNE LÄN</t>
        </is>
      </c>
      <c r="E2635" t="inlineStr">
        <is>
          <t>HÄSSLEHOLM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5987-2022</t>
        </is>
      </c>
      <c r="B2636" s="1" t="n">
        <v>44599</v>
      </c>
      <c r="C2636" s="1" t="n">
        <v>45796</v>
      </c>
      <c r="D2636" t="inlineStr">
        <is>
          <t>SKÅNE LÄN</t>
        </is>
      </c>
      <c r="E2636" t="inlineStr">
        <is>
          <t>KRISTIANSTAD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6007-2022</t>
        </is>
      </c>
      <c r="B2637" s="1" t="n">
        <v>44599</v>
      </c>
      <c r="C2637" s="1" t="n">
        <v>45796</v>
      </c>
      <c r="D2637" t="inlineStr">
        <is>
          <t>SKÅNE LÄN</t>
        </is>
      </c>
      <c r="E2637" t="inlineStr">
        <is>
          <t>SVALÖV</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6042-2022</t>
        </is>
      </c>
      <c r="B2638" s="1" t="n">
        <v>44599</v>
      </c>
      <c r="C2638" s="1" t="n">
        <v>45796</v>
      </c>
      <c r="D2638" t="inlineStr">
        <is>
          <t>SKÅNE LÄN</t>
        </is>
      </c>
      <c r="E2638" t="inlineStr">
        <is>
          <t>HÖÖR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5992-2022</t>
        </is>
      </c>
      <c r="B2639" s="1" t="n">
        <v>44599</v>
      </c>
      <c r="C2639" s="1" t="n">
        <v>45796</v>
      </c>
      <c r="D2639" t="inlineStr">
        <is>
          <t>SKÅNE LÄN</t>
        </is>
      </c>
      <c r="E2639" t="inlineStr">
        <is>
          <t>HÄSSLEHOLM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6020-2022</t>
        </is>
      </c>
      <c r="B2640" s="1" t="n">
        <v>44599</v>
      </c>
      <c r="C2640" s="1" t="n">
        <v>45796</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6229-2022</t>
        </is>
      </c>
      <c r="B2641" s="1" t="n">
        <v>44600</v>
      </c>
      <c r="C2641" s="1" t="n">
        <v>45796</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6253-2022</t>
        </is>
      </c>
      <c r="B2642" s="1" t="n">
        <v>44600</v>
      </c>
      <c r="C2642" s="1" t="n">
        <v>45796</v>
      </c>
      <c r="D2642" t="inlineStr">
        <is>
          <t>SKÅNE LÄN</t>
        </is>
      </c>
      <c r="E2642" t="inlineStr">
        <is>
          <t>HÄSSLEHOLM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6314-2022</t>
        </is>
      </c>
      <c r="B2643" s="1" t="n">
        <v>44600</v>
      </c>
      <c r="C2643" s="1" t="n">
        <v>45796</v>
      </c>
      <c r="D2643" t="inlineStr">
        <is>
          <t>SKÅNE LÄN</t>
        </is>
      </c>
      <c r="E2643" t="inlineStr">
        <is>
          <t>TRELLEBORG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6335-2022</t>
        </is>
      </c>
      <c r="B2644" s="1" t="n">
        <v>44600</v>
      </c>
      <c r="C2644" s="1" t="n">
        <v>45796</v>
      </c>
      <c r="D2644" t="inlineStr">
        <is>
          <t>SKÅNE LÄN</t>
        </is>
      </c>
      <c r="E2644" t="inlineStr">
        <is>
          <t>SVALÖV</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6300-2022</t>
        </is>
      </c>
      <c r="B2645" s="1" t="n">
        <v>44600</v>
      </c>
      <c r="C2645" s="1" t="n">
        <v>45796</v>
      </c>
      <c r="D2645" t="inlineStr">
        <is>
          <t>SKÅNE LÄN</t>
        </is>
      </c>
      <c r="E2645" t="inlineStr">
        <is>
          <t>ÖSTRA GÖINGE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6414-2022</t>
        </is>
      </c>
      <c r="B2646" s="1" t="n">
        <v>44600</v>
      </c>
      <c r="C2646" s="1" t="n">
        <v>45796</v>
      </c>
      <c r="D2646" t="inlineStr">
        <is>
          <t>SKÅNE LÄN</t>
        </is>
      </c>
      <c r="E2646" t="inlineStr">
        <is>
          <t>HÄSSLEHOLM</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6473-2022</t>
        </is>
      </c>
      <c r="B2647" s="1" t="n">
        <v>44601</v>
      </c>
      <c r="C2647" s="1" t="n">
        <v>45796</v>
      </c>
      <c r="D2647" t="inlineStr">
        <is>
          <t>SKÅNE LÄN</t>
        </is>
      </c>
      <c r="E2647" t="inlineStr">
        <is>
          <t>HÖÖR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6616-2022</t>
        </is>
      </c>
      <c r="B2648" s="1" t="n">
        <v>44601</v>
      </c>
      <c r="C2648" s="1" t="n">
        <v>45796</v>
      </c>
      <c r="D2648" t="inlineStr">
        <is>
          <t>SKÅNE LÄN</t>
        </is>
      </c>
      <c r="E2648" t="inlineStr">
        <is>
          <t>KRISTIANSTAD</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6632-2022</t>
        </is>
      </c>
      <c r="B2649" s="1" t="n">
        <v>44601</v>
      </c>
      <c r="C2649" s="1" t="n">
        <v>45796</v>
      </c>
      <c r="D2649" t="inlineStr">
        <is>
          <t>SKÅNE LÄN</t>
        </is>
      </c>
      <c r="E2649" t="inlineStr">
        <is>
          <t>YSTAD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6802-2022</t>
        </is>
      </c>
      <c r="B2650" s="1" t="n">
        <v>44602</v>
      </c>
      <c r="C2650" s="1" t="n">
        <v>45796</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6782-2022</t>
        </is>
      </c>
      <c r="B2651" s="1" t="n">
        <v>44602</v>
      </c>
      <c r="C2651" s="1" t="n">
        <v>45796</v>
      </c>
      <c r="D2651" t="inlineStr">
        <is>
          <t>SKÅNE LÄN</t>
        </is>
      </c>
      <c r="E2651" t="inlineStr">
        <is>
          <t>ÖSTRA GÖINGE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6755-2022</t>
        </is>
      </c>
      <c r="B2652" s="1" t="n">
        <v>44602</v>
      </c>
      <c r="C2652" s="1" t="n">
        <v>45796</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6818-2022</t>
        </is>
      </c>
      <c r="B2653" s="1" t="n">
        <v>44602</v>
      </c>
      <c r="C2653" s="1" t="n">
        <v>45796</v>
      </c>
      <c r="D2653" t="inlineStr">
        <is>
          <t>SKÅNE LÄN</t>
        </is>
      </c>
      <c r="E2653" t="inlineStr">
        <is>
          <t>ÖSTRA GÖINGE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6964-2022</t>
        </is>
      </c>
      <c r="B2654" s="1" t="n">
        <v>44603</v>
      </c>
      <c r="C2654" s="1" t="n">
        <v>45796</v>
      </c>
      <c r="D2654" t="inlineStr">
        <is>
          <t>SKÅNE LÄN</t>
        </is>
      </c>
      <c r="E2654" t="inlineStr">
        <is>
          <t>OSBY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6968-2022</t>
        </is>
      </c>
      <c r="B2655" s="1" t="n">
        <v>44603</v>
      </c>
      <c r="C2655" s="1" t="n">
        <v>45796</v>
      </c>
      <c r="D2655" t="inlineStr">
        <is>
          <t>SKÅNE LÄN</t>
        </is>
      </c>
      <c r="E2655" t="inlineStr">
        <is>
          <t>OSBY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7202-2022</t>
        </is>
      </c>
      <c r="B2656" s="1" t="n">
        <v>44606</v>
      </c>
      <c r="C2656" s="1" t="n">
        <v>45796</v>
      </c>
      <c r="D2656" t="inlineStr">
        <is>
          <t>SKÅNE LÄN</t>
        </is>
      </c>
      <c r="E2656" t="inlineStr">
        <is>
          <t>HÄSSLEHOLM</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7258-2022</t>
        </is>
      </c>
      <c r="B2657" s="1" t="n">
        <v>44606</v>
      </c>
      <c r="C2657" s="1" t="n">
        <v>45796</v>
      </c>
      <c r="D2657" t="inlineStr">
        <is>
          <t>SKÅNE LÄN</t>
        </is>
      </c>
      <c r="E2657" t="inlineStr">
        <is>
          <t>SIMRISHAMN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7250-2022</t>
        </is>
      </c>
      <c r="B2658" s="1" t="n">
        <v>44606</v>
      </c>
      <c r="C2658" s="1" t="n">
        <v>45796</v>
      </c>
      <c r="D2658" t="inlineStr">
        <is>
          <t>SKÅNE LÄN</t>
        </is>
      </c>
      <c r="E2658" t="inlineStr">
        <is>
          <t>HÄSSLEHOLM</t>
        </is>
      </c>
      <c r="F2658" t="inlineStr">
        <is>
          <t>Övriga Aktiebolag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7262-2022</t>
        </is>
      </c>
      <c r="B2659" s="1" t="n">
        <v>44606</v>
      </c>
      <c r="C2659" s="1" t="n">
        <v>45796</v>
      </c>
      <c r="D2659" t="inlineStr">
        <is>
          <t>SKÅNE LÄN</t>
        </is>
      </c>
      <c r="E2659" t="inlineStr">
        <is>
          <t>HÄSSLEHOLM</t>
        </is>
      </c>
      <c r="F2659" t="inlineStr">
        <is>
          <t>Övriga Aktiebolag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7249-2022</t>
        </is>
      </c>
      <c r="B2660" s="1" t="n">
        <v>44606</v>
      </c>
      <c r="C2660" s="1" t="n">
        <v>45796</v>
      </c>
      <c r="D2660" t="inlineStr">
        <is>
          <t>SKÅNE LÄN</t>
        </is>
      </c>
      <c r="E2660" t="inlineStr">
        <is>
          <t>HÄSSLEHOLM</t>
        </is>
      </c>
      <c r="F2660" t="inlineStr">
        <is>
          <t>Övriga Aktiebolag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7391-2022</t>
        </is>
      </c>
      <c r="B2661" s="1" t="n">
        <v>44606</v>
      </c>
      <c r="C2661" s="1" t="n">
        <v>45796</v>
      </c>
      <c r="D2661" t="inlineStr">
        <is>
          <t>SKÅNE LÄN</t>
        </is>
      </c>
      <c r="E2661" t="inlineStr">
        <is>
          <t>ÖSTRA GÖINGE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7387-2022</t>
        </is>
      </c>
      <c r="B2662" s="1" t="n">
        <v>44606</v>
      </c>
      <c r="C2662" s="1" t="n">
        <v>45796</v>
      </c>
      <c r="D2662" t="inlineStr">
        <is>
          <t>SKÅNE LÄN</t>
        </is>
      </c>
      <c r="E2662" t="inlineStr">
        <is>
          <t>ÖSTRA GÖINGE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7514-2022</t>
        </is>
      </c>
      <c r="B2663" s="1" t="n">
        <v>44607</v>
      </c>
      <c r="C2663" s="1" t="n">
        <v>45796</v>
      </c>
      <c r="D2663" t="inlineStr">
        <is>
          <t>SKÅNE LÄN</t>
        </is>
      </c>
      <c r="E2663" t="inlineStr">
        <is>
          <t>SJÖBO</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7535-2022</t>
        </is>
      </c>
      <c r="B2664" s="1" t="n">
        <v>44607</v>
      </c>
      <c r="C2664" s="1" t="n">
        <v>45796</v>
      </c>
      <c r="D2664" t="inlineStr">
        <is>
          <t>SKÅNE LÄN</t>
        </is>
      </c>
      <c r="E2664" t="inlineStr">
        <is>
          <t>ÖRKELLJUNGA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7546-2022</t>
        </is>
      </c>
      <c r="B2665" s="1" t="n">
        <v>44607</v>
      </c>
      <c r="C2665" s="1" t="n">
        <v>45796</v>
      </c>
      <c r="D2665" t="inlineStr">
        <is>
          <t>SKÅNE LÄN</t>
        </is>
      </c>
      <c r="E2665" t="inlineStr">
        <is>
          <t>KRISTIANSTAD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7861-2022</t>
        </is>
      </c>
      <c r="B2666" s="1" t="n">
        <v>44607</v>
      </c>
      <c r="C2666" s="1" t="n">
        <v>45796</v>
      </c>
      <c r="D2666" t="inlineStr">
        <is>
          <t>SKÅNE LÄN</t>
        </is>
      </c>
      <c r="E2666" t="inlineStr">
        <is>
          <t>HÄSSLEHOLM</t>
        </is>
      </c>
      <c r="F2666" t="inlineStr">
        <is>
          <t>Kyrkan</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7904-2022</t>
        </is>
      </c>
      <c r="B2667" s="1" t="n">
        <v>44607</v>
      </c>
      <c r="C2667" s="1" t="n">
        <v>45796</v>
      </c>
      <c r="D2667" t="inlineStr">
        <is>
          <t>SKÅNE LÄN</t>
        </is>
      </c>
      <c r="E2667" t="inlineStr">
        <is>
          <t>HÄSSLEHOLM</t>
        </is>
      </c>
      <c r="F2667" t="inlineStr">
        <is>
          <t>Kyrkan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7857-2022</t>
        </is>
      </c>
      <c r="B2668" s="1" t="n">
        <v>44607</v>
      </c>
      <c r="C2668" s="1" t="n">
        <v>45796</v>
      </c>
      <c r="D2668" t="inlineStr">
        <is>
          <t>SKÅNE LÄN</t>
        </is>
      </c>
      <c r="E2668" t="inlineStr">
        <is>
          <t>HÄSSLEHOLM</t>
        </is>
      </c>
      <c r="F2668" t="inlineStr">
        <is>
          <t>Kyrkan</t>
        </is>
      </c>
      <c r="G2668" t="n">
        <v>12.2</v>
      </c>
      <c r="H2668" t="n">
        <v>0</v>
      </c>
      <c r="I2668" t="n">
        <v>0</v>
      </c>
      <c r="J2668" t="n">
        <v>0</v>
      </c>
      <c r="K2668" t="n">
        <v>0</v>
      </c>
      <c r="L2668" t="n">
        <v>0</v>
      </c>
      <c r="M2668" t="n">
        <v>0</v>
      </c>
      <c r="N2668" t="n">
        <v>0</v>
      </c>
      <c r="O2668" t="n">
        <v>0</v>
      </c>
      <c r="P2668" t="n">
        <v>0</v>
      </c>
      <c r="Q2668" t="n">
        <v>0</v>
      </c>
      <c r="R2668" s="2" t="inlineStr"/>
    </row>
    <row r="2669" ht="15" customHeight="1">
      <c r="A2669" t="inlineStr">
        <is>
          <t>A 8111-2022</t>
        </is>
      </c>
      <c r="B2669" s="1" t="n">
        <v>44607</v>
      </c>
      <c r="C2669" s="1" t="n">
        <v>45796</v>
      </c>
      <c r="D2669" t="inlineStr">
        <is>
          <t>SKÅNE LÄN</t>
        </is>
      </c>
      <c r="E2669" t="inlineStr">
        <is>
          <t>ÖRKELLJUNGA</t>
        </is>
      </c>
      <c r="F2669" t="inlineStr">
        <is>
          <t>Kyrkan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8843-2022</t>
        </is>
      </c>
      <c r="B2670" s="1" t="n">
        <v>44607</v>
      </c>
      <c r="C2670" s="1" t="n">
        <v>45796</v>
      </c>
      <c r="D2670" t="inlineStr">
        <is>
          <t>SKÅNE LÄN</t>
        </is>
      </c>
      <c r="E2670" t="inlineStr">
        <is>
          <t>KRISTIANSTAD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8177-2022</t>
        </is>
      </c>
      <c r="B2671" s="1" t="n">
        <v>44607</v>
      </c>
      <c r="C2671" s="1" t="n">
        <v>45796</v>
      </c>
      <c r="D2671" t="inlineStr">
        <is>
          <t>SKÅNE LÄN</t>
        </is>
      </c>
      <c r="E2671" t="inlineStr">
        <is>
          <t>HÄSSLEHOLM</t>
        </is>
      </c>
      <c r="F2671" t="inlineStr">
        <is>
          <t>Kyrkan</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8844-2022</t>
        </is>
      </c>
      <c r="B2672" s="1" t="n">
        <v>44607</v>
      </c>
      <c r="C2672" s="1" t="n">
        <v>45796</v>
      </c>
      <c r="D2672" t="inlineStr">
        <is>
          <t>SKÅNE LÄN</t>
        </is>
      </c>
      <c r="E2672" t="inlineStr">
        <is>
          <t>KRISTIANSTAD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7782-2022</t>
        </is>
      </c>
      <c r="B2673" s="1" t="n">
        <v>44608</v>
      </c>
      <c r="C2673" s="1" t="n">
        <v>45796</v>
      </c>
      <c r="D2673" t="inlineStr">
        <is>
          <t>SKÅNE LÄN</t>
        </is>
      </c>
      <c r="E2673" t="inlineStr">
        <is>
          <t>HÖÖR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7820-2022</t>
        </is>
      </c>
      <c r="B2674" s="1" t="n">
        <v>44608</v>
      </c>
      <c r="C2674" s="1" t="n">
        <v>45796</v>
      </c>
      <c r="D2674" t="inlineStr">
        <is>
          <t>SKÅNE LÄN</t>
        </is>
      </c>
      <c r="E2674" t="inlineStr">
        <is>
          <t>HÄSSLEHOLM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7839-2022</t>
        </is>
      </c>
      <c r="B2675" s="1" t="n">
        <v>44608</v>
      </c>
      <c r="C2675" s="1" t="n">
        <v>45796</v>
      </c>
      <c r="D2675" t="inlineStr">
        <is>
          <t>SKÅNE LÄN</t>
        </is>
      </c>
      <c r="E2675" t="inlineStr">
        <is>
          <t>KLIPPAN</t>
        </is>
      </c>
      <c r="F2675" t="inlineStr">
        <is>
          <t>Övriga Aktiebolag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8084-2022</t>
        </is>
      </c>
      <c r="B2676" s="1" t="n">
        <v>44608</v>
      </c>
      <c r="C2676" s="1" t="n">
        <v>45796</v>
      </c>
      <c r="D2676" t="inlineStr">
        <is>
          <t>SKÅNE LÄN</t>
        </is>
      </c>
      <c r="E2676" t="inlineStr">
        <is>
          <t>KRISTIANSTAD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8017-2022</t>
        </is>
      </c>
      <c r="B2677" s="1" t="n">
        <v>44609</v>
      </c>
      <c r="C2677" s="1" t="n">
        <v>45796</v>
      </c>
      <c r="D2677" t="inlineStr">
        <is>
          <t>SKÅNE LÄN</t>
        </is>
      </c>
      <c r="E2677" t="inlineStr">
        <is>
          <t>KLIPPAN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8206-2022</t>
        </is>
      </c>
      <c r="B2678" s="1" t="n">
        <v>44609</v>
      </c>
      <c r="C2678" s="1" t="n">
        <v>45796</v>
      </c>
      <c r="D2678" t="inlineStr">
        <is>
          <t>SKÅNE LÄN</t>
        </is>
      </c>
      <c r="E2678" t="inlineStr">
        <is>
          <t>KRISTIANSTAD</t>
        </is>
      </c>
      <c r="F2678" t="inlineStr">
        <is>
          <t>Kyrkan</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8250-2022</t>
        </is>
      </c>
      <c r="B2679" s="1" t="n">
        <v>44609</v>
      </c>
      <c r="C2679" s="1" t="n">
        <v>45796</v>
      </c>
      <c r="D2679" t="inlineStr">
        <is>
          <t>SKÅNE LÄN</t>
        </is>
      </c>
      <c r="E2679" t="inlineStr">
        <is>
          <t>OSBY</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8136-2022</t>
        </is>
      </c>
      <c r="B2680" s="1" t="n">
        <v>44609</v>
      </c>
      <c r="C2680" s="1" t="n">
        <v>45796</v>
      </c>
      <c r="D2680" t="inlineStr">
        <is>
          <t>SKÅNE LÄN</t>
        </is>
      </c>
      <c r="E2680" t="inlineStr">
        <is>
          <t>ESLÖV</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8204-2022</t>
        </is>
      </c>
      <c r="B2681" s="1" t="n">
        <v>44609</v>
      </c>
      <c r="C2681" s="1" t="n">
        <v>45796</v>
      </c>
      <c r="D2681" t="inlineStr">
        <is>
          <t>SKÅNE LÄN</t>
        </is>
      </c>
      <c r="E2681" t="inlineStr">
        <is>
          <t>HÄSSLEHOLM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8248-2022</t>
        </is>
      </c>
      <c r="B2682" s="1" t="n">
        <v>44609</v>
      </c>
      <c r="C2682" s="1" t="n">
        <v>45796</v>
      </c>
      <c r="D2682" t="inlineStr">
        <is>
          <t>SKÅNE LÄN</t>
        </is>
      </c>
      <c r="E2682" t="inlineStr">
        <is>
          <t>OSBY</t>
        </is>
      </c>
      <c r="F2682" t="inlineStr">
        <is>
          <t>Kyrkan</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8260-2022</t>
        </is>
      </c>
      <c r="B2683" s="1" t="n">
        <v>44610</v>
      </c>
      <c r="C2683" s="1" t="n">
        <v>45796</v>
      </c>
      <c r="D2683" t="inlineStr">
        <is>
          <t>SKÅNE LÄN</t>
        </is>
      </c>
      <c r="E2683" t="inlineStr">
        <is>
          <t>KRISTIANSTAD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8280-2022</t>
        </is>
      </c>
      <c r="B2684" s="1" t="n">
        <v>44610</v>
      </c>
      <c r="C2684" s="1" t="n">
        <v>45796</v>
      </c>
      <c r="D2684" t="inlineStr">
        <is>
          <t>SKÅNE LÄN</t>
        </is>
      </c>
      <c r="E2684" t="inlineStr">
        <is>
          <t>HÄSSLEHOLM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8370-2022</t>
        </is>
      </c>
      <c r="B2685" s="1" t="n">
        <v>44610</v>
      </c>
      <c r="C2685" s="1" t="n">
        <v>45796</v>
      </c>
      <c r="D2685" t="inlineStr">
        <is>
          <t>SKÅNE LÄN</t>
        </is>
      </c>
      <c r="E2685" t="inlineStr">
        <is>
          <t>OSBY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8371-2022</t>
        </is>
      </c>
      <c r="B2686" s="1" t="n">
        <v>44610</v>
      </c>
      <c r="C2686" s="1" t="n">
        <v>45796</v>
      </c>
      <c r="D2686" t="inlineStr">
        <is>
          <t>SKÅNE LÄN</t>
        </is>
      </c>
      <c r="E2686" t="inlineStr">
        <is>
          <t>OSBY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8386-2022</t>
        </is>
      </c>
      <c r="B2687" s="1" t="n">
        <v>44610</v>
      </c>
      <c r="C2687" s="1" t="n">
        <v>45796</v>
      </c>
      <c r="D2687" t="inlineStr">
        <is>
          <t>SKÅNE LÄN</t>
        </is>
      </c>
      <c r="E2687" t="inlineStr">
        <is>
          <t>ÖSTRA GÖINGE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8367-2022</t>
        </is>
      </c>
      <c r="B2688" s="1" t="n">
        <v>44610</v>
      </c>
      <c r="C2688" s="1" t="n">
        <v>45796</v>
      </c>
      <c r="D2688" t="inlineStr">
        <is>
          <t>SKÅNE LÄN</t>
        </is>
      </c>
      <c r="E2688" t="inlineStr">
        <is>
          <t>OSBY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8382-2022</t>
        </is>
      </c>
      <c r="B2689" s="1" t="n">
        <v>44610</v>
      </c>
      <c r="C2689" s="1" t="n">
        <v>45796</v>
      </c>
      <c r="D2689" t="inlineStr">
        <is>
          <t>SKÅNE LÄN</t>
        </is>
      </c>
      <c r="E2689" t="inlineStr">
        <is>
          <t>OSBY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8443-2022</t>
        </is>
      </c>
      <c r="B2690" s="1" t="n">
        <v>44612</v>
      </c>
      <c r="C2690" s="1" t="n">
        <v>45796</v>
      </c>
      <c r="D2690" t="inlineStr">
        <is>
          <t>SKÅNE LÄN</t>
        </is>
      </c>
      <c r="E2690" t="inlineStr">
        <is>
          <t>HÖÖR</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8445-2022</t>
        </is>
      </c>
      <c r="B2691" s="1" t="n">
        <v>44612</v>
      </c>
      <c r="C2691" s="1" t="n">
        <v>45796</v>
      </c>
      <c r="D2691" t="inlineStr">
        <is>
          <t>SKÅNE LÄN</t>
        </is>
      </c>
      <c r="E2691" t="inlineStr">
        <is>
          <t>HÖÖR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8619-2022</t>
        </is>
      </c>
      <c r="B2692" s="1" t="n">
        <v>44613</v>
      </c>
      <c r="C2692" s="1" t="n">
        <v>45796</v>
      </c>
      <c r="D2692" t="inlineStr">
        <is>
          <t>SKÅNE LÄN</t>
        </is>
      </c>
      <c r="E2692" t="inlineStr">
        <is>
          <t>KRISTIANSTAD</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8665-2022</t>
        </is>
      </c>
      <c r="B2693" s="1" t="n">
        <v>44613</v>
      </c>
      <c r="C2693" s="1" t="n">
        <v>45796</v>
      </c>
      <c r="D2693" t="inlineStr">
        <is>
          <t>SKÅNE LÄN</t>
        </is>
      </c>
      <c r="E2693" t="inlineStr">
        <is>
          <t>ÄNGELHOLM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8700-2022</t>
        </is>
      </c>
      <c r="B2694" s="1" t="n">
        <v>44613</v>
      </c>
      <c r="C2694" s="1" t="n">
        <v>45796</v>
      </c>
      <c r="D2694" t="inlineStr">
        <is>
          <t>SKÅNE LÄN</t>
        </is>
      </c>
      <c r="E2694" t="inlineStr">
        <is>
          <t>TOMELILLA</t>
        </is>
      </c>
      <c r="F2694" t="inlineStr">
        <is>
          <t>Övriga Aktiebolag</t>
        </is>
      </c>
      <c r="G2694" t="n">
        <v>9.800000000000001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8714-2022</t>
        </is>
      </c>
      <c r="B2695" s="1" t="n">
        <v>44613</v>
      </c>
      <c r="C2695" s="1" t="n">
        <v>45796</v>
      </c>
      <c r="D2695" t="inlineStr">
        <is>
          <t>SKÅNE LÄN</t>
        </is>
      </c>
      <c r="E2695" t="inlineStr">
        <is>
          <t>HÖRBY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8842-2022</t>
        </is>
      </c>
      <c r="B2696" s="1" t="n">
        <v>44614</v>
      </c>
      <c r="C2696" s="1" t="n">
        <v>45796</v>
      </c>
      <c r="D2696" t="inlineStr">
        <is>
          <t>SKÅNE LÄN</t>
        </is>
      </c>
      <c r="E2696" t="inlineStr">
        <is>
          <t>ÖSTRA GÖINGE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8947-2022</t>
        </is>
      </c>
      <c r="B2697" s="1" t="n">
        <v>44614</v>
      </c>
      <c r="C2697" s="1" t="n">
        <v>45796</v>
      </c>
      <c r="D2697" t="inlineStr">
        <is>
          <t>SKÅNE LÄN</t>
        </is>
      </c>
      <c r="E2697" t="inlineStr">
        <is>
          <t>KLIPPAN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8794-2022</t>
        </is>
      </c>
      <c r="B2698" s="1" t="n">
        <v>44614</v>
      </c>
      <c r="C2698" s="1" t="n">
        <v>45796</v>
      </c>
      <c r="D2698" t="inlineStr">
        <is>
          <t>SKÅNE LÄN</t>
        </is>
      </c>
      <c r="E2698" t="inlineStr">
        <is>
          <t>OSBY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9098-2022</t>
        </is>
      </c>
      <c r="B2699" s="1" t="n">
        <v>44615</v>
      </c>
      <c r="C2699" s="1" t="n">
        <v>45796</v>
      </c>
      <c r="D2699" t="inlineStr">
        <is>
          <t>SKÅNE LÄN</t>
        </is>
      </c>
      <c r="E2699" t="inlineStr">
        <is>
          <t>HÄSSLEHOLM</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9208-2022</t>
        </is>
      </c>
      <c r="B2700" s="1" t="n">
        <v>44616</v>
      </c>
      <c r="C2700" s="1" t="n">
        <v>45796</v>
      </c>
      <c r="D2700" t="inlineStr">
        <is>
          <t>SKÅNE LÄN</t>
        </is>
      </c>
      <c r="E2700" t="inlineStr">
        <is>
          <t>HÖÖR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9270-2022</t>
        </is>
      </c>
      <c r="B2701" s="1" t="n">
        <v>44616</v>
      </c>
      <c r="C2701" s="1" t="n">
        <v>45796</v>
      </c>
      <c r="D2701" t="inlineStr">
        <is>
          <t>SKÅNE LÄN</t>
        </is>
      </c>
      <c r="E2701" t="inlineStr">
        <is>
          <t>KLIPPAN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9292-2022</t>
        </is>
      </c>
      <c r="B2702" s="1" t="n">
        <v>44616</v>
      </c>
      <c r="C2702" s="1" t="n">
        <v>45796</v>
      </c>
      <c r="D2702" t="inlineStr">
        <is>
          <t>SKÅNE LÄN</t>
        </is>
      </c>
      <c r="E2702" t="inlineStr">
        <is>
          <t>HÄSSLEHOLM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9559-2022</t>
        </is>
      </c>
      <c r="B2703" s="1" t="n">
        <v>44617</v>
      </c>
      <c r="C2703" s="1" t="n">
        <v>45796</v>
      </c>
      <c r="D2703" t="inlineStr">
        <is>
          <t>SKÅNE LÄN</t>
        </is>
      </c>
      <c r="E2703" t="inlineStr">
        <is>
          <t>ÖRKELLJUNGA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9655-2022</t>
        </is>
      </c>
      <c r="B2704" s="1" t="n">
        <v>44617</v>
      </c>
      <c r="C2704" s="1" t="n">
        <v>45796</v>
      </c>
      <c r="D2704" t="inlineStr">
        <is>
          <t>SKÅNE LÄN</t>
        </is>
      </c>
      <c r="E2704" t="inlineStr">
        <is>
          <t>YSTAD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9716-2022</t>
        </is>
      </c>
      <c r="B2705" s="1" t="n">
        <v>44617</v>
      </c>
      <c r="C2705" s="1" t="n">
        <v>45796</v>
      </c>
      <c r="D2705" t="inlineStr">
        <is>
          <t>SKÅNE LÄN</t>
        </is>
      </c>
      <c r="E2705" t="inlineStr">
        <is>
          <t>SVALÖV</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9808-2022</t>
        </is>
      </c>
      <c r="B2706" s="1" t="n">
        <v>44620</v>
      </c>
      <c r="C2706" s="1" t="n">
        <v>45796</v>
      </c>
      <c r="D2706" t="inlineStr">
        <is>
          <t>SKÅNE LÄN</t>
        </is>
      </c>
      <c r="E2706" t="inlineStr">
        <is>
          <t>ÖSTRA GÖINGE</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9840-2022</t>
        </is>
      </c>
      <c r="B2707" s="1" t="n">
        <v>44620</v>
      </c>
      <c r="C2707" s="1" t="n">
        <v>45796</v>
      </c>
      <c r="D2707" t="inlineStr">
        <is>
          <t>SKÅNE LÄN</t>
        </is>
      </c>
      <c r="E2707" t="inlineStr">
        <is>
          <t>OSBY</t>
        </is>
      </c>
      <c r="F2707" t="inlineStr">
        <is>
          <t>Kommuner</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10007-2022</t>
        </is>
      </c>
      <c r="B2708" s="1" t="n">
        <v>44621</v>
      </c>
      <c r="C2708" s="1" t="n">
        <v>45796</v>
      </c>
      <c r="D2708" t="inlineStr">
        <is>
          <t>SKÅNE LÄN</t>
        </is>
      </c>
      <c r="E2708" t="inlineStr">
        <is>
          <t>HÖÖR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10050-2022</t>
        </is>
      </c>
      <c r="B2709" s="1" t="n">
        <v>44621</v>
      </c>
      <c r="C2709" s="1" t="n">
        <v>45796</v>
      </c>
      <c r="D2709" t="inlineStr">
        <is>
          <t>SKÅNE LÄN</t>
        </is>
      </c>
      <c r="E2709" t="inlineStr">
        <is>
          <t>KLIPPAN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10055-2022</t>
        </is>
      </c>
      <c r="B2710" s="1" t="n">
        <v>44621</v>
      </c>
      <c r="C2710" s="1" t="n">
        <v>45796</v>
      </c>
      <c r="D2710" t="inlineStr">
        <is>
          <t>SKÅNE LÄN</t>
        </is>
      </c>
      <c r="E2710" t="inlineStr">
        <is>
          <t>KLIPPAN</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10194-2022</t>
        </is>
      </c>
      <c r="B2711" s="1" t="n">
        <v>44622</v>
      </c>
      <c r="C2711" s="1" t="n">
        <v>45796</v>
      </c>
      <c r="D2711" t="inlineStr">
        <is>
          <t>SKÅNE LÄN</t>
        </is>
      </c>
      <c r="E2711" t="inlineStr">
        <is>
          <t>KRISTIANSTAD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10352-2022</t>
        </is>
      </c>
      <c r="B2712" s="1" t="n">
        <v>44623</v>
      </c>
      <c r="C2712" s="1" t="n">
        <v>45796</v>
      </c>
      <c r="D2712" t="inlineStr">
        <is>
          <t>SKÅNE LÄN</t>
        </is>
      </c>
      <c r="E2712" t="inlineStr">
        <is>
          <t>KRISTIANSTAD</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10355-2022</t>
        </is>
      </c>
      <c r="B2713" s="1" t="n">
        <v>44623</v>
      </c>
      <c r="C2713" s="1" t="n">
        <v>45796</v>
      </c>
      <c r="D2713" t="inlineStr">
        <is>
          <t>SKÅNE LÄN</t>
        </is>
      </c>
      <c r="E2713" t="inlineStr">
        <is>
          <t>KRISTIANSTAD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10372-2022</t>
        </is>
      </c>
      <c r="B2714" s="1" t="n">
        <v>44623</v>
      </c>
      <c r="C2714" s="1" t="n">
        <v>45796</v>
      </c>
      <c r="D2714" t="inlineStr">
        <is>
          <t>SKÅNE LÄN</t>
        </is>
      </c>
      <c r="E2714" t="inlineStr">
        <is>
          <t>OSBY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10367-2022</t>
        </is>
      </c>
      <c r="B2715" s="1" t="n">
        <v>44623</v>
      </c>
      <c r="C2715" s="1" t="n">
        <v>45796</v>
      </c>
      <c r="D2715" t="inlineStr">
        <is>
          <t>SKÅNE LÄN</t>
        </is>
      </c>
      <c r="E2715" t="inlineStr">
        <is>
          <t>ÖSTRA GÖINGE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10454-2022</t>
        </is>
      </c>
      <c r="B2716" s="1" t="n">
        <v>44623</v>
      </c>
      <c r="C2716" s="1" t="n">
        <v>45796</v>
      </c>
      <c r="D2716" t="inlineStr">
        <is>
          <t>SKÅNE LÄN</t>
        </is>
      </c>
      <c r="E2716" t="inlineStr">
        <is>
          <t>SJÖBO</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10474-2022</t>
        </is>
      </c>
      <c r="B2717" s="1" t="n">
        <v>44623</v>
      </c>
      <c r="C2717" s="1" t="n">
        <v>45796</v>
      </c>
      <c r="D2717" t="inlineStr">
        <is>
          <t>SKÅNE LÄN</t>
        </is>
      </c>
      <c r="E2717" t="inlineStr">
        <is>
          <t>KRISTIANSTAD</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10501-2022</t>
        </is>
      </c>
      <c r="B2718" s="1" t="n">
        <v>44623</v>
      </c>
      <c r="C2718" s="1" t="n">
        <v>45796</v>
      </c>
      <c r="D2718" t="inlineStr">
        <is>
          <t>SKÅNE LÄN</t>
        </is>
      </c>
      <c r="E2718" t="inlineStr">
        <is>
          <t>ÖSTRA GÖINGE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10497-2022</t>
        </is>
      </c>
      <c r="B2719" s="1" t="n">
        <v>44623</v>
      </c>
      <c r="C2719" s="1" t="n">
        <v>45796</v>
      </c>
      <c r="D2719" t="inlineStr">
        <is>
          <t>SKÅNE LÄN</t>
        </is>
      </c>
      <c r="E2719" t="inlineStr">
        <is>
          <t>ÖSTRA GÖINGE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10781-2022</t>
        </is>
      </c>
      <c r="B2720" s="1" t="n">
        <v>44627</v>
      </c>
      <c r="C2720" s="1" t="n">
        <v>45796</v>
      </c>
      <c r="D2720" t="inlineStr">
        <is>
          <t>SKÅNE LÄN</t>
        </is>
      </c>
      <c r="E2720" t="inlineStr">
        <is>
          <t>KRISTIANSTAD</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10805-2022</t>
        </is>
      </c>
      <c r="B2721" s="1" t="n">
        <v>44627</v>
      </c>
      <c r="C2721" s="1" t="n">
        <v>45796</v>
      </c>
      <c r="D2721" t="inlineStr">
        <is>
          <t>SKÅNE LÄN</t>
        </is>
      </c>
      <c r="E2721" t="inlineStr">
        <is>
          <t>KRISTIANSTAD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10937-2022</t>
        </is>
      </c>
      <c r="B2722" s="1" t="n">
        <v>44627</v>
      </c>
      <c r="C2722" s="1" t="n">
        <v>45796</v>
      </c>
      <c r="D2722" t="inlineStr">
        <is>
          <t>SKÅNE LÄN</t>
        </is>
      </c>
      <c r="E2722" t="inlineStr">
        <is>
          <t>ÖSTRA GÖINGE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10939-2022</t>
        </is>
      </c>
      <c r="B2723" s="1" t="n">
        <v>44627</v>
      </c>
      <c r="C2723" s="1" t="n">
        <v>45796</v>
      </c>
      <c r="D2723" t="inlineStr">
        <is>
          <t>SKÅNE LÄN</t>
        </is>
      </c>
      <c r="E2723" t="inlineStr">
        <is>
          <t>ÖSTRA GÖINGE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10971-2022</t>
        </is>
      </c>
      <c r="B2724" s="1" t="n">
        <v>44628</v>
      </c>
      <c r="C2724" s="1" t="n">
        <v>45796</v>
      </c>
      <c r="D2724" t="inlineStr">
        <is>
          <t>SKÅNE LÄN</t>
        </is>
      </c>
      <c r="E2724" t="inlineStr">
        <is>
          <t>HÖRBY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10968-2022</t>
        </is>
      </c>
      <c r="B2725" s="1" t="n">
        <v>44628</v>
      </c>
      <c r="C2725" s="1" t="n">
        <v>45796</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11067-2022</t>
        </is>
      </c>
      <c r="B2726" s="1" t="n">
        <v>44628</v>
      </c>
      <c r="C2726" s="1" t="n">
        <v>45796</v>
      </c>
      <c r="D2726" t="inlineStr">
        <is>
          <t>SKÅNE LÄN</t>
        </is>
      </c>
      <c r="E2726" t="inlineStr">
        <is>
          <t>KRISTIANSTAD</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10970-2022</t>
        </is>
      </c>
      <c r="B2727" s="1" t="n">
        <v>44628</v>
      </c>
      <c r="C2727" s="1" t="n">
        <v>45796</v>
      </c>
      <c r="D2727" t="inlineStr">
        <is>
          <t>SKÅNE LÄN</t>
        </is>
      </c>
      <c r="E2727" t="inlineStr">
        <is>
          <t>KRISTIANSTAD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11054-2022</t>
        </is>
      </c>
      <c r="B2728" s="1" t="n">
        <v>44628</v>
      </c>
      <c r="C2728" s="1" t="n">
        <v>45796</v>
      </c>
      <c r="D2728" t="inlineStr">
        <is>
          <t>SKÅNE LÄN</t>
        </is>
      </c>
      <c r="E2728" t="inlineStr">
        <is>
          <t>KRISTIANSTAD</t>
        </is>
      </c>
      <c r="G2728" t="n">
        <v>14.5</v>
      </c>
      <c r="H2728" t="n">
        <v>0</v>
      </c>
      <c r="I2728" t="n">
        <v>0</v>
      </c>
      <c r="J2728" t="n">
        <v>0</v>
      </c>
      <c r="K2728" t="n">
        <v>0</v>
      </c>
      <c r="L2728" t="n">
        <v>0</v>
      </c>
      <c r="M2728" t="n">
        <v>0</v>
      </c>
      <c r="N2728" t="n">
        <v>0</v>
      </c>
      <c r="O2728" t="n">
        <v>0</v>
      </c>
      <c r="P2728" t="n">
        <v>0</v>
      </c>
      <c r="Q2728" t="n">
        <v>0</v>
      </c>
      <c r="R2728" s="2" t="inlineStr"/>
    </row>
    <row r="2729" ht="15" customHeight="1">
      <c r="A2729" t="inlineStr">
        <is>
          <t>A 11186-2022</t>
        </is>
      </c>
      <c r="B2729" s="1" t="n">
        <v>44629</v>
      </c>
      <c r="C2729" s="1" t="n">
        <v>45796</v>
      </c>
      <c r="D2729" t="inlineStr">
        <is>
          <t>SKÅNE LÄN</t>
        </is>
      </c>
      <c r="E2729" t="inlineStr">
        <is>
          <t>HÖÖR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11207-2022</t>
        </is>
      </c>
      <c r="B2730" s="1" t="n">
        <v>44629</v>
      </c>
      <c r="C2730" s="1" t="n">
        <v>45796</v>
      </c>
      <c r="D2730" t="inlineStr">
        <is>
          <t>SKÅNE LÄN</t>
        </is>
      </c>
      <c r="E2730" t="inlineStr">
        <is>
          <t>KRISTIANSTAD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11555-2022</t>
        </is>
      </c>
      <c r="B2731" s="1" t="n">
        <v>44631</v>
      </c>
      <c r="C2731" s="1" t="n">
        <v>45796</v>
      </c>
      <c r="D2731" t="inlineStr">
        <is>
          <t>SKÅNE LÄN</t>
        </is>
      </c>
      <c r="E2731" t="inlineStr">
        <is>
          <t>OSBY</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11798-2022</t>
        </is>
      </c>
      <c r="B2732" s="1" t="n">
        <v>44634</v>
      </c>
      <c r="C2732" s="1" t="n">
        <v>45796</v>
      </c>
      <c r="D2732" t="inlineStr">
        <is>
          <t>SKÅNE LÄN</t>
        </is>
      </c>
      <c r="E2732" t="inlineStr">
        <is>
          <t>HÄSSLEHOLM</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11773-2022</t>
        </is>
      </c>
      <c r="B2733" s="1" t="n">
        <v>44634</v>
      </c>
      <c r="C2733" s="1" t="n">
        <v>45796</v>
      </c>
      <c r="D2733" t="inlineStr">
        <is>
          <t>SKÅNE LÄN</t>
        </is>
      </c>
      <c r="E2733" t="inlineStr">
        <is>
          <t>ÄNGELHOLM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11775-2022</t>
        </is>
      </c>
      <c r="B2734" s="1" t="n">
        <v>44634</v>
      </c>
      <c r="C2734" s="1" t="n">
        <v>45796</v>
      </c>
      <c r="D2734" t="inlineStr">
        <is>
          <t>SKÅNE LÄN</t>
        </is>
      </c>
      <c r="E2734" t="inlineStr">
        <is>
          <t>ÄNGELHOLM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11786-2022</t>
        </is>
      </c>
      <c r="B2735" s="1" t="n">
        <v>44634</v>
      </c>
      <c r="C2735" s="1" t="n">
        <v>45796</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11795-2022</t>
        </is>
      </c>
      <c r="B2736" s="1" t="n">
        <v>44634</v>
      </c>
      <c r="C2736" s="1" t="n">
        <v>45796</v>
      </c>
      <c r="D2736" t="inlineStr">
        <is>
          <t>SKÅNE LÄN</t>
        </is>
      </c>
      <c r="E2736" t="inlineStr">
        <is>
          <t>KRISTIANSTAD</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11970-2022</t>
        </is>
      </c>
      <c r="B2737" s="1" t="n">
        <v>44635</v>
      </c>
      <c r="C2737" s="1" t="n">
        <v>45796</v>
      </c>
      <c r="D2737" t="inlineStr">
        <is>
          <t>SKÅNE LÄN</t>
        </is>
      </c>
      <c r="E2737" t="inlineStr">
        <is>
          <t>ÖRKELLJUNGA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11947-2022</t>
        </is>
      </c>
      <c r="B2738" s="1" t="n">
        <v>44635</v>
      </c>
      <c r="C2738" s="1" t="n">
        <v>45796</v>
      </c>
      <c r="D2738" t="inlineStr">
        <is>
          <t>SKÅNE LÄN</t>
        </is>
      </c>
      <c r="E2738" t="inlineStr">
        <is>
          <t>ÖSTRA GÖINGE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12141-2022</t>
        </is>
      </c>
      <c r="B2739" s="1" t="n">
        <v>44636</v>
      </c>
      <c r="C2739" s="1" t="n">
        <v>45796</v>
      </c>
      <c r="D2739" t="inlineStr">
        <is>
          <t>SKÅNE LÄN</t>
        </is>
      </c>
      <c r="E2739" t="inlineStr">
        <is>
          <t>ÖRKELLJUNGA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12182-2022</t>
        </is>
      </c>
      <c r="B2740" s="1" t="n">
        <v>44636</v>
      </c>
      <c r="C2740" s="1" t="n">
        <v>45796</v>
      </c>
      <c r="D2740" t="inlineStr">
        <is>
          <t>SKÅNE LÄN</t>
        </is>
      </c>
      <c r="E2740" t="inlineStr">
        <is>
          <t>PERSTORP</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12036-2022</t>
        </is>
      </c>
      <c r="B2741" s="1" t="n">
        <v>44636</v>
      </c>
      <c r="C2741" s="1" t="n">
        <v>45796</v>
      </c>
      <c r="D2741" t="inlineStr">
        <is>
          <t>SKÅNE LÄN</t>
        </is>
      </c>
      <c r="E2741" t="inlineStr">
        <is>
          <t>HÄSSLEHOLM</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12139-2022</t>
        </is>
      </c>
      <c r="B2742" s="1" t="n">
        <v>44636</v>
      </c>
      <c r="C2742" s="1" t="n">
        <v>45796</v>
      </c>
      <c r="D2742" t="inlineStr">
        <is>
          <t>SKÅNE LÄN</t>
        </is>
      </c>
      <c r="E2742" t="inlineStr">
        <is>
          <t>ÖRKELLJUNGA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12136-2022</t>
        </is>
      </c>
      <c r="B2743" s="1" t="n">
        <v>44636</v>
      </c>
      <c r="C2743" s="1" t="n">
        <v>45796</v>
      </c>
      <c r="D2743" t="inlineStr">
        <is>
          <t>SKÅNE LÄN</t>
        </is>
      </c>
      <c r="E2743" t="inlineStr">
        <is>
          <t>ÖRKELLJUNGA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12500-2022</t>
        </is>
      </c>
      <c r="B2744" s="1" t="n">
        <v>44638</v>
      </c>
      <c r="C2744" s="1" t="n">
        <v>45796</v>
      </c>
      <c r="D2744" t="inlineStr">
        <is>
          <t>SKÅNE LÄN</t>
        </is>
      </c>
      <c r="E2744" t="inlineStr">
        <is>
          <t>KRISTIANSTAD</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12507-2022</t>
        </is>
      </c>
      <c r="B2745" s="1" t="n">
        <v>44638</v>
      </c>
      <c r="C2745" s="1" t="n">
        <v>45796</v>
      </c>
      <c r="D2745" t="inlineStr">
        <is>
          <t>SKÅNE LÄN</t>
        </is>
      </c>
      <c r="E2745" t="inlineStr">
        <is>
          <t>HÄSSLEHOLM</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12526-2022</t>
        </is>
      </c>
      <c r="B2746" s="1" t="n">
        <v>44638</v>
      </c>
      <c r="C2746" s="1" t="n">
        <v>45796</v>
      </c>
      <c r="D2746" t="inlineStr">
        <is>
          <t>SKÅNE LÄN</t>
        </is>
      </c>
      <c r="E2746" t="inlineStr">
        <is>
          <t>OSBY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12503-2022</t>
        </is>
      </c>
      <c r="B2747" s="1" t="n">
        <v>44638</v>
      </c>
      <c r="C2747" s="1" t="n">
        <v>45796</v>
      </c>
      <c r="D2747" t="inlineStr">
        <is>
          <t>SKÅNE LÄN</t>
        </is>
      </c>
      <c r="E2747" t="inlineStr">
        <is>
          <t>HÄSSLEHOLM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12663-2022</t>
        </is>
      </c>
      <c r="B2748" s="1" t="n">
        <v>44641</v>
      </c>
      <c r="C2748" s="1" t="n">
        <v>45796</v>
      </c>
      <c r="D2748" t="inlineStr">
        <is>
          <t>SKÅNE LÄN</t>
        </is>
      </c>
      <c r="E2748" t="inlineStr">
        <is>
          <t>TOMELILLA</t>
        </is>
      </c>
      <c r="F2748" t="inlineStr">
        <is>
          <t>Övriga Aktiebolag</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12639-2022</t>
        </is>
      </c>
      <c r="B2749" s="1" t="n">
        <v>44641</v>
      </c>
      <c r="C2749" s="1" t="n">
        <v>45796</v>
      </c>
      <c r="D2749" t="inlineStr">
        <is>
          <t>SKÅNE LÄN</t>
        </is>
      </c>
      <c r="E2749" t="inlineStr">
        <is>
          <t>HÖGANÄS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12651-2022</t>
        </is>
      </c>
      <c r="B2750" s="1" t="n">
        <v>44641</v>
      </c>
      <c r="C2750" s="1" t="n">
        <v>45796</v>
      </c>
      <c r="D2750" t="inlineStr">
        <is>
          <t>SKÅNE LÄN</t>
        </is>
      </c>
      <c r="E2750" t="inlineStr">
        <is>
          <t>HELSINGBORG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12919-2022</t>
        </is>
      </c>
      <c r="B2751" s="1" t="n">
        <v>44642</v>
      </c>
      <c r="C2751" s="1" t="n">
        <v>45796</v>
      </c>
      <c r="D2751" t="inlineStr">
        <is>
          <t>SKÅNE LÄN</t>
        </is>
      </c>
      <c r="E2751" t="inlineStr">
        <is>
          <t>TOMELILLA</t>
        </is>
      </c>
      <c r="F2751" t="inlineStr">
        <is>
          <t>Övriga Aktiebolag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13055-2022</t>
        </is>
      </c>
      <c r="B2752" s="1" t="n">
        <v>44643</v>
      </c>
      <c r="C2752" s="1" t="n">
        <v>45796</v>
      </c>
      <c r="D2752" t="inlineStr">
        <is>
          <t>SKÅNE LÄN</t>
        </is>
      </c>
      <c r="E2752" t="inlineStr">
        <is>
          <t>SJÖBO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13109-2022</t>
        </is>
      </c>
      <c r="B2753" s="1" t="n">
        <v>44644</v>
      </c>
      <c r="C2753" s="1" t="n">
        <v>45796</v>
      </c>
      <c r="D2753" t="inlineStr">
        <is>
          <t>SKÅNE LÄN</t>
        </is>
      </c>
      <c r="E2753" t="inlineStr">
        <is>
          <t>OSBY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13192-2022</t>
        </is>
      </c>
      <c r="B2754" s="1" t="n">
        <v>44644</v>
      </c>
      <c r="C2754" s="1" t="n">
        <v>45796</v>
      </c>
      <c r="D2754" t="inlineStr">
        <is>
          <t>SKÅNE LÄN</t>
        </is>
      </c>
      <c r="E2754" t="inlineStr">
        <is>
          <t>HÖÖR</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13242-2022</t>
        </is>
      </c>
      <c r="B2755" s="1" t="n">
        <v>44644</v>
      </c>
      <c r="C2755" s="1" t="n">
        <v>45796</v>
      </c>
      <c r="D2755" t="inlineStr">
        <is>
          <t>SKÅNE LÄN</t>
        </is>
      </c>
      <c r="E2755" t="inlineStr">
        <is>
          <t>HÖRBY</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13170-2022</t>
        </is>
      </c>
      <c r="B2756" s="1" t="n">
        <v>44644</v>
      </c>
      <c r="C2756" s="1" t="n">
        <v>45796</v>
      </c>
      <c r="D2756" t="inlineStr">
        <is>
          <t>SKÅNE LÄN</t>
        </is>
      </c>
      <c r="E2756" t="inlineStr">
        <is>
          <t>KLIPPAN</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13431-2022</t>
        </is>
      </c>
      <c r="B2757" s="1" t="n">
        <v>44645</v>
      </c>
      <c r="C2757" s="1" t="n">
        <v>45796</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13410-2022</t>
        </is>
      </c>
      <c r="B2758" s="1" t="n">
        <v>44645</v>
      </c>
      <c r="C2758" s="1" t="n">
        <v>45796</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13433-2022</t>
        </is>
      </c>
      <c r="B2759" s="1" t="n">
        <v>44645</v>
      </c>
      <c r="C2759" s="1" t="n">
        <v>45796</v>
      </c>
      <c r="D2759" t="inlineStr">
        <is>
          <t>SKÅNE LÄN</t>
        </is>
      </c>
      <c r="E2759" t="inlineStr">
        <is>
          <t>KRISTIANSTAD</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13337-2022</t>
        </is>
      </c>
      <c r="B2760" s="1" t="n">
        <v>44645</v>
      </c>
      <c r="C2760" s="1" t="n">
        <v>45796</v>
      </c>
      <c r="D2760" t="inlineStr">
        <is>
          <t>SKÅNE LÄN</t>
        </is>
      </c>
      <c r="E2760" t="inlineStr">
        <is>
          <t>ESLÖV</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13754-2022</t>
        </is>
      </c>
      <c r="B2761" s="1" t="n">
        <v>44649</v>
      </c>
      <c r="C2761" s="1" t="n">
        <v>45796</v>
      </c>
      <c r="D2761" t="inlineStr">
        <is>
          <t>SKÅNE LÄN</t>
        </is>
      </c>
      <c r="E2761" t="inlineStr">
        <is>
          <t>LUND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13903-2022</t>
        </is>
      </c>
      <c r="B2762" s="1" t="n">
        <v>44650</v>
      </c>
      <c r="C2762" s="1" t="n">
        <v>45796</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13990-2022</t>
        </is>
      </c>
      <c r="B2763" s="1" t="n">
        <v>44650</v>
      </c>
      <c r="C2763" s="1" t="n">
        <v>45796</v>
      </c>
      <c r="D2763" t="inlineStr">
        <is>
          <t>SKÅNE LÄN</t>
        </is>
      </c>
      <c r="E2763" t="inlineStr">
        <is>
          <t>HÄSSLEHOLM</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14402-2022</t>
        </is>
      </c>
      <c r="B2764" s="1" t="n">
        <v>44652</v>
      </c>
      <c r="C2764" s="1" t="n">
        <v>45796</v>
      </c>
      <c r="D2764" t="inlineStr">
        <is>
          <t>SKÅNE LÄN</t>
        </is>
      </c>
      <c r="E2764" t="inlineStr">
        <is>
          <t>HÄSSLEHOLM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14524-2022</t>
        </is>
      </c>
      <c r="B2765" s="1" t="n">
        <v>44655</v>
      </c>
      <c r="C2765" s="1" t="n">
        <v>45796</v>
      </c>
      <c r="D2765" t="inlineStr">
        <is>
          <t>SKÅNE LÄN</t>
        </is>
      </c>
      <c r="E2765" t="inlineStr">
        <is>
          <t>KRISTIANSTAD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14709-2022</t>
        </is>
      </c>
      <c r="B2766" s="1" t="n">
        <v>44656</v>
      </c>
      <c r="C2766" s="1" t="n">
        <v>45796</v>
      </c>
      <c r="D2766" t="inlineStr">
        <is>
          <t>SKÅNE LÄN</t>
        </is>
      </c>
      <c r="E2766" t="inlineStr">
        <is>
          <t>SJÖBO</t>
        </is>
      </c>
      <c r="F2766" t="inlineStr">
        <is>
          <t>Övriga Aktiebolag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14913-2022</t>
        </is>
      </c>
      <c r="B2767" s="1" t="n">
        <v>44656</v>
      </c>
      <c r="C2767" s="1" t="n">
        <v>45796</v>
      </c>
      <c r="D2767" t="inlineStr">
        <is>
          <t>SKÅNE LÄN</t>
        </is>
      </c>
      <c r="E2767" t="inlineStr">
        <is>
          <t>KRISTIANSTAD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14994-2022</t>
        </is>
      </c>
      <c r="B2768" s="1" t="n">
        <v>44657</v>
      </c>
      <c r="C2768" s="1" t="n">
        <v>45796</v>
      </c>
      <c r="D2768" t="inlineStr">
        <is>
          <t>SKÅNE LÄN</t>
        </is>
      </c>
      <c r="E2768" t="inlineStr">
        <is>
          <t>SIMRISHAMN</t>
        </is>
      </c>
      <c r="F2768" t="inlineStr">
        <is>
          <t>Övriga Aktiebolag</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15046-2022</t>
        </is>
      </c>
      <c r="B2769" s="1" t="n">
        <v>44657</v>
      </c>
      <c r="C2769" s="1" t="n">
        <v>45796</v>
      </c>
      <c r="D2769" t="inlineStr">
        <is>
          <t>SKÅNE LÄN</t>
        </is>
      </c>
      <c r="E2769" t="inlineStr">
        <is>
          <t>ÄNGELHOLM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14988-2022</t>
        </is>
      </c>
      <c r="B2770" s="1" t="n">
        <v>44657</v>
      </c>
      <c r="C2770" s="1" t="n">
        <v>45796</v>
      </c>
      <c r="D2770" t="inlineStr">
        <is>
          <t>SKÅNE LÄN</t>
        </is>
      </c>
      <c r="E2770" t="inlineStr">
        <is>
          <t>SIMRISHAMN</t>
        </is>
      </c>
      <c r="F2770" t="inlineStr">
        <is>
          <t>Övriga Aktiebolag</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15181-2022</t>
        </is>
      </c>
      <c r="B2771" s="1" t="n">
        <v>44658</v>
      </c>
      <c r="C2771" s="1" t="n">
        <v>45796</v>
      </c>
      <c r="D2771" t="inlineStr">
        <is>
          <t>SKÅNE LÄN</t>
        </is>
      </c>
      <c r="E2771" t="inlineStr">
        <is>
          <t>OSBY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15197-2022</t>
        </is>
      </c>
      <c r="B2772" s="1" t="n">
        <v>44658</v>
      </c>
      <c r="C2772" s="1" t="n">
        <v>45796</v>
      </c>
      <c r="D2772" t="inlineStr">
        <is>
          <t>SKÅNE LÄN</t>
        </is>
      </c>
      <c r="E2772" t="inlineStr">
        <is>
          <t>TOMELILLA</t>
        </is>
      </c>
      <c r="F2772" t="inlineStr">
        <is>
          <t>Övriga Aktiebolag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15118-2022</t>
        </is>
      </c>
      <c r="B2773" s="1" t="n">
        <v>44659</v>
      </c>
      <c r="C2773" s="1" t="n">
        <v>45796</v>
      </c>
      <c r="D2773" t="inlineStr">
        <is>
          <t>SKÅNE LÄN</t>
        </is>
      </c>
      <c r="E2773" t="inlineStr">
        <is>
          <t>HÄSSLEHOLM</t>
        </is>
      </c>
      <c r="F2773" t="inlineStr">
        <is>
          <t>Kyrkan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15417-2022</t>
        </is>
      </c>
      <c r="B2774" s="1" t="n">
        <v>44659</v>
      </c>
      <c r="C2774" s="1" t="n">
        <v>45796</v>
      </c>
      <c r="D2774" t="inlineStr">
        <is>
          <t>SKÅNE LÄN</t>
        </is>
      </c>
      <c r="E2774" t="inlineStr">
        <is>
          <t>HÄSSLEHOLM</t>
        </is>
      </c>
      <c r="F2774" t="inlineStr">
        <is>
          <t>Kyrkan</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15423-2022</t>
        </is>
      </c>
      <c r="B2775" s="1" t="n">
        <v>44659</v>
      </c>
      <c r="C2775" s="1" t="n">
        <v>45796</v>
      </c>
      <c r="D2775" t="inlineStr">
        <is>
          <t>SKÅNE LÄN</t>
        </is>
      </c>
      <c r="E2775" t="inlineStr">
        <is>
          <t>HÄSSLEHOLM</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15320-2022</t>
        </is>
      </c>
      <c r="B2776" s="1" t="n">
        <v>44659</v>
      </c>
      <c r="C2776" s="1" t="n">
        <v>45796</v>
      </c>
      <c r="D2776" t="inlineStr">
        <is>
          <t>SKÅNE LÄN</t>
        </is>
      </c>
      <c r="E2776" t="inlineStr">
        <is>
          <t>SJÖBO</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15442-2022</t>
        </is>
      </c>
      <c r="B2777" s="1" t="n">
        <v>44659</v>
      </c>
      <c r="C2777" s="1" t="n">
        <v>45796</v>
      </c>
      <c r="D2777" t="inlineStr">
        <is>
          <t>SKÅNE LÄN</t>
        </is>
      </c>
      <c r="E2777" t="inlineStr">
        <is>
          <t>KLIPPAN</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15570-2022</t>
        </is>
      </c>
      <c r="B2778" s="1" t="n">
        <v>44662</v>
      </c>
      <c r="C2778" s="1" t="n">
        <v>45796</v>
      </c>
      <c r="D2778" t="inlineStr">
        <is>
          <t>SKÅNE LÄN</t>
        </is>
      </c>
      <c r="E2778" t="inlineStr">
        <is>
          <t>OSBY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15568-2022</t>
        </is>
      </c>
      <c r="B2779" s="1" t="n">
        <v>44662</v>
      </c>
      <c r="C2779" s="1" t="n">
        <v>45796</v>
      </c>
      <c r="D2779" t="inlineStr">
        <is>
          <t>SKÅNE LÄN</t>
        </is>
      </c>
      <c r="E2779" t="inlineStr">
        <is>
          <t>OSBY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15703-2022</t>
        </is>
      </c>
      <c r="B2780" s="1" t="n">
        <v>44663</v>
      </c>
      <c r="C2780" s="1" t="n">
        <v>45796</v>
      </c>
      <c r="D2780" t="inlineStr">
        <is>
          <t>SKÅNE LÄN</t>
        </is>
      </c>
      <c r="E2780" t="inlineStr">
        <is>
          <t>HÄSSLEHOLM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15794-2022</t>
        </is>
      </c>
      <c r="B2781" s="1" t="n">
        <v>44663</v>
      </c>
      <c r="C2781" s="1" t="n">
        <v>45796</v>
      </c>
      <c r="D2781" t="inlineStr">
        <is>
          <t>SKÅNE LÄN</t>
        </is>
      </c>
      <c r="E2781" t="inlineStr">
        <is>
          <t>HÖRBY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15797-2022</t>
        </is>
      </c>
      <c r="B2782" s="1" t="n">
        <v>44663</v>
      </c>
      <c r="C2782" s="1" t="n">
        <v>45796</v>
      </c>
      <c r="D2782" t="inlineStr">
        <is>
          <t>SKÅNE LÄN</t>
        </is>
      </c>
      <c r="E2782" t="inlineStr">
        <is>
          <t>OSBY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15856-2022</t>
        </is>
      </c>
      <c r="B2783" s="1" t="n">
        <v>44664</v>
      </c>
      <c r="C2783" s="1" t="n">
        <v>45796</v>
      </c>
      <c r="D2783" t="inlineStr">
        <is>
          <t>SKÅNE LÄN</t>
        </is>
      </c>
      <c r="E2783" t="inlineStr">
        <is>
          <t>SJÖBO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15986-2022</t>
        </is>
      </c>
      <c r="B2784" s="1" t="n">
        <v>44664</v>
      </c>
      <c r="C2784" s="1" t="n">
        <v>45796</v>
      </c>
      <c r="D2784" t="inlineStr">
        <is>
          <t>SKÅNE LÄN</t>
        </is>
      </c>
      <c r="E2784" t="inlineStr">
        <is>
          <t>HÄSSLEHOLM</t>
        </is>
      </c>
      <c r="F2784" t="inlineStr">
        <is>
          <t>Kyrkan</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15951-2022</t>
        </is>
      </c>
      <c r="B2785" s="1" t="n">
        <v>44664</v>
      </c>
      <c r="C2785" s="1" t="n">
        <v>45796</v>
      </c>
      <c r="D2785" t="inlineStr">
        <is>
          <t>SKÅNE LÄN</t>
        </is>
      </c>
      <c r="E2785" t="inlineStr">
        <is>
          <t>KLIPPAN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16027-2022</t>
        </is>
      </c>
      <c r="B2786" s="1" t="n">
        <v>44665</v>
      </c>
      <c r="C2786" s="1" t="n">
        <v>45796</v>
      </c>
      <c r="D2786" t="inlineStr">
        <is>
          <t>SKÅNE LÄN</t>
        </is>
      </c>
      <c r="E2786" t="inlineStr">
        <is>
          <t>TOMELILLA</t>
        </is>
      </c>
      <c r="F2786" t="inlineStr">
        <is>
          <t>Övriga Aktiebolag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16056-2022</t>
        </is>
      </c>
      <c r="B2787" s="1" t="n">
        <v>44665</v>
      </c>
      <c r="C2787" s="1" t="n">
        <v>45796</v>
      </c>
      <c r="D2787" t="inlineStr">
        <is>
          <t>SKÅNE LÄN</t>
        </is>
      </c>
      <c r="E2787" t="inlineStr">
        <is>
          <t>OSBY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16204-2022</t>
        </is>
      </c>
      <c r="B2788" s="1" t="n">
        <v>44669</v>
      </c>
      <c r="C2788" s="1" t="n">
        <v>45796</v>
      </c>
      <c r="D2788" t="inlineStr">
        <is>
          <t>SKÅNE LÄN</t>
        </is>
      </c>
      <c r="E2788" t="inlineStr">
        <is>
          <t>KRISTIANSTAD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16215-2022</t>
        </is>
      </c>
      <c r="B2789" s="1" t="n">
        <v>44670</v>
      </c>
      <c r="C2789" s="1" t="n">
        <v>45796</v>
      </c>
      <c r="D2789" t="inlineStr">
        <is>
          <t>SKÅNE LÄN</t>
        </is>
      </c>
      <c r="E2789" t="inlineStr">
        <is>
          <t>SVALÖV</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16326-2022</t>
        </is>
      </c>
      <c r="B2790" s="1" t="n">
        <v>44670</v>
      </c>
      <c r="C2790" s="1" t="n">
        <v>45796</v>
      </c>
      <c r="D2790" t="inlineStr">
        <is>
          <t>SKÅNE LÄN</t>
        </is>
      </c>
      <c r="E2790" t="inlineStr">
        <is>
          <t>KRISTIANSTAD</t>
        </is>
      </c>
      <c r="G2790" t="n">
        <v>15.3</v>
      </c>
      <c r="H2790" t="n">
        <v>0</v>
      </c>
      <c r="I2790" t="n">
        <v>0</v>
      </c>
      <c r="J2790" t="n">
        <v>0</v>
      </c>
      <c r="K2790" t="n">
        <v>0</v>
      </c>
      <c r="L2790" t="n">
        <v>0</v>
      </c>
      <c r="M2790" t="n">
        <v>0</v>
      </c>
      <c r="N2790" t="n">
        <v>0</v>
      </c>
      <c r="O2790" t="n">
        <v>0</v>
      </c>
      <c r="P2790" t="n">
        <v>0</v>
      </c>
      <c r="Q2790" t="n">
        <v>0</v>
      </c>
      <c r="R2790" s="2" t="inlineStr"/>
    </row>
    <row r="2791" ht="15" customHeight="1">
      <c r="A2791" t="inlineStr">
        <is>
          <t>A 16397-2022</t>
        </is>
      </c>
      <c r="B2791" s="1" t="n">
        <v>44671</v>
      </c>
      <c r="C2791" s="1" t="n">
        <v>45796</v>
      </c>
      <c r="D2791" t="inlineStr">
        <is>
          <t>SKÅNE LÄN</t>
        </is>
      </c>
      <c r="E2791" t="inlineStr">
        <is>
          <t>HÄSSLEHOLM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16431-2022</t>
        </is>
      </c>
      <c r="B2792" s="1" t="n">
        <v>44671</v>
      </c>
      <c r="C2792" s="1" t="n">
        <v>45796</v>
      </c>
      <c r="D2792" t="inlineStr">
        <is>
          <t>SKÅNE LÄN</t>
        </is>
      </c>
      <c r="E2792" t="inlineStr">
        <is>
          <t>ÖRKELLJUNGA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16398-2022</t>
        </is>
      </c>
      <c r="B2793" s="1" t="n">
        <v>44671</v>
      </c>
      <c r="C2793" s="1" t="n">
        <v>45796</v>
      </c>
      <c r="D2793" t="inlineStr">
        <is>
          <t>SKÅNE LÄN</t>
        </is>
      </c>
      <c r="E2793" t="inlineStr">
        <is>
          <t>HÄSSLEHOLM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16663-2022</t>
        </is>
      </c>
      <c r="B2794" s="1" t="n">
        <v>44672</v>
      </c>
      <c r="C2794" s="1" t="n">
        <v>45796</v>
      </c>
      <c r="D2794" t="inlineStr">
        <is>
          <t>SKÅNE LÄN</t>
        </is>
      </c>
      <c r="E2794" t="inlineStr">
        <is>
          <t>HÖÖR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16579-2022</t>
        </is>
      </c>
      <c r="B2795" s="1" t="n">
        <v>44672</v>
      </c>
      <c r="C2795" s="1" t="n">
        <v>45796</v>
      </c>
      <c r="D2795" t="inlineStr">
        <is>
          <t>SKÅNE LÄN</t>
        </is>
      </c>
      <c r="E2795" t="inlineStr">
        <is>
          <t>KRISTIANSTAD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16564-2022</t>
        </is>
      </c>
      <c r="B2796" s="1" t="n">
        <v>44672</v>
      </c>
      <c r="C2796" s="1" t="n">
        <v>45796</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16588-2022</t>
        </is>
      </c>
      <c r="B2797" s="1" t="n">
        <v>44672</v>
      </c>
      <c r="C2797" s="1" t="n">
        <v>45796</v>
      </c>
      <c r="D2797" t="inlineStr">
        <is>
          <t>SKÅNE LÄN</t>
        </is>
      </c>
      <c r="E2797" t="inlineStr">
        <is>
          <t>KRISTIANSTAD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16665-2022</t>
        </is>
      </c>
      <c r="B2798" s="1" t="n">
        <v>44672</v>
      </c>
      <c r="C2798" s="1" t="n">
        <v>45796</v>
      </c>
      <c r="D2798" t="inlineStr">
        <is>
          <t>SKÅNE LÄN</t>
        </is>
      </c>
      <c r="E2798" t="inlineStr">
        <is>
          <t>HÖÖR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16571-2022</t>
        </is>
      </c>
      <c r="B2799" s="1" t="n">
        <v>44672</v>
      </c>
      <c r="C2799" s="1" t="n">
        <v>45796</v>
      </c>
      <c r="D2799" t="inlineStr">
        <is>
          <t>SKÅNE LÄN</t>
        </is>
      </c>
      <c r="E2799" t="inlineStr">
        <is>
          <t>KRISTIANSTAD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16920-2022</t>
        </is>
      </c>
      <c r="B2800" s="1" t="n">
        <v>44676</v>
      </c>
      <c r="C2800" s="1" t="n">
        <v>45796</v>
      </c>
      <c r="D2800" t="inlineStr">
        <is>
          <t>SKÅNE LÄN</t>
        </is>
      </c>
      <c r="E2800" t="inlineStr">
        <is>
          <t>ÖRKELLJUNGA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17373-2022</t>
        </is>
      </c>
      <c r="B2801" s="1" t="n">
        <v>44678</v>
      </c>
      <c r="C2801" s="1" t="n">
        <v>45796</v>
      </c>
      <c r="D2801" t="inlineStr">
        <is>
          <t>SKÅNE LÄN</t>
        </is>
      </c>
      <c r="E2801" t="inlineStr">
        <is>
          <t>OSBY</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17476-2022</t>
        </is>
      </c>
      <c r="B2802" s="1" t="n">
        <v>44679</v>
      </c>
      <c r="C2802" s="1" t="n">
        <v>45796</v>
      </c>
      <c r="D2802" t="inlineStr">
        <is>
          <t>SKÅNE LÄN</t>
        </is>
      </c>
      <c r="E2802" t="inlineStr">
        <is>
          <t>ÖRKELLJUNGA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17425-2022</t>
        </is>
      </c>
      <c r="B2803" s="1" t="n">
        <v>44679</v>
      </c>
      <c r="C2803" s="1" t="n">
        <v>45796</v>
      </c>
      <c r="D2803" t="inlineStr">
        <is>
          <t>SKÅNE LÄN</t>
        </is>
      </c>
      <c r="E2803" t="inlineStr">
        <is>
          <t>KLIPPAN</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17537-2022</t>
        </is>
      </c>
      <c r="B2804" s="1" t="n">
        <v>44679</v>
      </c>
      <c r="C2804" s="1" t="n">
        <v>45796</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17424-2022</t>
        </is>
      </c>
      <c r="B2805" s="1" t="n">
        <v>44679</v>
      </c>
      <c r="C2805" s="1" t="n">
        <v>45796</v>
      </c>
      <c r="D2805" t="inlineStr">
        <is>
          <t>SKÅNE LÄN</t>
        </is>
      </c>
      <c r="E2805" t="inlineStr">
        <is>
          <t>KLIPPAN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17737-2022</t>
        </is>
      </c>
      <c r="B2806" s="1" t="n">
        <v>44681</v>
      </c>
      <c r="C2806" s="1" t="n">
        <v>45796</v>
      </c>
      <c r="D2806" t="inlineStr">
        <is>
          <t>SKÅNE LÄN</t>
        </is>
      </c>
      <c r="E2806" t="inlineStr">
        <is>
          <t>ÖSTRA GÖINGE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18084-2022</t>
        </is>
      </c>
      <c r="B2807" s="1" t="n">
        <v>44684</v>
      </c>
      <c r="C2807" s="1" t="n">
        <v>45796</v>
      </c>
      <c r="D2807" t="inlineStr">
        <is>
          <t>SKÅNE LÄN</t>
        </is>
      </c>
      <c r="E2807" t="inlineStr">
        <is>
          <t>BJUV</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18146-2022</t>
        </is>
      </c>
      <c r="B2808" s="1" t="n">
        <v>44684</v>
      </c>
      <c r="C2808" s="1" t="n">
        <v>45796</v>
      </c>
      <c r="D2808" t="inlineStr">
        <is>
          <t>SKÅNE LÄN</t>
        </is>
      </c>
      <c r="E2808" t="inlineStr">
        <is>
          <t>KRISTIANSTAD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18107-2022</t>
        </is>
      </c>
      <c r="B2809" s="1" t="n">
        <v>44684</v>
      </c>
      <c r="C2809" s="1" t="n">
        <v>45796</v>
      </c>
      <c r="D2809" t="inlineStr">
        <is>
          <t>SKÅNE LÄN</t>
        </is>
      </c>
      <c r="E2809" t="inlineStr">
        <is>
          <t>SIMRISHAMN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18090-2022</t>
        </is>
      </c>
      <c r="B2810" s="1" t="n">
        <v>44684</v>
      </c>
      <c r="C2810" s="1" t="n">
        <v>45796</v>
      </c>
      <c r="D2810" t="inlineStr">
        <is>
          <t>SKÅNE LÄN</t>
        </is>
      </c>
      <c r="E2810" t="inlineStr">
        <is>
          <t>YSTAD</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18118-2022</t>
        </is>
      </c>
      <c r="B2811" s="1" t="n">
        <v>44684</v>
      </c>
      <c r="C2811" s="1" t="n">
        <v>45796</v>
      </c>
      <c r="D2811" t="inlineStr">
        <is>
          <t>SKÅNE LÄN</t>
        </is>
      </c>
      <c r="E2811" t="inlineStr">
        <is>
          <t>BJUV</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18158-2022</t>
        </is>
      </c>
      <c r="B2812" s="1" t="n">
        <v>44684</v>
      </c>
      <c r="C2812" s="1" t="n">
        <v>45796</v>
      </c>
      <c r="D2812" t="inlineStr">
        <is>
          <t>SKÅNE LÄN</t>
        </is>
      </c>
      <c r="E2812" t="inlineStr">
        <is>
          <t>TOMELILLA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18178-2022</t>
        </is>
      </c>
      <c r="B2813" s="1" t="n">
        <v>44684</v>
      </c>
      <c r="C2813" s="1" t="n">
        <v>45796</v>
      </c>
      <c r="D2813" t="inlineStr">
        <is>
          <t>SKÅNE LÄN</t>
        </is>
      </c>
      <c r="E2813" t="inlineStr">
        <is>
          <t>HÄSSLEHOLM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18345-2022</t>
        </is>
      </c>
      <c r="B2814" s="1" t="n">
        <v>44685</v>
      </c>
      <c r="C2814" s="1" t="n">
        <v>45796</v>
      </c>
      <c r="D2814" t="inlineStr">
        <is>
          <t>SKÅNE LÄN</t>
        </is>
      </c>
      <c r="E2814" t="inlineStr">
        <is>
          <t>HÖÖR</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18322-2022</t>
        </is>
      </c>
      <c r="B2815" s="1" t="n">
        <v>44685</v>
      </c>
      <c r="C2815" s="1" t="n">
        <v>45796</v>
      </c>
      <c r="D2815" t="inlineStr">
        <is>
          <t>SKÅNE LÄN</t>
        </is>
      </c>
      <c r="E2815" t="inlineStr">
        <is>
          <t>KRISTIANSTAD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18348-2022</t>
        </is>
      </c>
      <c r="B2816" s="1" t="n">
        <v>44685</v>
      </c>
      <c r="C2816" s="1" t="n">
        <v>45796</v>
      </c>
      <c r="D2816" t="inlineStr">
        <is>
          <t>SKÅNE LÄN</t>
        </is>
      </c>
      <c r="E2816" t="inlineStr">
        <is>
          <t>HÖÖR</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18449-2022</t>
        </is>
      </c>
      <c r="B2817" s="1" t="n">
        <v>44686</v>
      </c>
      <c r="C2817" s="1" t="n">
        <v>45796</v>
      </c>
      <c r="D2817" t="inlineStr">
        <is>
          <t>SKÅNE LÄN</t>
        </is>
      </c>
      <c r="E2817" t="inlineStr">
        <is>
          <t>KRISTIANSTAD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18540-2022</t>
        </is>
      </c>
      <c r="B2818" s="1" t="n">
        <v>44686</v>
      </c>
      <c r="C2818" s="1" t="n">
        <v>45796</v>
      </c>
      <c r="D2818" t="inlineStr">
        <is>
          <t>SKÅNE LÄN</t>
        </is>
      </c>
      <c r="E2818" t="inlineStr">
        <is>
          <t>ÖSTRA GÖINGE</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18590-2022</t>
        </is>
      </c>
      <c r="B2819" s="1" t="n">
        <v>44687</v>
      </c>
      <c r="C2819" s="1" t="n">
        <v>45796</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18873-2022</t>
        </is>
      </c>
      <c r="B2820" s="1" t="n">
        <v>44690</v>
      </c>
      <c r="C2820" s="1" t="n">
        <v>45796</v>
      </c>
      <c r="D2820" t="inlineStr">
        <is>
          <t>SKÅNE LÄN</t>
        </is>
      </c>
      <c r="E2820" t="inlineStr">
        <is>
          <t>LUND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18865-2022</t>
        </is>
      </c>
      <c r="B2821" s="1" t="n">
        <v>44690</v>
      </c>
      <c r="C2821" s="1" t="n">
        <v>45796</v>
      </c>
      <c r="D2821" t="inlineStr">
        <is>
          <t>SKÅNE LÄN</t>
        </is>
      </c>
      <c r="E2821" t="inlineStr">
        <is>
          <t>ÖSTRA GÖINGE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18872-2022</t>
        </is>
      </c>
      <c r="B2822" s="1" t="n">
        <v>44690</v>
      </c>
      <c r="C2822" s="1" t="n">
        <v>45796</v>
      </c>
      <c r="D2822" t="inlineStr">
        <is>
          <t>SKÅNE LÄN</t>
        </is>
      </c>
      <c r="E2822" t="inlineStr">
        <is>
          <t>ESLÖV</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18939-2022</t>
        </is>
      </c>
      <c r="B2823" s="1" t="n">
        <v>44690</v>
      </c>
      <c r="C2823" s="1" t="n">
        <v>45796</v>
      </c>
      <c r="D2823" t="inlineStr">
        <is>
          <t>SKÅNE LÄN</t>
        </is>
      </c>
      <c r="E2823" t="inlineStr">
        <is>
          <t>HÖÖR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19097-2022</t>
        </is>
      </c>
      <c r="B2824" s="1" t="n">
        <v>44691</v>
      </c>
      <c r="C2824" s="1" t="n">
        <v>45796</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19094-2022</t>
        </is>
      </c>
      <c r="B2825" s="1" t="n">
        <v>44691</v>
      </c>
      <c r="C2825" s="1" t="n">
        <v>45796</v>
      </c>
      <c r="D2825" t="inlineStr">
        <is>
          <t>SKÅNE LÄN</t>
        </is>
      </c>
      <c r="E2825" t="inlineStr">
        <is>
          <t>KLIPPAN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19281-2022</t>
        </is>
      </c>
      <c r="B2826" s="1" t="n">
        <v>44692</v>
      </c>
      <c r="C2826" s="1" t="n">
        <v>45796</v>
      </c>
      <c r="D2826" t="inlineStr">
        <is>
          <t>SKÅNE LÄN</t>
        </is>
      </c>
      <c r="E2826" t="inlineStr">
        <is>
          <t>SIMRISHAMN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19437-2022</t>
        </is>
      </c>
      <c r="B2827" s="1" t="n">
        <v>44693</v>
      </c>
      <c r="C2827" s="1" t="n">
        <v>45796</v>
      </c>
      <c r="D2827" t="inlineStr">
        <is>
          <t>SKÅNE LÄN</t>
        </is>
      </c>
      <c r="E2827" t="inlineStr">
        <is>
          <t>OSBY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19503-2022</t>
        </is>
      </c>
      <c r="B2828" s="1" t="n">
        <v>44693</v>
      </c>
      <c r="C2828" s="1" t="n">
        <v>45796</v>
      </c>
      <c r="D2828" t="inlineStr">
        <is>
          <t>SKÅNE LÄN</t>
        </is>
      </c>
      <c r="E2828" t="inlineStr">
        <is>
          <t>ÄNGELHOLM</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19500-2022</t>
        </is>
      </c>
      <c r="B2829" s="1" t="n">
        <v>44693</v>
      </c>
      <c r="C2829" s="1" t="n">
        <v>45796</v>
      </c>
      <c r="D2829" t="inlineStr">
        <is>
          <t>SKÅNE LÄN</t>
        </is>
      </c>
      <c r="E2829" t="inlineStr">
        <is>
          <t>ÄNGELHOLM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19420-2022</t>
        </is>
      </c>
      <c r="B2830" s="1" t="n">
        <v>44693</v>
      </c>
      <c r="C2830" s="1" t="n">
        <v>45796</v>
      </c>
      <c r="D2830" t="inlineStr">
        <is>
          <t>SKÅNE LÄN</t>
        </is>
      </c>
      <c r="E2830" t="inlineStr">
        <is>
          <t>HÖRBY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19642-2022</t>
        </is>
      </c>
      <c r="B2831" s="1" t="n">
        <v>44694</v>
      </c>
      <c r="C2831" s="1" t="n">
        <v>45796</v>
      </c>
      <c r="D2831" t="inlineStr">
        <is>
          <t>SKÅNE LÄN</t>
        </is>
      </c>
      <c r="E2831" t="inlineStr">
        <is>
          <t>KRISTIANSTAD</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19651-2022</t>
        </is>
      </c>
      <c r="B2832" s="1" t="n">
        <v>44694</v>
      </c>
      <c r="C2832" s="1" t="n">
        <v>45796</v>
      </c>
      <c r="D2832" t="inlineStr">
        <is>
          <t>SKÅNE LÄN</t>
        </is>
      </c>
      <c r="E2832" t="inlineStr">
        <is>
          <t>TOMELILLA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19750-2022</t>
        </is>
      </c>
      <c r="B2833" s="1" t="n">
        <v>44694</v>
      </c>
      <c r="C2833" s="1" t="n">
        <v>45796</v>
      </c>
      <c r="D2833" t="inlineStr">
        <is>
          <t>SKÅNE LÄN</t>
        </is>
      </c>
      <c r="E2833" t="inlineStr">
        <is>
          <t>OSBY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19970-2022</t>
        </is>
      </c>
      <c r="B2834" s="1" t="n">
        <v>44697</v>
      </c>
      <c r="C2834" s="1" t="n">
        <v>45796</v>
      </c>
      <c r="D2834" t="inlineStr">
        <is>
          <t>SKÅNE LÄN</t>
        </is>
      </c>
      <c r="E2834" t="inlineStr">
        <is>
          <t>HÖRBY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20002-2022</t>
        </is>
      </c>
      <c r="B2835" s="1" t="n">
        <v>44697</v>
      </c>
      <c r="C2835" s="1" t="n">
        <v>45796</v>
      </c>
      <c r="D2835" t="inlineStr">
        <is>
          <t>SKÅNE LÄN</t>
        </is>
      </c>
      <c r="E2835" t="inlineStr">
        <is>
          <t>KLIPPAN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20010-2022</t>
        </is>
      </c>
      <c r="B2836" s="1" t="n">
        <v>44697</v>
      </c>
      <c r="C2836" s="1" t="n">
        <v>45796</v>
      </c>
      <c r="D2836" t="inlineStr">
        <is>
          <t>SKÅNE LÄN</t>
        </is>
      </c>
      <c r="E2836" t="inlineStr">
        <is>
          <t>KLIPPAN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19999-2022</t>
        </is>
      </c>
      <c r="B2837" s="1" t="n">
        <v>44697</v>
      </c>
      <c r="C2837" s="1" t="n">
        <v>45796</v>
      </c>
      <c r="D2837" t="inlineStr">
        <is>
          <t>SKÅNE LÄN</t>
        </is>
      </c>
      <c r="E2837" t="inlineStr">
        <is>
          <t>KLIPPAN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19981-2022</t>
        </is>
      </c>
      <c r="B2838" s="1" t="n">
        <v>44697</v>
      </c>
      <c r="C2838" s="1" t="n">
        <v>45796</v>
      </c>
      <c r="D2838" t="inlineStr">
        <is>
          <t>SKÅNE LÄN</t>
        </is>
      </c>
      <c r="E2838" t="inlineStr">
        <is>
          <t>HÖRBY</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19910-2022</t>
        </is>
      </c>
      <c r="B2839" s="1" t="n">
        <v>44697</v>
      </c>
      <c r="C2839" s="1" t="n">
        <v>45796</v>
      </c>
      <c r="D2839" t="inlineStr">
        <is>
          <t>SKÅNE LÄN</t>
        </is>
      </c>
      <c r="E2839" t="inlineStr">
        <is>
          <t>KRISTIANSTAD</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20012-2022</t>
        </is>
      </c>
      <c r="B2840" s="1" t="n">
        <v>44697</v>
      </c>
      <c r="C2840" s="1" t="n">
        <v>45796</v>
      </c>
      <c r="D2840" t="inlineStr">
        <is>
          <t>SKÅNE LÄN</t>
        </is>
      </c>
      <c r="E2840" t="inlineStr">
        <is>
          <t>KLIPPAN</t>
        </is>
      </c>
      <c r="G2840" t="n">
        <v>17.2</v>
      </c>
      <c r="H2840" t="n">
        <v>0</v>
      </c>
      <c r="I2840" t="n">
        <v>0</v>
      </c>
      <c r="J2840" t="n">
        <v>0</v>
      </c>
      <c r="K2840" t="n">
        <v>0</v>
      </c>
      <c r="L2840" t="n">
        <v>0</v>
      </c>
      <c r="M2840" t="n">
        <v>0</v>
      </c>
      <c r="N2840" t="n">
        <v>0</v>
      </c>
      <c r="O2840" t="n">
        <v>0</v>
      </c>
      <c r="P2840" t="n">
        <v>0</v>
      </c>
      <c r="Q2840" t="n">
        <v>0</v>
      </c>
      <c r="R2840" s="2" t="inlineStr"/>
    </row>
    <row r="2841" ht="15" customHeight="1">
      <c r="A2841" t="inlineStr">
        <is>
          <t>A 20193-2022</t>
        </is>
      </c>
      <c r="B2841" s="1" t="n">
        <v>44698</v>
      </c>
      <c r="C2841" s="1" t="n">
        <v>45796</v>
      </c>
      <c r="D2841" t="inlineStr">
        <is>
          <t>SKÅNE LÄN</t>
        </is>
      </c>
      <c r="E2841" t="inlineStr">
        <is>
          <t>TOMELILLA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20202-2022</t>
        </is>
      </c>
      <c r="B2842" s="1" t="n">
        <v>44698</v>
      </c>
      <c r="C2842" s="1" t="n">
        <v>45796</v>
      </c>
      <c r="D2842" t="inlineStr">
        <is>
          <t>SKÅNE LÄN</t>
        </is>
      </c>
      <c r="E2842" t="inlineStr">
        <is>
          <t>BJUV</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20227-2022</t>
        </is>
      </c>
      <c r="B2843" s="1" t="n">
        <v>44698</v>
      </c>
      <c r="C2843" s="1" t="n">
        <v>45796</v>
      </c>
      <c r="D2843" t="inlineStr">
        <is>
          <t>SKÅNE LÄN</t>
        </is>
      </c>
      <c r="E2843" t="inlineStr">
        <is>
          <t>OSBY</t>
        </is>
      </c>
      <c r="F2843" t="inlineStr">
        <is>
          <t>Kommuner</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20324-2022</t>
        </is>
      </c>
      <c r="B2844" s="1" t="n">
        <v>44699</v>
      </c>
      <c r="C2844" s="1" t="n">
        <v>45796</v>
      </c>
      <c r="D2844" t="inlineStr">
        <is>
          <t>SKÅNE LÄN</t>
        </is>
      </c>
      <c r="E2844" t="inlineStr">
        <is>
          <t>SKURUP</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20622-2022</t>
        </is>
      </c>
      <c r="B2845" s="1" t="n">
        <v>44700</v>
      </c>
      <c r="C2845" s="1" t="n">
        <v>45796</v>
      </c>
      <c r="D2845" t="inlineStr">
        <is>
          <t>SKÅNE LÄN</t>
        </is>
      </c>
      <c r="E2845" t="inlineStr">
        <is>
          <t>ÖSTRA GÖINGE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20634-2022</t>
        </is>
      </c>
      <c r="B2846" s="1" t="n">
        <v>44700</v>
      </c>
      <c r="C2846" s="1" t="n">
        <v>45796</v>
      </c>
      <c r="D2846" t="inlineStr">
        <is>
          <t>SKÅNE LÄN</t>
        </is>
      </c>
      <c r="E2846" t="inlineStr">
        <is>
          <t>OSBY</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20657-2022</t>
        </is>
      </c>
      <c r="B2847" s="1" t="n">
        <v>44700</v>
      </c>
      <c r="C2847" s="1" t="n">
        <v>45796</v>
      </c>
      <c r="D2847" t="inlineStr">
        <is>
          <t>SKÅNE LÄN</t>
        </is>
      </c>
      <c r="E2847" t="inlineStr">
        <is>
          <t>HÄSSLEHOLM</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20690-2022</t>
        </is>
      </c>
      <c r="B2848" s="1" t="n">
        <v>44700</v>
      </c>
      <c r="C2848" s="1" t="n">
        <v>45796</v>
      </c>
      <c r="D2848" t="inlineStr">
        <is>
          <t>SKÅNE LÄN</t>
        </is>
      </c>
      <c r="E2848" t="inlineStr">
        <is>
          <t>KLIPPAN</t>
        </is>
      </c>
      <c r="F2848" t="inlineStr">
        <is>
          <t>Kommuner</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21072-2022</t>
        </is>
      </c>
      <c r="B2849" s="1" t="n">
        <v>44704</v>
      </c>
      <c r="C2849" s="1" t="n">
        <v>45796</v>
      </c>
      <c r="D2849" t="inlineStr">
        <is>
          <t>SKÅNE LÄN</t>
        </is>
      </c>
      <c r="E2849" t="inlineStr">
        <is>
          <t>SVEDALA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21140-2022</t>
        </is>
      </c>
      <c r="B2850" s="1" t="n">
        <v>44704</v>
      </c>
      <c r="C2850" s="1" t="n">
        <v>45796</v>
      </c>
      <c r="D2850" t="inlineStr">
        <is>
          <t>SKÅNE LÄN</t>
        </is>
      </c>
      <c r="E2850" t="inlineStr">
        <is>
          <t>ÖRKELLJUNGA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21146-2022</t>
        </is>
      </c>
      <c r="B2851" s="1" t="n">
        <v>44704</v>
      </c>
      <c r="C2851" s="1" t="n">
        <v>45796</v>
      </c>
      <c r="D2851" t="inlineStr">
        <is>
          <t>SKÅNE LÄN</t>
        </is>
      </c>
      <c r="E2851" t="inlineStr">
        <is>
          <t>ÖRKELLJUNGA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21152-2022</t>
        </is>
      </c>
      <c r="B2852" s="1" t="n">
        <v>44704</v>
      </c>
      <c r="C2852" s="1" t="n">
        <v>45796</v>
      </c>
      <c r="D2852" t="inlineStr">
        <is>
          <t>SKÅNE LÄN</t>
        </is>
      </c>
      <c r="E2852" t="inlineStr">
        <is>
          <t>ÖRKELLJUNGA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21356-2022</t>
        </is>
      </c>
      <c r="B2853" s="1" t="n">
        <v>44705</v>
      </c>
      <c r="C2853" s="1" t="n">
        <v>45796</v>
      </c>
      <c r="D2853" t="inlineStr">
        <is>
          <t>SKÅNE LÄN</t>
        </is>
      </c>
      <c r="E2853" t="inlineStr">
        <is>
          <t>HÄSSLEHOLM</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21310-2022</t>
        </is>
      </c>
      <c r="B2854" s="1" t="n">
        <v>44705</v>
      </c>
      <c r="C2854" s="1" t="n">
        <v>45796</v>
      </c>
      <c r="D2854" t="inlineStr">
        <is>
          <t>SKÅNE LÄN</t>
        </is>
      </c>
      <c r="E2854" t="inlineStr">
        <is>
          <t>HÄSSLEHOLM</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21393-2022</t>
        </is>
      </c>
      <c r="B2855" s="1" t="n">
        <v>44705</v>
      </c>
      <c r="C2855" s="1" t="n">
        <v>45796</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21390-2022</t>
        </is>
      </c>
      <c r="B2856" s="1" t="n">
        <v>44705</v>
      </c>
      <c r="C2856" s="1" t="n">
        <v>45796</v>
      </c>
      <c r="D2856" t="inlineStr">
        <is>
          <t>SKÅNE LÄN</t>
        </is>
      </c>
      <c r="E2856" t="inlineStr">
        <is>
          <t>KRISTIANSTAD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21417-2022</t>
        </is>
      </c>
      <c r="B2857" s="1" t="n">
        <v>44706</v>
      </c>
      <c r="C2857" s="1" t="n">
        <v>45796</v>
      </c>
      <c r="D2857" t="inlineStr">
        <is>
          <t>SKÅNE LÄN</t>
        </is>
      </c>
      <c r="E2857" t="inlineStr">
        <is>
          <t>KRISTIANSTAD</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21424-2022</t>
        </is>
      </c>
      <c r="B2858" s="1" t="n">
        <v>44706</v>
      </c>
      <c r="C2858" s="1" t="n">
        <v>45796</v>
      </c>
      <c r="D2858" t="inlineStr">
        <is>
          <t>SKÅNE LÄN</t>
        </is>
      </c>
      <c r="E2858" t="inlineStr">
        <is>
          <t>SJÖBO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21426-2022</t>
        </is>
      </c>
      <c r="B2859" s="1" t="n">
        <v>44706</v>
      </c>
      <c r="C2859" s="1" t="n">
        <v>45796</v>
      </c>
      <c r="D2859" t="inlineStr">
        <is>
          <t>SKÅNE LÄN</t>
        </is>
      </c>
      <c r="E2859" t="inlineStr">
        <is>
          <t>SJÖBO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21425-2022</t>
        </is>
      </c>
      <c r="B2860" s="1" t="n">
        <v>44706</v>
      </c>
      <c r="C2860" s="1" t="n">
        <v>45796</v>
      </c>
      <c r="D2860" t="inlineStr">
        <is>
          <t>SKÅNE LÄN</t>
        </is>
      </c>
      <c r="E2860" t="inlineStr">
        <is>
          <t>SJÖBO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21423-2022</t>
        </is>
      </c>
      <c r="B2861" s="1" t="n">
        <v>44706</v>
      </c>
      <c r="C2861" s="1" t="n">
        <v>45796</v>
      </c>
      <c r="D2861" t="inlineStr">
        <is>
          <t>SKÅNE LÄN</t>
        </is>
      </c>
      <c r="E2861" t="inlineStr">
        <is>
          <t>SJÖBO</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21628-2022</t>
        </is>
      </c>
      <c r="B2862" s="1" t="n">
        <v>44706</v>
      </c>
      <c r="C2862" s="1" t="n">
        <v>45796</v>
      </c>
      <c r="D2862" t="inlineStr">
        <is>
          <t>SKÅNE LÄN</t>
        </is>
      </c>
      <c r="E2862" t="inlineStr">
        <is>
          <t>HÄSSLEHOLM</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22029-2022</t>
        </is>
      </c>
      <c r="B2863" s="1" t="n">
        <v>44711</v>
      </c>
      <c r="C2863" s="1" t="n">
        <v>45796</v>
      </c>
      <c r="D2863" t="inlineStr">
        <is>
          <t>SKÅNE LÄN</t>
        </is>
      </c>
      <c r="E2863" t="inlineStr">
        <is>
          <t>OSBY</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22256-2022</t>
        </is>
      </c>
      <c r="B2864" s="1" t="n">
        <v>44712</v>
      </c>
      <c r="C2864" s="1" t="n">
        <v>45796</v>
      </c>
      <c r="D2864" t="inlineStr">
        <is>
          <t>SKÅNE LÄN</t>
        </is>
      </c>
      <c r="E2864" t="inlineStr">
        <is>
          <t>BJUV</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22292-2022</t>
        </is>
      </c>
      <c r="B2865" s="1" t="n">
        <v>44712</v>
      </c>
      <c r="C2865" s="1" t="n">
        <v>45796</v>
      </c>
      <c r="D2865" t="inlineStr">
        <is>
          <t>SKÅNE LÄN</t>
        </is>
      </c>
      <c r="E2865" t="inlineStr">
        <is>
          <t>KRISTIANSTAD</t>
        </is>
      </c>
      <c r="F2865" t="inlineStr">
        <is>
          <t>Övriga Aktiebolag</t>
        </is>
      </c>
      <c r="G2865" t="n">
        <v>19.5</v>
      </c>
      <c r="H2865" t="n">
        <v>0</v>
      </c>
      <c r="I2865" t="n">
        <v>0</v>
      </c>
      <c r="J2865" t="n">
        <v>0</v>
      </c>
      <c r="K2865" t="n">
        <v>0</v>
      </c>
      <c r="L2865" t="n">
        <v>0</v>
      </c>
      <c r="M2865" t="n">
        <v>0</v>
      </c>
      <c r="N2865" t="n">
        <v>0</v>
      </c>
      <c r="O2865" t="n">
        <v>0</v>
      </c>
      <c r="P2865" t="n">
        <v>0</v>
      </c>
      <c r="Q2865" t="n">
        <v>0</v>
      </c>
      <c r="R2865" s="2" t="inlineStr"/>
    </row>
    <row r="2866" ht="15" customHeight="1">
      <c r="A2866" t="inlineStr">
        <is>
          <t>A 22293-2022</t>
        </is>
      </c>
      <c r="B2866" s="1" t="n">
        <v>44712</v>
      </c>
      <c r="C2866" s="1" t="n">
        <v>45796</v>
      </c>
      <c r="D2866" t="inlineStr">
        <is>
          <t>SKÅNE LÄN</t>
        </is>
      </c>
      <c r="E2866" t="inlineStr">
        <is>
          <t>BJUV</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22406-2022</t>
        </is>
      </c>
      <c r="B2867" s="1" t="n">
        <v>44713</v>
      </c>
      <c r="C2867" s="1" t="n">
        <v>45796</v>
      </c>
      <c r="D2867" t="inlineStr">
        <is>
          <t>SKÅNE LÄN</t>
        </is>
      </c>
      <c r="E2867" t="inlineStr">
        <is>
          <t>SJÖBO</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22392-2022</t>
        </is>
      </c>
      <c r="B2868" s="1" t="n">
        <v>44713</v>
      </c>
      <c r="C2868" s="1" t="n">
        <v>45796</v>
      </c>
      <c r="D2868" t="inlineStr">
        <is>
          <t>SKÅNE LÄN</t>
        </is>
      </c>
      <c r="E2868" t="inlineStr">
        <is>
          <t>HÖÖR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22548-2022</t>
        </is>
      </c>
      <c r="B2869" s="1" t="n">
        <v>44714</v>
      </c>
      <c r="C2869" s="1" t="n">
        <v>45796</v>
      </c>
      <c r="D2869" t="inlineStr">
        <is>
          <t>SKÅNE LÄN</t>
        </is>
      </c>
      <c r="E2869" t="inlineStr">
        <is>
          <t>KRISTIANSTAD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22504-2022</t>
        </is>
      </c>
      <c r="B2870" s="1" t="n">
        <v>44713</v>
      </c>
      <c r="C2870" s="1" t="n">
        <v>45796</v>
      </c>
      <c r="D2870" t="inlineStr">
        <is>
          <t>SKÅNE LÄN</t>
        </is>
      </c>
      <c r="E2870" t="inlineStr">
        <is>
          <t>KRISTIANSTAD</t>
        </is>
      </c>
      <c r="F2870" t="inlineStr">
        <is>
          <t>Övriga Aktiebolag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22693-2022</t>
        </is>
      </c>
      <c r="B2871" s="1" t="n">
        <v>44714</v>
      </c>
      <c r="C2871" s="1" t="n">
        <v>45796</v>
      </c>
      <c r="D2871" t="inlineStr">
        <is>
          <t>SKÅNE LÄN</t>
        </is>
      </c>
      <c r="E2871" t="inlineStr">
        <is>
          <t>HÄSSLEHOLM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22690-2022</t>
        </is>
      </c>
      <c r="B2872" s="1" t="n">
        <v>44714</v>
      </c>
      <c r="C2872" s="1" t="n">
        <v>45796</v>
      </c>
      <c r="D2872" t="inlineStr">
        <is>
          <t>SKÅNE LÄN</t>
        </is>
      </c>
      <c r="E2872" t="inlineStr">
        <is>
          <t>HÄSSLEHOLM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23069-2022</t>
        </is>
      </c>
      <c r="B2873" s="1" t="n">
        <v>44719</v>
      </c>
      <c r="C2873" s="1" t="n">
        <v>45796</v>
      </c>
      <c r="D2873" t="inlineStr">
        <is>
          <t>SKÅNE LÄN</t>
        </is>
      </c>
      <c r="E2873" t="inlineStr">
        <is>
          <t>HÄSSLEHOLM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23172-2022</t>
        </is>
      </c>
      <c r="B2874" s="1" t="n">
        <v>44719</v>
      </c>
      <c r="C2874" s="1" t="n">
        <v>45796</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23173-2022</t>
        </is>
      </c>
      <c r="B2875" s="1" t="n">
        <v>44719</v>
      </c>
      <c r="C2875" s="1" t="n">
        <v>45796</v>
      </c>
      <c r="D2875" t="inlineStr">
        <is>
          <t>SKÅNE LÄN</t>
        </is>
      </c>
      <c r="E2875" t="inlineStr">
        <is>
          <t>HÄSSLEHOLM</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23328-2022</t>
        </is>
      </c>
      <c r="B2876" s="1" t="n">
        <v>44720</v>
      </c>
      <c r="C2876" s="1" t="n">
        <v>45796</v>
      </c>
      <c r="D2876" t="inlineStr">
        <is>
          <t>SKÅNE LÄN</t>
        </is>
      </c>
      <c r="E2876" t="inlineStr">
        <is>
          <t>ÄNGELHOLM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23287-2022</t>
        </is>
      </c>
      <c r="B2877" s="1" t="n">
        <v>44720</v>
      </c>
      <c r="C2877" s="1" t="n">
        <v>45796</v>
      </c>
      <c r="D2877" t="inlineStr">
        <is>
          <t>SKÅNE LÄN</t>
        </is>
      </c>
      <c r="E2877" t="inlineStr">
        <is>
          <t>SIMRISHAMN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23310-2022</t>
        </is>
      </c>
      <c r="B2878" s="1" t="n">
        <v>44720</v>
      </c>
      <c r="C2878" s="1" t="n">
        <v>45796</v>
      </c>
      <c r="D2878" t="inlineStr">
        <is>
          <t>SKÅNE LÄN</t>
        </is>
      </c>
      <c r="E2878" t="inlineStr">
        <is>
          <t>TOMELILLA</t>
        </is>
      </c>
      <c r="F2878" t="inlineStr">
        <is>
          <t>Övriga Aktiebolag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23412-2022</t>
        </is>
      </c>
      <c r="B2879" s="1" t="n">
        <v>44720</v>
      </c>
      <c r="C2879" s="1" t="n">
        <v>45796</v>
      </c>
      <c r="D2879" t="inlineStr">
        <is>
          <t>SKÅNE LÄN</t>
        </is>
      </c>
      <c r="E2879" t="inlineStr">
        <is>
          <t>KRISTIANSTAD</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23288-2022</t>
        </is>
      </c>
      <c r="B2880" s="1" t="n">
        <v>44720</v>
      </c>
      <c r="C2880" s="1" t="n">
        <v>45796</v>
      </c>
      <c r="D2880" t="inlineStr">
        <is>
          <t>SKÅNE LÄN</t>
        </is>
      </c>
      <c r="E2880" t="inlineStr">
        <is>
          <t>SIMRISHAMN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23457-2022</t>
        </is>
      </c>
      <c r="B2881" s="1" t="n">
        <v>44721</v>
      </c>
      <c r="C2881" s="1" t="n">
        <v>45796</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23461-2022</t>
        </is>
      </c>
      <c r="B2882" s="1" t="n">
        <v>44721</v>
      </c>
      <c r="C2882" s="1" t="n">
        <v>45796</v>
      </c>
      <c r="D2882" t="inlineStr">
        <is>
          <t>SKÅNE LÄN</t>
        </is>
      </c>
      <c r="E2882" t="inlineStr">
        <is>
          <t>TOMELILLA</t>
        </is>
      </c>
      <c r="F2882" t="inlineStr">
        <is>
          <t>Övriga Aktiebolag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23601-2022</t>
        </is>
      </c>
      <c r="B2883" s="1" t="n">
        <v>44721</v>
      </c>
      <c r="C2883" s="1" t="n">
        <v>45796</v>
      </c>
      <c r="D2883" t="inlineStr">
        <is>
          <t>SKÅNE LÄN</t>
        </is>
      </c>
      <c r="E2883" t="inlineStr">
        <is>
          <t>OSBY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23657-2022</t>
        </is>
      </c>
      <c r="B2884" s="1" t="n">
        <v>44721</v>
      </c>
      <c r="C2884" s="1" t="n">
        <v>45796</v>
      </c>
      <c r="D2884" t="inlineStr">
        <is>
          <t>SKÅNE LÄN</t>
        </is>
      </c>
      <c r="E2884" t="inlineStr">
        <is>
          <t>BJUV</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23733-2022</t>
        </is>
      </c>
      <c r="B2885" s="1" t="n">
        <v>44722</v>
      </c>
      <c r="C2885" s="1" t="n">
        <v>45796</v>
      </c>
      <c r="D2885" t="inlineStr">
        <is>
          <t>SKÅNE LÄN</t>
        </is>
      </c>
      <c r="E2885" t="inlineStr">
        <is>
          <t>ESLÖV</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23967-2022</t>
        </is>
      </c>
      <c r="B2886" s="1" t="n">
        <v>44722</v>
      </c>
      <c r="C2886" s="1" t="n">
        <v>45796</v>
      </c>
      <c r="D2886" t="inlineStr">
        <is>
          <t>SKÅNE LÄN</t>
        </is>
      </c>
      <c r="E2886" t="inlineStr">
        <is>
          <t>HÄSSLEHOLM</t>
        </is>
      </c>
      <c r="F2886" t="inlineStr">
        <is>
          <t>Kyrkan</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23874-2022</t>
        </is>
      </c>
      <c r="B2887" s="1" t="n">
        <v>44722</v>
      </c>
      <c r="C2887" s="1" t="n">
        <v>45796</v>
      </c>
      <c r="D2887" t="inlineStr">
        <is>
          <t>SKÅNE LÄN</t>
        </is>
      </c>
      <c r="E2887" t="inlineStr">
        <is>
          <t>KLIPPAN</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23962-2022</t>
        </is>
      </c>
      <c r="B2888" s="1" t="n">
        <v>44722</v>
      </c>
      <c r="C2888" s="1" t="n">
        <v>45796</v>
      </c>
      <c r="D2888" t="inlineStr">
        <is>
          <t>SKÅNE LÄN</t>
        </is>
      </c>
      <c r="E2888" t="inlineStr">
        <is>
          <t>HÄSSLEHOLM</t>
        </is>
      </c>
      <c r="F2888" t="inlineStr">
        <is>
          <t>Kyrkan</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23879-2022</t>
        </is>
      </c>
      <c r="B2889" s="1" t="n">
        <v>44722</v>
      </c>
      <c r="C2889" s="1" t="n">
        <v>45796</v>
      </c>
      <c r="D2889" t="inlineStr">
        <is>
          <t>SKÅNE LÄN</t>
        </is>
      </c>
      <c r="E2889" t="inlineStr">
        <is>
          <t>HÄSSLEHOLM</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23978-2022</t>
        </is>
      </c>
      <c r="B2890" s="1" t="n">
        <v>44722</v>
      </c>
      <c r="C2890" s="1" t="n">
        <v>45796</v>
      </c>
      <c r="D2890" t="inlineStr">
        <is>
          <t>SKÅNE LÄN</t>
        </is>
      </c>
      <c r="E2890" t="inlineStr">
        <is>
          <t>KLIPPAN</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24028-2022</t>
        </is>
      </c>
      <c r="B2891" s="1" t="n">
        <v>44723</v>
      </c>
      <c r="C2891" s="1" t="n">
        <v>45796</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24027-2022</t>
        </is>
      </c>
      <c r="B2892" s="1" t="n">
        <v>44723</v>
      </c>
      <c r="C2892" s="1" t="n">
        <v>45796</v>
      </c>
      <c r="D2892" t="inlineStr">
        <is>
          <t>SKÅNE LÄN</t>
        </is>
      </c>
      <c r="E2892" t="inlineStr">
        <is>
          <t>ÖSTRA GÖINGE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24233-2022</t>
        </is>
      </c>
      <c r="B2893" s="1" t="n">
        <v>44725</v>
      </c>
      <c r="C2893" s="1" t="n">
        <v>45796</v>
      </c>
      <c r="D2893" t="inlineStr">
        <is>
          <t>SKÅNE LÄN</t>
        </is>
      </c>
      <c r="E2893" t="inlineStr">
        <is>
          <t>ÄNGELHOLM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24227-2022</t>
        </is>
      </c>
      <c r="B2894" s="1" t="n">
        <v>44725</v>
      </c>
      <c r="C2894" s="1" t="n">
        <v>45796</v>
      </c>
      <c r="D2894" t="inlineStr">
        <is>
          <t>SKÅNE LÄN</t>
        </is>
      </c>
      <c r="E2894" t="inlineStr">
        <is>
          <t>HELSINGBORG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24415-2022</t>
        </is>
      </c>
      <c r="B2895" s="1" t="n">
        <v>44725</v>
      </c>
      <c r="C2895" s="1" t="n">
        <v>45796</v>
      </c>
      <c r="D2895" t="inlineStr">
        <is>
          <t>SKÅNE LÄN</t>
        </is>
      </c>
      <c r="E2895" t="inlineStr">
        <is>
          <t>KRISTIANSTAD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24115-2022</t>
        </is>
      </c>
      <c r="B2896" s="1" t="n">
        <v>44725</v>
      </c>
      <c r="C2896" s="1" t="n">
        <v>45796</v>
      </c>
      <c r="D2896" t="inlineStr">
        <is>
          <t>SKÅNE LÄN</t>
        </is>
      </c>
      <c r="E2896" t="inlineStr">
        <is>
          <t>ESLÖV</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24333-2022</t>
        </is>
      </c>
      <c r="B2897" s="1" t="n">
        <v>44726</v>
      </c>
      <c r="C2897" s="1" t="n">
        <v>45796</v>
      </c>
      <c r="D2897" t="inlineStr">
        <is>
          <t>SKÅNE LÄN</t>
        </is>
      </c>
      <c r="E2897" t="inlineStr">
        <is>
          <t>KLIPPAN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24547-2022</t>
        </is>
      </c>
      <c r="B2898" s="1" t="n">
        <v>44727</v>
      </c>
      <c r="C2898" s="1" t="n">
        <v>45796</v>
      </c>
      <c r="D2898" t="inlineStr">
        <is>
          <t>SKÅNE LÄN</t>
        </is>
      </c>
      <c r="E2898" t="inlineStr">
        <is>
          <t>ÖSTRA GÖINGE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24634-2022</t>
        </is>
      </c>
      <c r="B2899" s="1" t="n">
        <v>44727</v>
      </c>
      <c r="C2899" s="1" t="n">
        <v>45796</v>
      </c>
      <c r="D2899" t="inlineStr">
        <is>
          <t>SKÅNE LÄN</t>
        </is>
      </c>
      <c r="E2899" t="inlineStr">
        <is>
          <t>ÖSTRA GÖINGE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24683-2022</t>
        </is>
      </c>
      <c r="B2900" s="1" t="n">
        <v>44727</v>
      </c>
      <c r="C2900" s="1" t="n">
        <v>45796</v>
      </c>
      <c r="D2900" t="inlineStr">
        <is>
          <t>SKÅNE LÄN</t>
        </is>
      </c>
      <c r="E2900" t="inlineStr">
        <is>
          <t>KLIPPAN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24896-2022</t>
        </is>
      </c>
      <c r="B2901" s="1" t="n">
        <v>44728</v>
      </c>
      <c r="C2901" s="1" t="n">
        <v>45796</v>
      </c>
      <c r="D2901" t="inlineStr">
        <is>
          <t>SKÅNE LÄN</t>
        </is>
      </c>
      <c r="E2901" t="inlineStr">
        <is>
          <t>HÄSSLEHOLM</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24906-2022</t>
        </is>
      </c>
      <c r="B2902" s="1" t="n">
        <v>44728</v>
      </c>
      <c r="C2902" s="1" t="n">
        <v>45796</v>
      </c>
      <c r="D2902" t="inlineStr">
        <is>
          <t>SKÅNE LÄN</t>
        </is>
      </c>
      <c r="E2902" t="inlineStr">
        <is>
          <t>HÄSSLEHOLM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25046-2022</t>
        </is>
      </c>
      <c r="B2903" s="1" t="n">
        <v>44728</v>
      </c>
      <c r="C2903" s="1" t="n">
        <v>45796</v>
      </c>
      <c r="D2903" t="inlineStr">
        <is>
          <t>SKÅNE LÄN</t>
        </is>
      </c>
      <c r="E2903" t="inlineStr">
        <is>
          <t>HÄSSLEHOLM</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25165-2022</t>
        </is>
      </c>
      <c r="B2904" s="1" t="n">
        <v>44729</v>
      </c>
      <c r="C2904" s="1" t="n">
        <v>45796</v>
      </c>
      <c r="D2904" t="inlineStr">
        <is>
          <t>SKÅNE LÄN</t>
        </is>
      </c>
      <c r="E2904" t="inlineStr">
        <is>
          <t>HÄSSLEHOLM</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25191-2022</t>
        </is>
      </c>
      <c r="B2905" s="1" t="n">
        <v>44729</v>
      </c>
      <c r="C2905" s="1" t="n">
        <v>45796</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25249-2022</t>
        </is>
      </c>
      <c r="B2906" s="1" t="n">
        <v>44729</v>
      </c>
      <c r="C2906" s="1" t="n">
        <v>45796</v>
      </c>
      <c r="D2906" t="inlineStr">
        <is>
          <t>SKÅNE LÄN</t>
        </is>
      </c>
      <c r="E2906" t="inlineStr">
        <is>
          <t>KRISTIANSTAD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25464-2022</t>
        </is>
      </c>
      <c r="B2907" s="1" t="n">
        <v>44729</v>
      </c>
      <c r="C2907" s="1" t="n">
        <v>45796</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25305-2022</t>
        </is>
      </c>
      <c r="B2908" s="1" t="n">
        <v>44731</v>
      </c>
      <c r="C2908" s="1" t="n">
        <v>45796</v>
      </c>
      <c r="D2908" t="inlineStr">
        <is>
          <t>SKÅNE LÄN</t>
        </is>
      </c>
      <c r="E2908" t="inlineStr">
        <is>
          <t>OSBY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25351-2022</t>
        </is>
      </c>
      <c r="B2909" s="1" t="n">
        <v>44732</v>
      </c>
      <c r="C2909" s="1" t="n">
        <v>45796</v>
      </c>
      <c r="D2909" t="inlineStr">
        <is>
          <t>SKÅNE LÄN</t>
        </is>
      </c>
      <c r="E2909" t="inlineStr">
        <is>
          <t>ÅSTORP</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25450-2022</t>
        </is>
      </c>
      <c r="B2910" s="1" t="n">
        <v>44732</v>
      </c>
      <c r="C2910" s="1" t="n">
        <v>45796</v>
      </c>
      <c r="D2910" t="inlineStr">
        <is>
          <t>SKÅNE LÄN</t>
        </is>
      </c>
      <c r="E2910" t="inlineStr">
        <is>
          <t>KRISTIANSTAD</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25469-2022</t>
        </is>
      </c>
      <c r="B2911" s="1" t="n">
        <v>44732</v>
      </c>
      <c r="C2911" s="1" t="n">
        <v>45796</v>
      </c>
      <c r="D2911" t="inlineStr">
        <is>
          <t>SKÅNE LÄN</t>
        </is>
      </c>
      <c r="E2911" t="inlineStr">
        <is>
          <t>HÄSSLEHOLM</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25354-2022</t>
        </is>
      </c>
      <c r="B2912" s="1" t="n">
        <v>44732</v>
      </c>
      <c r="C2912" s="1" t="n">
        <v>45796</v>
      </c>
      <c r="D2912" t="inlineStr">
        <is>
          <t>SKÅNE LÄN</t>
        </is>
      </c>
      <c r="E2912" t="inlineStr">
        <is>
          <t>ÅSTORP</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25405-2022</t>
        </is>
      </c>
      <c r="B2913" s="1" t="n">
        <v>44732</v>
      </c>
      <c r="C2913" s="1" t="n">
        <v>45796</v>
      </c>
      <c r="D2913" t="inlineStr">
        <is>
          <t>SKÅNE LÄN</t>
        </is>
      </c>
      <c r="E2913" t="inlineStr">
        <is>
          <t>KLIPPAN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25350-2022</t>
        </is>
      </c>
      <c r="B2914" s="1" t="n">
        <v>44732</v>
      </c>
      <c r="C2914" s="1" t="n">
        <v>45796</v>
      </c>
      <c r="D2914" t="inlineStr">
        <is>
          <t>SKÅNE LÄN</t>
        </is>
      </c>
      <c r="E2914" t="inlineStr">
        <is>
          <t>SVALÖV</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25353-2022</t>
        </is>
      </c>
      <c r="B2915" s="1" t="n">
        <v>44732</v>
      </c>
      <c r="C2915" s="1" t="n">
        <v>45796</v>
      </c>
      <c r="D2915" t="inlineStr">
        <is>
          <t>SKÅNE LÄN</t>
        </is>
      </c>
      <c r="E2915" t="inlineStr">
        <is>
          <t>ÅSTORP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25834-2022</t>
        </is>
      </c>
      <c r="B2916" s="1" t="n">
        <v>44733</v>
      </c>
      <c r="C2916" s="1" t="n">
        <v>45796</v>
      </c>
      <c r="D2916" t="inlineStr">
        <is>
          <t>SKÅNE LÄN</t>
        </is>
      </c>
      <c r="E2916" t="inlineStr">
        <is>
          <t>SIMRISHAMN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25850-2022</t>
        </is>
      </c>
      <c r="B2917" s="1" t="n">
        <v>44733</v>
      </c>
      <c r="C2917" s="1" t="n">
        <v>45796</v>
      </c>
      <c r="D2917" t="inlineStr">
        <is>
          <t>SKÅNE LÄN</t>
        </is>
      </c>
      <c r="E2917" t="inlineStr">
        <is>
          <t>HÖRBY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25736-2022</t>
        </is>
      </c>
      <c r="B2918" s="1" t="n">
        <v>44733</v>
      </c>
      <c r="C2918" s="1" t="n">
        <v>45796</v>
      </c>
      <c r="D2918" t="inlineStr">
        <is>
          <t>SKÅNE LÄN</t>
        </is>
      </c>
      <c r="E2918" t="inlineStr">
        <is>
          <t>PERSTORP</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25816-2022</t>
        </is>
      </c>
      <c r="B2919" s="1" t="n">
        <v>44733</v>
      </c>
      <c r="C2919" s="1" t="n">
        <v>45796</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25822-2022</t>
        </is>
      </c>
      <c r="B2920" s="1" t="n">
        <v>44733</v>
      </c>
      <c r="C2920" s="1" t="n">
        <v>45796</v>
      </c>
      <c r="D2920" t="inlineStr">
        <is>
          <t>SKÅNE LÄN</t>
        </is>
      </c>
      <c r="E2920" t="inlineStr">
        <is>
          <t>SIMRISHAMN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25852-2022</t>
        </is>
      </c>
      <c r="B2921" s="1" t="n">
        <v>44733</v>
      </c>
      <c r="C2921" s="1" t="n">
        <v>45796</v>
      </c>
      <c r="D2921" t="inlineStr">
        <is>
          <t>SKÅNE LÄN</t>
        </is>
      </c>
      <c r="E2921" t="inlineStr">
        <is>
          <t>HÖRBY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25934-2022</t>
        </is>
      </c>
      <c r="B2922" s="1" t="n">
        <v>44734</v>
      </c>
      <c r="C2922" s="1" t="n">
        <v>45796</v>
      </c>
      <c r="D2922" t="inlineStr">
        <is>
          <t>SKÅNE LÄN</t>
        </is>
      </c>
      <c r="E2922" t="inlineStr">
        <is>
          <t>HÖÖR</t>
        </is>
      </c>
      <c r="F2922" t="inlineStr">
        <is>
          <t>Övriga statliga verk och myndigheter</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25955-2022</t>
        </is>
      </c>
      <c r="B2923" s="1" t="n">
        <v>44734</v>
      </c>
      <c r="C2923" s="1" t="n">
        <v>45796</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26012-2022</t>
        </is>
      </c>
      <c r="B2924" s="1" t="n">
        <v>44734</v>
      </c>
      <c r="C2924" s="1" t="n">
        <v>45796</v>
      </c>
      <c r="D2924" t="inlineStr">
        <is>
          <t>SKÅNE LÄN</t>
        </is>
      </c>
      <c r="E2924" t="inlineStr">
        <is>
          <t>HÄSSLEHOLM</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26033-2022</t>
        </is>
      </c>
      <c r="B2925" s="1" t="n">
        <v>44734</v>
      </c>
      <c r="C2925" s="1" t="n">
        <v>45796</v>
      </c>
      <c r="D2925" t="inlineStr">
        <is>
          <t>SKÅNE LÄN</t>
        </is>
      </c>
      <c r="E2925" t="inlineStr">
        <is>
          <t>HÖÖR</t>
        </is>
      </c>
      <c r="F2925" t="inlineStr">
        <is>
          <t>Övriga statliga verk och myndigheter</t>
        </is>
      </c>
      <c r="G2925" t="n">
        <v>9.300000000000001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26386-2022</t>
        </is>
      </c>
      <c r="B2926" s="1" t="n">
        <v>44735</v>
      </c>
      <c r="C2926" s="1" t="n">
        <v>45796</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26387-2022</t>
        </is>
      </c>
      <c r="B2927" s="1" t="n">
        <v>44735</v>
      </c>
      <c r="C2927" s="1" t="n">
        <v>45796</v>
      </c>
      <c r="D2927" t="inlineStr">
        <is>
          <t>SKÅNE LÄN</t>
        </is>
      </c>
      <c r="E2927" t="inlineStr">
        <is>
          <t>HÄSSLEHOLM</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26536-2022</t>
        </is>
      </c>
      <c r="B2928" s="1" t="n">
        <v>44739</v>
      </c>
      <c r="C2928" s="1" t="n">
        <v>45796</v>
      </c>
      <c r="D2928" t="inlineStr">
        <is>
          <t>SKÅNE LÄN</t>
        </is>
      </c>
      <c r="E2928" t="inlineStr">
        <is>
          <t>HÄSSLEHOLM</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26501-2022</t>
        </is>
      </c>
      <c r="B2929" s="1" t="n">
        <v>44739</v>
      </c>
      <c r="C2929" s="1" t="n">
        <v>45796</v>
      </c>
      <c r="D2929" t="inlineStr">
        <is>
          <t>SKÅNE LÄN</t>
        </is>
      </c>
      <c r="E2929" t="inlineStr">
        <is>
          <t>PERSTORP</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26551-2022</t>
        </is>
      </c>
      <c r="B2930" s="1" t="n">
        <v>44739</v>
      </c>
      <c r="C2930" s="1" t="n">
        <v>45796</v>
      </c>
      <c r="D2930" t="inlineStr">
        <is>
          <t>SKÅNE LÄN</t>
        </is>
      </c>
      <c r="E2930" t="inlineStr">
        <is>
          <t>KRISTIANSTAD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26721-2022</t>
        </is>
      </c>
      <c r="B2931" s="1" t="n">
        <v>44740</v>
      </c>
      <c r="C2931" s="1" t="n">
        <v>45796</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26720-2022</t>
        </is>
      </c>
      <c r="B2932" s="1" t="n">
        <v>44740</v>
      </c>
      <c r="C2932" s="1" t="n">
        <v>45796</v>
      </c>
      <c r="D2932" t="inlineStr">
        <is>
          <t>SKÅNE LÄN</t>
        </is>
      </c>
      <c r="E2932" t="inlineStr">
        <is>
          <t>ÖSTRA GÖINGE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26837-2022</t>
        </is>
      </c>
      <c r="B2933" s="1" t="n">
        <v>44740</v>
      </c>
      <c r="C2933" s="1" t="n">
        <v>45796</v>
      </c>
      <c r="D2933" t="inlineStr">
        <is>
          <t>SKÅNE LÄN</t>
        </is>
      </c>
      <c r="E2933" t="inlineStr">
        <is>
          <t>ÖRKELLJUNGA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26845-2022</t>
        </is>
      </c>
      <c r="B2934" s="1" t="n">
        <v>44740</v>
      </c>
      <c r="C2934" s="1" t="n">
        <v>45796</v>
      </c>
      <c r="D2934" t="inlineStr">
        <is>
          <t>SKÅNE LÄN</t>
        </is>
      </c>
      <c r="E2934" t="inlineStr">
        <is>
          <t>OSBY</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26857-2022</t>
        </is>
      </c>
      <c r="B2935" s="1" t="n">
        <v>44740</v>
      </c>
      <c r="C2935" s="1" t="n">
        <v>45796</v>
      </c>
      <c r="D2935" t="inlineStr">
        <is>
          <t>SKÅNE LÄN</t>
        </is>
      </c>
      <c r="E2935" t="inlineStr">
        <is>
          <t>KRISTIANSTAD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26946-2022</t>
        </is>
      </c>
      <c r="B2936" s="1" t="n">
        <v>44740</v>
      </c>
      <c r="C2936" s="1" t="n">
        <v>45796</v>
      </c>
      <c r="D2936" t="inlineStr">
        <is>
          <t>SKÅNE LÄN</t>
        </is>
      </c>
      <c r="E2936" t="inlineStr">
        <is>
          <t>OSBY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27154-2022</t>
        </is>
      </c>
      <c r="B2937" s="1" t="n">
        <v>44741</v>
      </c>
      <c r="C2937" s="1" t="n">
        <v>45796</v>
      </c>
      <c r="D2937" t="inlineStr">
        <is>
          <t>SKÅNE LÄN</t>
        </is>
      </c>
      <c r="E2937" t="inlineStr">
        <is>
          <t>ESLÖV</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27112-2022</t>
        </is>
      </c>
      <c r="B2938" s="1" t="n">
        <v>44741</v>
      </c>
      <c r="C2938" s="1" t="n">
        <v>45796</v>
      </c>
      <c r="D2938" t="inlineStr">
        <is>
          <t>SKÅNE LÄN</t>
        </is>
      </c>
      <c r="E2938" t="inlineStr">
        <is>
          <t>SVEDALA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27113-2022</t>
        </is>
      </c>
      <c r="B2939" s="1" t="n">
        <v>44741</v>
      </c>
      <c r="C2939" s="1" t="n">
        <v>45796</v>
      </c>
      <c r="D2939" t="inlineStr">
        <is>
          <t>SKÅNE LÄN</t>
        </is>
      </c>
      <c r="E2939" t="inlineStr">
        <is>
          <t>SVEDALA</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27140-2022</t>
        </is>
      </c>
      <c r="B2940" s="1" t="n">
        <v>44741</v>
      </c>
      <c r="C2940" s="1" t="n">
        <v>45796</v>
      </c>
      <c r="D2940" t="inlineStr">
        <is>
          <t>SKÅNE LÄN</t>
        </is>
      </c>
      <c r="E2940" t="inlineStr">
        <is>
          <t>ESLÖV</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27107-2022</t>
        </is>
      </c>
      <c r="B2941" s="1" t="n">
        <v>44741</v>
      </c>
      <c r="C2941" s="1" t="n">
        <v>45796</v>
      </c>
      <c r="D2941" t="inlineStr">
        <is>
          <t>SKÅNE LÄN</t>
        </is>
      </c>
      <c r="E2941" t="inlineStr">
        <is>
          <t>SVEDALA</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27233-2022</t>
        </is>
      </c>
      <c r="B2942" s="1" t="n">
        <v>44741</v>
      </c>
      <c r="C2942" s="1" t="n">
        <v>45796</v>
      </c>
      <c r="D2942" t="inlineStr">
        <is>
          <t>SKÅNE LÄN</t>
        </is>
      </c>
      <c r="E2942" t="inlineStr">
        <is>
          <t>HÖÖR</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27242-2022</t>
        </is>
      </c>
      <c r="B2943" s="1" t="n">
        <v>44741</v>
      </c>
      <c r="C2943" s="1" t="n">
        <v>45796</v>
      </c>
      <c r="D2943" t="inlineStr">
        <is>
          <t>SKÅNE LÄN</t>
        </is>
      </c>
      <c r="E2943" t="inlineStr">
        <is>
          <t>HÄSSLEHOLM</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27219-2022</t>
        </is>
      </c>
      <c r="B2944" s="1" t="n">
        <v>44741</v>
      </c>
      <c r="C2944" s="1" t="n">
        <v>45796</v>
      </c>
      <c r="D2944" t="inlineStr">
        <is>
          <t>SKÅNE LÄN</t>
        </is>
      </c>
      <c r="E2944" t="inlineStr">
        <is>
          <t>HÖÖR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27244-2022</t>
        </is>
      </c>
      <c r="B2945" s="1" t="n">
        <v>44741</v>
      </c>
      <c r="C2945" s="1" t="n">
        <v>45796</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27318-2022</t>
        </is>
      </c>
      <c r="B2946" s="1" t="n">
        <v>44742</v>
      </c>
      <c r="C2946" s="1" t="n">
        <v>45796</v>
      </c>
      <c r="D2946" t="inlineStr">
        <is>
          <t>SKÅNE LÄN</t>
        </is>
      </c>
      <c r="E2946" t="inlineStr">
        <is>
          <t>ÖSTRA GÖINGE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27378-2022</t>
        </is>
      </c>
      <c r="B2947" s="1" t="n">
        <v>44742</v>
      </c>
      <c r="C2947" s="1" t="n">
        <v>45796</v>
      </c>
      <c r="D2947" t="inlineStr">
        <is>
          <t>SKÅNE LÄN</t>
        </is>
      </c>
      <c r="E2947" t="inlineStr">
        <is>
          <t>OSBY</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27452-2022</t>
        </is>
      </c>
      <c r="B2948" s="1" t="n">
        <v>44742</v>
      </c>
      <c r="C2948" s="1" t="n">
        <v>45796</v>
      </c>
      <c r="D2948" t="inlineStr">
        <is>
          <t>SKÅNE LÄN</t>
        </is>
      </c>
      <c r="E2948" t="inlineStr">
        <is>
          <t>HÄSSLEHOLM</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27476-2022</t>
        </is>
      </c>
      <c r="B2949" s="1" t="n">
        <v>44742</v>
      </c>
      <c r="C2949" s="1" t="n">
        <v>45796</v>
      </c>
      <c r="D2949" t="inlineStr">
        <is>
          <t>SKÅNE LÄN</t>
        </is>
      </c>
      <c r="E2949" t="inlineStr">
        <is>
          <t>KRISTIANSTAD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27314-2022</t>
        </is>
      </c>
      <c r="B2950" s="1" t="n">
        <v>44742</v>
      </c>
      <c r="C2950" s="1" t="n">
        <v>45796</v>
      </c>
      <c r="D2950" t="inlineStr">
        <is>
          <t>SKÅNE LÄN</t>
        </is>
      </c>
      <c r="E2950" t="inlineStr">
        <is>
          <t>ÖSTRA GÖINGE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27322-2022</t>
        </is>
      </c>
      <c r="B2951" s="1" t="n">
        <v>44742</v>
      </c>
      <c r="C2951" s="1" t="n">
        <v>45796</v>
      </c>
      <c r="D2951" t="inlineStr">
        <is>
          <t>SKÅNE LÄN</t>
        </is>
      </c>
      <c r="E2951" t="inlineStr">
        <is>
          <t>ÖSTRA GÖINGE</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27464-2022</t>
        </is>
      </c>
      <c r="B2952" s="1" t="n">
        <v>44742</v>
      </c>
      <c r="C2952" s="1" t="n">
        <v>45796</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27529-2022</t>
        </is>
      </c>
      <c r="B2953" s="1" t="n">
        <v>44742</v>
      </c>
      <c r="C2953" s="1" t="n">
        <v>45796</v>
      </c>
      <c r="D2953" t="inlineStr">
        <is>
          <t>SKÅNE LÄN</t>
        </is>
      </c>
      <c r="E2953" t="inlineStr">
        <is>
          <t>KRISTIANSTAD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27758-2022</t>
        </is>
      </c>
      <c r="B2954" s="1" t="n">
        <v>44743</v>
      </c>
      <c r="C2954" s="1" t="n">
        <v>45796</v>
      </c>
      <c r="D2954" t="inlineStr">
        <is>
          <t>SKÅNE LÄN</t>
        </is>
      </c>
      <c r="E2954" t="inlineStr">
        <is>
          <t>OSBY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27956-2022</t>
        </is>
      </c>
      <c r="B2955" s="1" t="n">
        <v>44743</v>
      </c>
      <c r="C2955" s="1" t="n">
        <v>45796</v>
      </c>
      <c r="D2955" t="inlineStr">
        <is>
          <t>SKÅNE LÄN</t>
        </is>
      </c>
      <c r="E2955" t="inlineStr">
        <is>
          <t>KRISTIANSTAD</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27954-2022</t>
        </is>
      </c>
      <c r="B2956" s="1" t="n">
        <v>44743</v>
      </c>
      <c r="C2956" s="1" t="n">
        <v>45796</v>
      </c>
      <c r="D2956" t="inlineStr">
        <is>
          <t>SKÅNE LÄN</t>
        </is>
      </c>
      <c r="E2956" t="inlineStr">
        <is>
          <t>HÄSSLEHOLM</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27955-2022</t>
        </is>
      </c>
      <c r="B2957" s="1" t="n">
        <v>44743</v>
      </c>
      <c r="C2957" s="1" t="n">
        <v>45796</v>
      </c>
      <c r="D2957" t="inlineStr">
        <is>
          <t>SKÅNE LÄN</t>
        </is>
      </c>
      <c r="E2957" t="inlineStr">
        <is>
          <t>KRISTIANSTAD</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27953-2022</t>
        </is>
      </c>
      <c r="B2958" s="1" t="n">
        <v>44743</v>
      </c>
      <c r="C2958" s="1" t="n">
        <v>45796</v>
      </c>
      <c r="D2958" t="inlineStr">
        <is>
          <t>SKÅNE LÄN</t>
        </is>
      </c>
      <c r="E2958" t="inlineStr">
        <is>
          <t>KRISTIANSTAD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27957-2022</t>
        </is>
      </c>
      <c r="B2959" s="1" t="n">
        <v>44743</v>
      </c>
      <c r="C2959" s="1" t="n">
        <v>45796</v>
      </c>
      <c r="D2959" t="inlineStr">
        <is>
          <t>SKÅNE LÄN</t>
        </is>
      </c>
      <c r="E2959" t="inlineStr">
        <is>
          <t>KRISTIANSTAD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27962-2022</t>
        </is>
      </c>
      <c r="B2960" s="1" t="n">
        <v>44744</v>
      </c>
      <c r="C2960" s="1" t="n">
        <v>45796</v>
      </c>
      <c r="D2960" t="inlineStr">
        <is>
          <t>SKÅNE LÄN</t>
        </is>
      </c>
      <c r="E2960" t="inlineStr">
        <is>
          <t>KRISTIANSTAD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27961-2022</t>
        </is>
      </c>
      <c r="B2961" s="1" t="n">
        <v>44744</v>
      </c>
      <c r="C2961" s="1" t="n">
        <v>45796</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27959-2022</t>
        </is>
      </c>
      <c r="B2962" s="1" t="n">
        <v>44744</v>
      </c>
      <c r="C2962" s="1" t="n">
        <v>45796</v>
      </c>
      <c r="D2962" t="inlineStr">
        <is>
          <t>SKÅNE LÄN</t>
        </is>
      </c>
      <c r="E2962" t="inlineStr">
        <is>
          <t>HÄSSLEHOLM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27960-2022</t>
        </is>
      </c>
      <c r="B2963" s="1" t="n">
        <v>44744</v>
      </c>
      <c r="C2963" s="1" t="n">
        <v>45796</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28082-2022</t>
        </is>
      </c>
      <c r="B2964" s="1" t="n">
        <v>44746</v>
      </c>
      <c r="C2964" s="1" t="n">
        <v>45796</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28264-2022</t>
        </is>
      </c>
      <c r="B2965" s="1" t="n">
        <v>44746</v>
      </c>
      <c r="C2965" s="1" t="n">
        <v>45796</v>
      </c>
      <c r="D2965" t="inlineStr">
        <is>
          <t>SKÅNE LÄN</t>
        </is>
      </c>
      <c r="E2965" t="inlineStr">
        <is>
          <t>ÄNGELHOLM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28240-2022</t>
        </is>
      </c>
      <c r="B2966" s="1" t="n">
        <v>44746</v>
      </c>
      <c r="C2966" s="1" t="n">
        <v>45796</v>
      </c>
      <c r="D2966" t="inlineStr">
        <is>
          <t>SKÅNE LÄN</t>
        </is>
      </c>
      <c r="E2966" t="inlineStr">
        <is>
          <t>OSBY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28236-2022</t>
        </is>
      </c>
      <c r="B2967" s="1" t="n">
        <v>44746</v>
      </c>
      <c r="C2967" s="1" t="n">
        <v>45796</v>
      </c>
      <c r="D2967" t="inlineStr">
        <is>
          <t>SKÅNE LÄN</t>
        </is>
      </c>
      <c r="E2967" t="inlineStr">
        <is>
          <t>HÄSSLEHOLM</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28221-2022</t>
        </is>
      </c>
      <c r="B2968" s="1" t="n">
        <v>44746</v>
      </c>
      <c r="C2968" s="1" t="n">
        <v>45796</v>
      </c>
      <c r="D2968" t="inlineStr">
        <is>
          <t>SKÅNE LÄN</t>
        </is>
      </c>
      <c r="E2968" t="inlineStr">
        <is>
          <t>HÄSSLEHOLM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28237-2022</t>
        </is>
      </c>
      <c r="B2969" s="1" t="n">
        <v>44746</v>
      </c>
      <c r="C2969" s="1" t="n">
        <v>45796</v>
      </c>
      <c r="D2969" t="inlineStr">
        <is>
          <t>SKÅNE LÄN</t>
        </is>
      </c>
      <c r="E2969" t="inlineStr">
        <is>
          <t>PERSTORP</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28247-2022</t>
        </is>
      </c>
      <c r="B2970" s="1" t="n">
        <v>44746</v>
      </c>
      <c r="C2970" s="1" t="n">
        <v>45796</v>
      </c>
      <c r="D2970" t="inlineStr">
        <is>
          <t>SKÅNE LÄN</t>
        </is>
      </c>
      <c r="E2970" t="inlineStr">
        <is>
          <t>PERSTORP</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28211-2022</t>
        </is>
      </c>
      <c r="B2971" s="1" t="n">
        <v>44746</v>
      </c>
      <c r="C2971" s="1" t="n">
        <v>45796</v>
      </c>
      <c r="D2971" t="inlineStr">
        <is>
          <t>SKÅNE LÄN</t>
        </is>
      </c>
      <c r="E2971" t="inlineStr">
        <is>
          <t>HÄSSLEHOLM</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28148-2022</t>
        </is>
      </c>
      <c r="B2972" s="1" t="n">
        <v>44746</v>
      </c>
      <c r="C2972" s="1" t="n">
        <v>45796</v>
      </c>
      <c r="D2972" t="inlineStr">
        <is>
          <t>SKÅNE LÄN</t>
        </is>
      </c>
      <c r="E2972" t="inlineStr">
        <is>
          <t>ÖRKELLJUNGA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28143-2022</t>
        </is>
      </c>
      <c r="B2973" s="1" t="n">
        <v>44746</v>
      </c>
      <c r="C2973" s="1" t="n">
        <v>45796</v>
      </c>
      <c r="D2973" t="inlineStr">
        <is>
          <t>SKÅNE LÄN</t>
        </is>
      </c>
      <c r="E2973" t="inlineStr">
        <is>
          <t>ÖSTRA GÖINGE</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28244-2022</t>
        </is>
      </c>
      <c r="B2974" s="1" t="n">
        <v>44746</v>
      </c>
      <c r="C2974" s="1" t="n">
        <v>45796</v>
      </c>
      <c r="D2974" t="inlineStr">
        <is>
          <t>SKÅNE LÄN</t>
        </is>
      </c>
      <c r="E2974" t="inlineStr">
        <is>
          <t>PERSTORP</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28218-2022</t>
        </is>
      </c>
      <c r="B2975" s="1" t="n">
        <v>44746</v>
      </c>
      <c r="C2975" s="1" t="n">
        <v>45796</v>
      </c>
      <c r="D2975" t="inlineStr">
        <is>
          <t>SKÅNE LÄN</t>
        </is>
      </c>
      <c r="E2975" t="inlineStr">
        <is>
          <t>HÄSSLEHOLM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28174-2022</t>
        </is>
      </c>
      <c r="B2976" s="1" t="n">
        <v>44746</v>
      </c>
      <c r="C2976" s="1" t="n">
        <v>45796</v>
      </c>
      <c r="D2976" t="inlineStr">
        <is>
          <t>SKÅNE LÄN</t>
        </is>
      </c>
      <c r="E2976" t="inlineStr">
        <is>
          <t>OSBY</t>
        </is>
      </c>
      <c r="F2976" t="inlineStr">
        <is>
          <t>Kyrkan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28394-2022</t>
        </is>
      </c>
      <c r="B2977" s="1" t="n">
        <v>44747</v>
      </c>
      <c r="C2977" s="1" t="n">
        <v>45796</v>
      </c>
      <c r="D2977" t="inlineStr">
        <is>
          <t>SKÅNE LÄN</t>
        </is>
      </c>
      <c r="E2977" t="inlineStr">
        <is>
          <t>ÖSTRA GÖINGE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28781-2022</t>
        </is>
      </c>
      <c r="B2978" s="1" t="n">
        <v>44749</v>
      </c>
      <c r="C2978" s="1" t="n">
        <v>45796</v>
      </c>
      <c r="D2978" t="inlineStr">
        <is>
          <t>SKÅNE LÄN</t>
        </is>
      </c>
      <c r="E2978" t="inlineStr">
        <is>
          <t>KRISTIANSTAD</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28932-2022</t>
        </is>
      </c>
      <c r="B2979" s="1" t="n">
        <v>44749</v>
      </c>
      <c r="C2979" s="1" t="n">
        <v>45796</v>
      </c>
      <c r="D2979" t="inlineStr">
        <is>
          <t>SKÅNE LÄN</t>
        </is>
      </c>
      <c r="E2979" t="inlineStr">
        <is>
          <t>SJÖBO</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28853-2022</t>
        </is>
      </c>
      <c r="B2980" s="1" t="n">
        <v>44749</v>
      </c>
      <c r="C2980" s="1" t="n">
        <v>45796</v>
      </c>
      <c r="D2980" t="inlineStr">
        <is>
          <t>SKÅNE LÄN</t>
        </is>
      </c>
      <c r="E2980" t="inlineStr">
        <is>
          <t>KRISTIANSTAD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28885-2022</t>
        </is>
      </c>
      <c r="B2981" s="1" t="n">
        <v>44749</v>
      </c>
      <c r="C2981" s="1" t="n">
        <v>45796</v>
      </c>
      <c r="D2981" t="inlineStr">
        <is>
          <t>SKÅNE LÄN</t>
        </is>
      </c>
      <c r="E2981" t="inlineStr">
        <is>
          <t>LUND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28966-2022</t>
        </is>
      </c>
      <c r="B2982" s="1" t="n">
        <v>44749</v>
      </c>
      <c r="C2982" s="1" t="n">
        <v>45796</v>
      </c>
      <c r="D2982" t="inlineStr">
        <is>
          <t>SKÅNE LÄN</t>
        </is>
      </c>
      <c r="E2982" t="inlineStr">
        <is>
          <t>TOMELILLA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29024-2022</t>
        </is>
      </c>
      <c r="B2983" s="1" t="n">
        <v>44749</v>
      </c>
      <c r="C2983" s="1" t="n">
        <v>45796</v>
      </c>
      <c r="D2983" t="inlineStr">
        <is>
          <t>SKÅNE LÄN</t>
        </is>
      </c>
      <c r="E2983" t="inlineStr">
        <is>
          <t>OSBY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29333-2022</t>
        </is>
      </c>
      <c r="B2984" s="1" t="n">
        <v>44752</v>
      </c>
      <c r="C2984" s="1" t="n">
        <v>45796</v>
      </c>
      <c r="D2984" t="inlineStr">
        <is>
          <t>SKÅNE LÄN</t>
        </is>
      </c>
      <c r="E2984" t="inlineStr">
        <is>
          <t>ÖRKELLJUNGA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29335-2022</t>
        </is>
      </c>
      <c r="B2985" s="1" t="n">
        <v>44752</v>
      </c>
      <c r="C2985" s="1" t="n">
        <v>45796</v>
      </c>
      <c r="D2985" t="inlineStr">
        <is>
          <t>SKÅNE LÄN</t>
        </is>
      </c>
      <c r="E2985" t="inlineStr">
        <is>
          <t>ÖRKELLJUNGA</t>
        </is>
      </c>
      <c r="F2985" t="inlineStr">
        <is>
          <t>Kommuner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29334-2022</t>
        </is>
      </c>
      <c r="B2986" s="1" t="n">
        <v>44752</v>
      </c>
      <c r="C2986" s="1" t="n">
        <v>45796</v>
      </c>
      <c r="D2986" t="inlineStr">
        <is>
          <t>SKÅNE LÄN</t>
        </is>
      </c>
      <c r="E2986" t="inlineStr">
        <is>
          <t>ÖRKELLJUNGA</t>
        </is>
      </c>
      <c r="F2986" t="inlineStr">
        <is>
          <t>Kommuner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29700-2022</t>
        </is>
      </c>
      <c r="B2987" s="1" t="n">
        <v>44755</v>
      </c>
      <c r="C2987" s="1" t="n">
        <v>45796</v>
      </c>
      <c r="D2987" t="inlineStr">
        <is>
          <t>SKÅNE LÄN</t>
        </is>
      </c>
      <c r="E2987" t="inlineStr">
        <is>
          <t>HÄSSLEHOLM</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30136-2022</t>
        </is>
      </c>
      <c r="B2988" s="1" t="n">
        <v>44757</v>
      </c>
      <c r="C2988" s="1" t="n">
        <v>45796</v>
      </c>
      <c r="D2988" t="inlineStr">
        <is>
          <t>SKÅNE LÄN</t>
        </is>
      </c>
      <c r="E2988" t="inlineStr">
        <is>
          <t>ÖRKELLJUNGA</t>
        </is>
      </c>
      <c r="F2988" t="inlineStr">
        <is>
          <t>Kyrkan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30213-2022</t>
        </is>
      </c>
      <c r="B2989" s="1" t="n">
        <v>44757</v>
      </c>
      <c r="C2989" s="1" t="n">
        <v>45796</v>
      </c>
      <c r="D2989" t="inlineStr">
        <is>
          <t>SKÅNE LÄN</t>
        </is>
      </c>
      <c r="E2989" t="inlineStr">
        <is>
          <t>OSBY</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30344-2022</t>
        </is>
      </c>
      <c r="B2990" s="1" t="n">
        <v>44760</v>
      </c>
      <c r="C2990" s="1" t="n">
        <v>45796</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30564-2022</t>
        </is>
      </c>
      <c r="B2991" s="1" t="n">
        <v>44762</v>
      </c>
      <c r="C2991" s="1" t="n">
        <v>45796</v>
      </c>
      <c r="D2991" t="inlineStr">
        <is>
          <t>SKÅNE LÄN</t>
        </is>
      </c>
      <c r="E2991" t="inlineStr">
        <is>
          <t>OSBY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30558-2022</t>
        </is>
      </c>
      <c r="B2992" s="1" t="n">
        <v>44762</v>
      </c>
      <c r="C2992" s="1" t="n">
        <v>45796</v>
      </c>
      <c r="D2992" t="inlineStr">
        <is>
          <t>SKÅNE LÄN</t>
        </is>
      </c>
      <c r="E2992" t="inlineStr">
        <is>
          <t>ÄNGELHOLM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30645-2022</t>
        </is>
      </c>
      <c r="B2993" s="1" t="n">
        <v>44763</v>
      </c>
      <c r="C2993" s="1" t="n">
        <v>45796</v>
      </c>
      <c r="D2993" t="inlineStr">
        <is>
          <t>SKÅNE LÄN</t>
        </is>
      </c>
      <c r="E2993" t="inlineStr">
        <is>
          <t>HÖÖR</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30657-2022</t>
        </is>
      </c>
      <c r="B2994" s="1" t="n">
        <v>44763</v>
      </c>
      <c r="C2994" s="1" t="n">
        <v>45796</v>
      </c>
      <c r="D2994" t="inlineStr">
        <is>
          <t>SKÅNE LÄN</t>
        </is>
      </c>
      <c r="E2994" t="inlineStr">
        <is>
          <t>SVALÖV</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30641-2022</t>
        </is>
      </c>
      <c r="B2995" s="1" t="n">
        <v>44763</v>
      </c>
      <c r="C2995" s="1" t="n">
        <v>45796</v>
      </c>
      <c r="D2995" t="inlineStr">
        <is>
          <t>SKÅNE LÄN</t>
        </is>
      </c>
      <c r="E2995" t="inlineStr">
        <is>
          <t>KRISTIANSTAD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30751-2022</t>
        </is>
      </c>
      <c r="B2996" s="1" t="n">
        <v>44764</v>
      </c>
      <c r="C2996" s="1" t="n">
        <v>45796</v>
      </c>
      <c r="D2996" t="inlineStr">
        <is>
          <t>SKÅNE LÄN</t>
        </is>
      </c>
      <c r="E2996" t="inlineStr">
        <is>
          <t>OSBY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30845-2022</t>
        </is>
      </c>
      <c r="B2997" s="1" t="n">
        <v>44767</v>
      </c>
      <c r="C2997" s="1" t="n">
        <v>45796</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30863-2022</t>
        </is>
      </c>
      <c r="B2998" s="1" t="n">
        <v>44767</v>
      </c>
      <c r="C2998" s="1" t="n">
        <v>45796</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30916-2022</t>
        </is>
      </c>
      <c r="B2999" s="1" t="n">
        <v>44767</v>
      </c>
      <c r="C2999" s="1" t="n">
        <v>45796</v>
      </c>
      <c r="D2999" t="inlineStr">
        <is>
          <t>SKÅNE LÄN</t>
        </is>
      </c>
      <c r="E2999" t="inlineStr">
        <is>
          <t>KRISTIANSTAD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30864-2022</t>
        </is>
      </c>
      <c r="B3000" s="1" t="n">
        <v>44767</v>
      </c>
      <c r="C3000" s="1" t="n">
        <v>45796</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30918-2022</t>
        </is>
      </c>
      <c r="B3001" s="1" t="n">
        <v>44767</v>
      </c>
      <c r="C3001" s="1" t="n">
        <v>45796</v>
      </c>
      <c r="D3001" t="inlineStr">
        <is>
          <t>SKÅNE LÄN</t>
        </is>
      </c>
      <c r="E3001" t="inlineStr">
        <is>
          <t>KRISTIANSTAD</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30925-2022</t>
        </is>
      </c>
      <c r="B3002" s="1" t="n">
        <v>44767</v>
      </c>
      <c r="C3002" s="1" t="n">
        <v>45796</v>
      </c>
      <c r="D3002" t="inlineStr">
        <is>
          <t>SKÅNE LÄN</t>
        </is>
      </c>
      <c r="E3002" t="inlineStr">
        <is>
          <t>KRISTIANSTAD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30978-2022</t>
        </is>
      </c>
      <c r="B3003" s="1" t="n">
        <v>44768</v>
      </c>
      <c r="C3003" s="1" t="n">
        <v>45796</v>
      </c>
      <c r="D3003" t="inlineStr">
        <is>
          <t>SKÅNE LÄN</t>
        </is>
      </c>
      <c r="E3003" t="inlineStr">
        <is>
          <t>BROMÖLLA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31285-2022</t>
        </is>
      </c>
      <c r="B3004" s="1" t="n">
        <v>44771</v>
      </c>
      <c r="C3004" s="1" t="n">
        <v>45796</v>
      </c>
      <c r="D3004" t="inlineStr">
        <is>
          <t>SKÅNE LÄN</t>
        </is>
      </c>
      <c r="E3004" t="inlineStr">
        <is>
          <t>HÖRBY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31374-2022</t>
        </is>
      </c>
      <c r="B3005" s="1" t="n">
        <v>44774</v>
      </c>
      <c r="C3005" s="1" t="n">
        <v>45796</v>
      </c>
      <c r="D3005" t="inlineStr">
        <is>
          <t>SKÅNE LÄN</t>
        </is>
      </c>
      <c r="E3005" t="inlineStr">
        <is>
          <t>KRISTIANSTAD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31352-2022</t>
        </is>
      </c>
      <c r="B3006" s="1" t="n">
        <v>44774</v>
      </c>
      <c r="C3006" s="1" t="n">
        <v>45796</v>
      </c>
      <c r="D3006" t="inlineStr">
        <is>
          <t>SKÅNE LÄN</t>
        </is>
      </c>
      <c r="E3006" t="inlineStr">
        <is>
          <t>KRISTIANSTAD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31557-2022</t>
        </is>
      </c>
      <c r="B3007" s="1" t="n">
        <v>44775</v>
      </c>
      <c r="C3007" s="1" t="n">
        <v>45796</v>
      </c>
      <c r="D3007" t="inlineStr">
        <is>
          <t>SKÅNE LÄN</t>
        </is>
      </c>
      <c r="E3007" t="inlineStr">
        <is>
          <t>HÄSSLEHOLM</t>
        </is>
      </c>
      <c r="F3007" t="inlineStr">
        <is>
          <t>Kommuner</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31572-2022</t>
        </is>
      </c>
      <c r="B3008" s="1" t="n">
        <v>44775</v>
      </c>
      <c r="C3008" s="1" t="n">
        <v>45796</v>
      </c>
      <c r="D3008" t="inlineStr">
        <is>
          <t>SKÅNE LÄN</t>
        </is>
      </c>
      <c r="E3008" t="inlineStr">
        <is>
          <t>HÄSSLEHOLM</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31522-2022</t>
        </is>
      </c>
      <c r="B3009" s="1" t="n">
        <v>44775</v>
      </c>
      <c r="C3009" s="1" t="n">
        <v>45796</v>
      </c>
      <c r="D3009" t="inlineStr">
        <is>
          <t>SKÅNE LÄN</t>
        </is>
      </c>
      <c r="E3009" t="inlineStr">
        <is>
          <t>HÖRBY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31758-2022</t>
        </is>
      </c>
      <c r="B3010" s="1" t="n">
        <v>44776</v>
      </c>
      <c r="C3010" s="1" t="n">
        <v>45796</v>
      </c>
      <c r="D3010" t="inlineStr">
        <is>
          <t>SKÅNE LÄN</t>
        </is>
      </c>
      <c r="E3010" t="inlineStr">
        <is>
          <t>OSBY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31701-2022</t>
        </is>
      </c>
      <c r="B3011" s="1" t="n">
        <v>44776</v>
      </c>
      <c r="C3011" s="1" t="n">
        <v>45796</v>
      </c>
      <c r="D3011" t="inlineStr">
        <is>
          <t>SKÅNE LÄN</t>
        </is>
      </c>
      <c r="E3011" t="inlineStr">
        <is>
          <t>HÖÖR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32455-2022</t>
        </is>
      </c>
      <c r="B3012" s="1" t="n">
        <v>44782</v>
      </c>
      <c r="C3012" s="1" t="n">
        <v>45796</v>
      </c>
      <c r="D3012" t="inlineStr">
        <is>
          <t>SKÅNE LÄN</t>
        </is>
      </c>
      <c r="E3012" t="inlineStr">
        <is>
          <t>KLIPPAN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32511-2022</t>
        </is>
      </c>
      <c r="B3013" s="1" t="n">
        <v>44782</v>
      </c>
      <c r="C3013" s="1" t="n">
        <v>45796</v>
      </c>
      <c r="D3013" t="inlineStr">
        <is>
          <t>SKÅNE LÄN</t>
        </is>
      </c>
      <c r="E3013" t="inlineStr">
        <is>
          <t>ÖRKELLJUNGA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32584-2022</t>
        </is>
      </c>
      <c r="B3014" s="1" t="n">
        <v>44783</v>
      </c>
      <c r="C3014" s="1" t="n">
        <v>45796</v>
      </c>
      <c r="D3014" t="inlineStr">
        <is>
          <t>SKÅNE LÄN</t>
        </is>
      </c>
      <c r="E3014" t="inlineStr">
        <is>
          <t>OSBY</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32597-2022</t>
        </is>
      </c>
      <c r="B3015" s="1" t="n">
        <v>44783</v>
      </c>
      <c r="C3015" s="1" t="n">
        <v>45796</v>
      </c>
      <c r="D3015" t="inlineStr">
        <is>
          <t>SKÅNE LÄN</t>
        </is>
      </c>
      <c r="E3015" t="inlineStr">
        <is>
          <t>HÖRBY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32669-2022</t>
        </is>
      </c>
      <c r="B3016" s="1" t="n">
        <v>44783</v>
      </c>
      <c r="C3016" s="1" t="n">
        <v>45796</v>
      </c>
      <c r="D3016" t="inlineStr">
        <is>
          <t>SKÅNE LÄN</t>
        </is>
      </c>
      <c r="E3016" t="inlineStr">
        <is>
          <t>HÄSSLEHOLM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32732-2022</t>
        </is>
      </c>
      <c r="B3017" s="1" t="n">
        <v>44783</v>
      </c>
      <c r="C3017" s="1" t="n">
        <v>45796</v>
      </c>
      <c r="D3017" t="inlineStr">
        <is>
          <t>SKÅNE LÄN</t>
        </is>
      </c>
      <c r="E3017" t="inlineStr">
        <is>
          <t>SJÖBO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32863-2022</t>
        </is>
      </c>
      <c r="B3018" s="1" t="n">
        <v>44784</v>
      </c>
      <c r="C3018" s="1" t="n">
        <v>45796</v>
      </c>
      <c r="D3018" t="inlineStr">
        <is>
          <t>SKÅNE LÄN</t>
        </is>
      </c>
      <c r="E3018" t="inlineStr">
        <is>
          <t>HÖRBY</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32877-2022</t>
        </is>
      </c>
      <c r="B3019" s="1" t="n">
        <v>44784</v>
      </c>
      <c r="C3019" s="1" t="n">
        <v>45796</v>
      </c>
      <c r="D3019" t="inlineStr">
        <is>
          <t>SKÅNE LÄN</t>
        </is>
      </c>
      <c r="E3019" t="inlineStr">
        <is>
          <t>HÖRBY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33323-2022</t>
        </is>
      </c>
      <c r="B3020" s="1" t="n">
        <v>44788</v>
      </c>
      <c r="C3020" s="1" t="n">
        <v>45796</v>
      </c>
      <c r="D3020" t="inlineStr">
        <is>
          <t>SKÅNE LÄN</t>
        </is>
      </c>
      <c r="E3020" t="inlineStr">
        <is>
          <t>ÖRKELLJUNGA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33328-2022</t>
        </is>
      </c>
      <c r="B3021" s="1" t="n">
        <v>44788</v>
      </c>
      <c r="C3021" s="1" t="n">
        <v>45796</v>
      </c>
      <c r="D3021" t="inlineStr">
        <is>
          <t>SKÅNE LÄN</t>
        </is>
      </c>
      <c r="E3021" t="inlineStr">
        <is>
          <t>ÖRKELLJUNGA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33299-2022</t>
        </is>
      </c>
      <c r="B3022" s="1" t="n">
        <v>44788</v>
      </c>
      <c r="C3022" s="1" t="n">
        <v>45796</v>
      </c>
      <c r="D3022" t="inlineStr">
        <is>
          <t>SKÅNE LÄN</t>
        </is>
      </c>
      <c r="E3022" t="inlineStr">
        <is>
          <t>HÄSSLEHOLM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33487-2022</t>
        </is>
      </c>
      <c r="B3023" s="1" t="n">
        <v>44788</v>
      </c>
      <c r="C3023" s="1" t="n">
        <v>45796</v>
      </c>
      <c r="D3023" t="inlineStr">
        <is>
          <t>SKÅNE LÄN</t>
        </is>
      </c>
      <c r="E3023" t="inlineStr">
        <is>
          <t>OSBY</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33489-2022</t>
        </is>
      </c>
      <c r="B3024" s="1" t="n">
        <v>44788</v>
      </c>
      <c r="C3024" s="1" t="n">
        <v>45796</v>
      </c>
      <c r="D3024" t="inlineStr">
        <is>
          <t>SKÅNE LÄN</t>
        </is>
      </c>
      <c r="E3024" t="inlineStr">
        <is>
          <t>OSBY</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33486-2022</t>
        </is>
      </c>
      <c r="B3025" s="1" t="n">
        <v>44788</v>
      </c>
      <c r="C3025" s="1" t="n">
        <v>45796</v>
      </c>
      <c r="D3025" t="inlineStr">
        <is>
          <t>SKÅNE LÄN</t>
        </is>
      </c>
      <c r="E3025" t="inlineStr">
        <is>
          <t>OSBY</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33571-2022</t>
        </is>
      </c>
      <c r="B3026" s="1" t="n">
        <v>44789</v>
      </c>
      <c r="C3026" s="1" t="n">
        <v>45796</v>
      </c>
      <c r="D3026" t="inlineStr">
        <is>
          <t>SKÅNE LÄN</t>
        </is>
      </c>
      <c r="E3026" t="inlineStr">
        <is>
          <t>HÖRBY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33682-2022</t>
        </is>
      </c>
      <c r="B3027" s="1" t="n">
        <v>44789</v>
      </c>
      <c r="C3027" s="1" t="n">
        <v>45796</v>
      </c>
      <c r="D3027" t="inlineStr">
        <is>
          <t>SKÅNE LÄN</t>
        </is>
      </c>
      <c r="E3027" t="inlineStr">
        <is>
          <t>KRISTIANSTAD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33816-2022</t>
        </is>
      </c>
      <c r="B3028" s="1" t="n">
        <v>44790</v>
      </c>
      <c r="C3028" s="1" t="n">
        <v>45796</v>
      </c>
      <c r="D3028" t="inlineStr">
        <is>
          <t>SKÅNE LÄN</t>
        </is>
      </c>
      <c r="E3028" t="inlineStr">
        <is>
          <t>OSBY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33822-2022</t>
        </is>
      </c>
      <c r="B3029" s="1" t="n">
        <v>44790</v>
      </c>
      <c r="C3029" s="1" t="n">
        <v>45796</v>
      </c>
      <c r="D3029" t="inlineStr">
        <is>
          <t>SKÅNE LÄN</t>
        </is>
      </c>
      <c r="E3029" t="inlineStr">
        <is>
          <t>OSBY</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34348-2022</t>
        </is>
      </c>
      <c r="B3030" s="1" t="n">
        <v>44792</v>
      </c>
      <c r="C3030" s="1" t="n">
        <v>45796</v>
      </c>
      <c r="D3030" t="inlineStr">
        <is>
          <t>SKÅNE LÄN</t>
        </is>
      </c>
      <c r="E3030" t="inlineStr">
        <is>
          <t>HÄSSLEHOLM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34666-2022</t>
        </is>
      </c>
      <c r="B3031" s="1" t="n">
        <v>44795</v>
      </c>
      <c r="C3031" s="1" t="n">
        <v>45796</v>
      </c>
      <c r="D3031" t="inlineStr">
        <is>
          <t>SKÅNE LÄN</t>
        </is>
      </c>
      <c r="E3031" t="inlineStr">
        <is>
          <t>PERSTORP</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34719-2022</t>
        </is>
      </c>
      <c r="B3032" s="1" t="n">
        <v>44795</v>
      </c>
      <c r="C3032" s="1" t="n">
        <v>45796</v>
      </c>
      <c r="D3032" t="inlineStr">
        <is>
          <t>SKÅNE LÄN</t>
        </is>
      </c>
      <c r="E3032" t="inlineStr">
        <is>
          <t>KRISTIANSTAD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34873-2022</t>
        </is>
      </c>
      <c r="B3033" s="1" t="n">
        <v>44796</v>
      </c>
      <c r="C3033" s="1" t="n">
        <v>45796</v>
      </c>
      <c r="D3033" t="inlineStr">
        <is>
          <t>SKÅNE LÄN</t>
        </is>
      </c>
      <c r="E3033" t="inlineStr">
        <is>
          <t>KRISTIANSTAD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34982-2022</t>
        </is>
      </c>
      <c r="B3034" s="1" t="n">
        <v>44796</v>
      </c>
      <c r="C3034" s="1" t="n">
        <v>45796</v>
      </c>
      <c r="D3034" t="inlineStr">
        <is>
          <t>SKÅNE LÄN</t>
        </is>
      </c>
      <c r="E3034" t="inlineStr">
        <is>
          <t>HÄSSLEHOLM</t>
        </is>
      </c>
      <c r="F3034" t="inlineStr">
        <is>
          <t>Kyrkan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34924-2022</t>
        </is>
      </c>
      <c r="B3035" s="1" t="n">
        <v>44796</v>
      </c>
      <c r="C3035" s="1" t="n">
        <v>45796</v>
      </c>
      <c r="D3035" t="inlineStr">
        <is>
          <t>SKÅNE LÄN</t>
        </is>
      </c>
      <c r="E3035" t="inlineStr">
        <is>
          <t>ÖSTRA GÖINGE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34983-2022</t>
        </is>
      </c>
      <c r="B3036" s="1" t="n">
        <v>44796</v>
      </c>
      <c r="C3036" s="1" t="n">
        <v>45796</v>
      </c>
      <c r="D3036" t="inlineStr">
        <is>
          <t>SKÅNE LÄN</t>
        </is>
      </c>
      <c r="E3036" t="inlineStr">
        <is>
          <t>ÖSTRA GÖINGE</t>
        </is>
      </c>
      <c r="F3036" t="inlineStr">
        <is>
          <t>Kyrkan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35099-2022</t>
        </is>
      </c>
      <c r="B3037" s="1" t="n">
        <v>44797</v>
      </c>
      <c r="C3037" s="1" t="n">
        <v>45796</v>
      </c>
      <c r="D3037" t="inlineStr">
        <is>
          <t>SKÅNE LÄN</t>
        </is>
      </c>
      <c r="E3037" t="inlineStr">
        <is>
          <t>HÄSSLEHOLM</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35383-2022</t>
        </is>
      </c>
      <c r="B3038" s="1" t="n">
        <v>44798</v>
      </c>
      <c r="C3038" s="1" t="n">
        <v>45796</v>
      </c>
      <c r="D3038" t="inlineStr">
        <is>
          <t>SKÅNE LÄN</t>
        </is>
      </c>
      <c r="E3038" t="inlineStr">
        <is>
          <t>OSBY</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35438-2022</t>
        </is>
      </c>
      <c r="B3039" s="1" t="n">
        <v>44798</v>
      </c>
      <c r="C3039" s="1" t="n">
        <v>45796</v>
      </c>
      <c r="D3039" t="inlineStr">
        <is>
          <t>SKÅNE LÄN</t>
        </is>
      </c>
      <c r="E3039" t="inlineStr">
        <is>
          <t>HÖÖR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35533-2022</t>
        </is>
      </c>
      <c r="B3040" s="1" t="n">
        <v>44799</v>
      </c>
      <c r="C3040" s="1" t="n">
        <v>45796</v>
      </c>
      <c r="D3040" t="inlineStr">
        <is>
          <t>SKÅNE LÄN</t>
        </is>
      </c>
      <c r="E3040" t="inlineStr">
        <is>
          <t>ÖRKELLJUNGA</t>
        </is>
      </c>
      <c r="F3040" t="inlineStr">
        <is>
          <t>Kommuner</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35727-2022</t>
        </is>
      </c>
      <c r="B3041" s="1" t="n">
        <v>44799</v>
      </c>
      <c r="C3041" s="1" t="n">
        <v>45796</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35777-2022</t>
        </is>
      </c>
      <c r="B3042" s="1" t="n">
        <v>44801</v>
      </c>
      <c r="C3042" s="1" t="n">
        <v>45796</v>
      </c>
      <c r="D3042" t="inlineStr">
        <is>
          <t>SKÅNE LÄN</t>
        </is>
      </c>
      <c r="E3042" t="inlineStr">
        <is>
          <t>OSBY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35845-2022</t>
        </is>
      </c>
      <c r="B3043" s="1" t="n">
        <v>44802</v>
      </c>
      <c r="C3043" s="1" t="n">
        <v>45796</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35849-2022</t>
        </is>
      </c>
      <c r="B3044" s="1" t="n">
        <v>44802</v>
      </c>
      <c r="C3044" s="1" t="n">
        <v>45796</v>
      </c>
      <c r="D3044" t="inlineStr">
        <is>
          <t>SKÅNE LÄN</t>
        </is>
      </c>
      <c r="E3044" t="inlineStr">
        <is>
          <t>SIMRISHAMN</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35842-2022</t>
        </is>
      </c>
      <c r="B3045" s="1" t="n">
        <v>44802</v>
      </c>
      <c r="C3045" s="1" t="n">
        <v>45796</v>
      </c>
      <c r="D3045" t="inlineStr">
        <is>
          <t>SKÅNE LÄN</t>
        </is>
      </c>
      <c r="E3045" t="inlineStr">
        <is>
          <t>HÄSSLEHOLM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35911-2022</t>
        </is>
      </c>
      <c r="B3046" s="1" t="n">
        <v>44802</v>
      </c>
      <c r="C3046" s="1" t="n">
        <v>45796</v>
      </c>
      <c r="D3046" t="inlineStr">
        <is>
          <t>SKÅNE LÄN</t>
        </is>
      </c>
      <c r="E3046" t="inlineStr">
        <is>
          <t>OSBY</t>
        </is>
      </c>
      <c r="F3046" t="inlineStr">
        <is>
          <t>Naturvårdsverket</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35901-2022</t>
        </is>
      </c>
      <c r="B3047" s="1" t="n">
        <v>44802</v>
      </c>
      <c r="C3047" s="1" t="n">
        <v>45796</v>
      </c>
      <c r="D3047" t="inlineStr">
        <is>
          <t>SKÅNE LÄN</t>
        </is>
      </c>
      <c r="E3047" t="inlineStr">
        <is>
          <t>OSBY</t>
        </is>
      </c>
      <c r="F3047" t="inlineStr">
        <is>
          <t>Kyrkan</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36041-2022</t>
        </is>
      </c>
      <c r="B3048" s="1" t="n">
        <v>44802</v>
      </c>
      <c r="C3048" s="1" t="n">
        <v>45796</v>
      </c>
      <c r="D3048" t="inlineStr">
        <is>
          <t>SKÅNE LÄN</t>
        </is>
      </c>
      <c r="E3048" t="inlineStr">
        <is>
          <t>ÄNGELHOLM</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35974-2022</t>
        </is>
      </c>
      <c r="B3049" s="1" t="n">
        <v>44802</v>
      </c>
      <c r="C3049" s="1" t="n">
        <v>45796</v>
      </c>
      <c r="D3049" t="inlineStr">
        <is>
          <t>SKÅNE LÄN</t>
        </is>
      </c>
      <c r="E3049" t="inlineStr">
        <is>
          <t>HÄSSLEHOLM</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36036-2022</t>
        </is>
      </c>
      <c r="B3050" s="1" t="n">
        <v>44802</v>
      </c>
      <c r="C3050" s="1" t="n">
        <v>45796</v>
      </c>
      <c r="D3050" t="inlineStr">
        <is>
          <t>SKÅNE LÄN</t>
        </is>
      </c>
      <c r="E3050" t="inlineStr">
        <is>
          <t>ÄNGELHOLM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35986-2022</t>
        </is>
      </c>
      <c r="B3051" s="1" t="n">
        <v>44802</v>
      </c>
      <c r="C3051" s="1" t="n">
        <v>45796</v>
      </c>
      <c r="D3051" t="inlineStr">
        <is>
          <t>SKÅNE LÄN</t>
        </is>
      </c>
      <c r="E3051" t="inlineStr">
        <is>
          <t>OSBY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36324-2022</t>
        </is>
      </c>
      <c r="B3052" s="1" t="n">
        <v>44803</v>
      </c>
      <c r="C3052" s="1" t="n">
        <v>45796</v>
      </c>
      <c r="D3052" t="inlineStr">
        <is>
          <t>SKÅNE LÄN</t>
        </is>
      </c>
      <c r="E3052" t="inlineStr">
        <is>
          <t>ÖSTRA GÖINGE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36358-2022</t>
        </is>
      </c>
      <c r="B3053" s="1" t="n">
        <v>44803</v>
      </c>
      <c r="C3053" s="1" t="n">
        <v>45796</v>
      </c>
      <c r="D3053" t="inlineStr">
        <is>
          <t>SKÅNE LÄN</t>
        </is>
      </c>
      <c r="E3053" t="inlineStr">
        <is>
          <t>ÄNGELHOLM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36645-2022</t>
        </is>
      </c>
      <c r="B3054" s="1" t="n">
        <v>44804</v>
      </c>
      <c r="C3054" s="1" t="n">
        <v>45796</v>
      </c>
      <c r="D3054" t="inlineStr">
        <is>
          <t>SKÅNE LÄN</t>
        </is>
      </c>
      <c r="E3054" t="inlineStr">
        <is>
          <t>OSBY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36421-2022</t>
        </is>
      </c>
      <c r="B3055" s="1" t="n">
        <v>44804</v>
      </c>
      <c r="C3055" s="1" t="n">
        <v>45796</v>
      </c>
      <c r="D3055" t="inlineStr">
        <is>
          <t>SKÅNE LÄN</t>
        </is>
      </c>
      <c r="E3055" t="inlineStr">
        <is>
          <t>BROMÖLLA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36523-2022</t>
        </is>
      </c>
      <c r="B3056" s="1" t="n">
        <v>44804</v>
      </c>
      <c r="C3056" s="1" t="n">
        <v>45796</v>
      </c>
      <c r="D3056" t="inlineStr">
        <is>
          <t>SKÅNE LÄN</t>
        </is>
      </c>
      <c r="E3056" t="inlineStr">
        <is>
          <t>VELLINGE</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36540-2022</t>
        </is>
      </c>
      <c r="B3057" s="1" t="n">
        <v>44804</v>
      </c>
      <c r="C3057" s="1" t="n">
        <v>45796</v>
      </c>
      <c r="D3057" t="inlineStr">
        <is>
          <t>SKÅNE LÄN</t>
        </is>
      </c>
      <c r="E3057" t="inlineStr">
        <is>
          <t>KRISTIANSTAD</t>
        </is>
      </c>
      <c r="G3057" t="n">
        <v>17.9</v>
      </c>
      <c r="H3057" t="n">
        <v>0</v>
      </c>
      <c r="I3057" t="n">
        <v>0</v>
      </c>
      <c r="J3057" t="n">
        <v>0</v>
      </c>
      <c r="K3057" t="n">
        <v>0</v>
      </c>
      <c r="L3057" t="n">
        <v>0</v>
      </c>
      <c r="M3057" t="n">
        <v>0</v>
      </c>
      <c r="N3057" t="n">
        <v>0</v>
      </c>
      <c r="O3057" t="n">
        <v>0</v>
      </c>
      <c r="P3057" t="n">
        <v>0</v>
      </c>
      <c r="Q3057" t="n">
        <v>0</v>
      </c>
      <c r="R3057" s="2" t="inlineStr"/>
    </row>
    <row r="3058" ht="15" customHeight="1">
      <c r="A3058" t="inlineStr">
        <is>
          <t>A 36543-2022</t>
        </is>
      </c>
      <c r="B3058" s="1" t="n">
        <v>44804</v>
      </c>
      <c r="C3058" s="1" t="n">
        <v>45796</v>
      </c>
      <c r="D3058" t="inlineStr">
        <is>
          <t>SKÅNE LÄN</t>
        </is>
      </c>
      <c r="E3058" t="inlineStr">
        <is>
          <t>ÖRKELLJUNGA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36578-2022</t>
        </is>
      </c>
      <c r="B3059" s="1" t="n">
        <v>44804</v>
      </c>
      <c r="C3059" s="1" t="n">
        <v>45796</v>
      </c>
      <c r="D3059" t="inlineStr">
        <is>
          <t>SKÅNE LÄN</t>
        </is>
      </c>
      <c r="E3059" t="inlineStr">
        <is>
          <t>VELLINGE</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36595-2022</t>
        </is>
      </c>
      <c r="B3060" s="1" t="n">
        <v>44804</v>
      </c>
      <c r="C3060" s="1" t="n">
        <v>45796</v>
      </c>
      <c r="D3060" t="inlineStr">
        <is>
          <t>SKÅNE LÄN</t>
        </is>
      </c>
      <c r="E3060" t="inlineStr">
        <is>
          <t>ÖRKELLJUNGA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36706-2022</t>
        </is>
      </c>
      <c r="B3061" s="1" t="n">
        <v>44805</v>
      </c>
      <c r="C3061" s="1" t="n">
        <v>45796</v>
      </c>
      <c r="D3061" t="inlineStr">
        <is>
          <t>SKÅNE LÄN</t>
        </is>
      </c>
      <c r="E3061" t="inlineStr">
        <is>
          <t>HÄSSLEHOLM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36761-2022</t>
        </is>
      </c>
      <c r="B3062" s="1" t="n">
        <v>44805</v>
      </c>
      <c r="C3062" s="1" t="n">
        <v>45796</v>
      </c>
      <c r="D3062" t="inlineStr">
        <is>
          <t>SKÅNE LÄN</t>
        </is>
      </c>
      <c r="E3062" t="inlineStr">
        <is>
          <t>ESLÖV</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36899-2022</t>
        </is>
      </c>
      <c r="B3063" s="1" t="n">
        <v>44805</v>
      </c>
      <c r="C3063" s="1" t="n">
        <v>45796</v>
      </c>
      <c r="D3063" t="inlineStr">
        <is>
          <t>SKÅNE LÄN</t>
        </is>
      </c>
      <c r="E3063" t="inlineStr">
        <is>
          <t>OSBY</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36897-2022</t>
        </is>
      </c>
      <c r="B3064" s="1" t="n">
        <v>44805</v>
      </c>
      <c r="C3064" s="1" t="n">
        <v>45796</v>
      </c>
      <c r="D3064" t="inlineStr">
        <is>
          <t>SKÅNE LÄN</t>
        </is>
      </c>
      <c r="E3064" t="inlineStr">
        <is>
          <t>BROMÖLLA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37061-2022</t>
        </is>
      </c>
      <c r="B3065" s="1" t="n">
        <v>44806</v>
      </c>
      <c r="C3065" s="1" t="n">
        <v>45796</v>
      </c>
      <c r="D3065" t="inlineStr">
        <is>
          <t>SKÅNE LÄN</t>
        </is>
      </c>
      <c r="E3065" t="inlineStr">
        <is>
          <t>ÖRKELLJUNGA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37073-2022</t>
        </is>
      </c>
      <c r="B3066" s="1" t="n">
        <v>44806</v>
      </c>
      <c r="C3066" s="1" t="n">
        <v>45796</v>
      </c>
      <c r="D3066" t="inlineStr">
        <is>
          <t>SKÅNE LÄN</t>
        </is>
      </c>
      <c r="E3066" t="inlineStr">
        <is>
          <t>OSBY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37055-2022</t>
        </is>
      </c>
      <c r="B3067" s="1" t="n">
        <v>44806</v>
      </c>
      <c r="C3067" s="1" t="n">
        <v>45796</v>
      </c>
      <c r="D3067" t="inlineStr">
        <is>
          <t>SKÅNE LÄN</t>
        </is>
      </c>
      <c r="E3067" t="inlineStr">
        <is>
          <t>ÄNGELHOLM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37035-2022</t>
        </is>
      </c>
      <c r="B3068" s="1" t="n">
        <v>44806</v>
      </c>
      <c r="C3068" s="1" t="n">
        <v>45796</v>
      </c>
      <c r="D3068" t="inlineStr">
        <is>
          <t>SKÅNE LÄN</t>
        </is>
      </c>
      <c r="E3068" t="inlineStr">
        <is>
          <t>KLIPPAN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37098-2022</t>
        </is>
      </c>
      <c r="B3069" s="1" t="n">
        <v>44806</v>
      </c>
      <c r="C3069" s="1" t="n">
        <v>45796</v>
      </c>
      <c r="D3069" t="inlineStr">
        <is>
          <t>SKÅNE LÄN</t>
        </is>
      </c>
      <c r="E3069" t="inlineStr">
        <is>
          <t>HÄSSLEHOLM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37162-2022</t>
        </is>
      </c>
      <c r="B3070" s="1" t="n">
        <v>44806</v>
      </c>
      <c r="C3070" s="1" t="n">
        <v>45796</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37170-2022</t>
        </is>
      </c>
      <c r="B3071" s="1" t="n">
        <v>44806</v>
      </c>
      <c r="C3071" s="1" t="n">
        <v>45796</v>
      </c>
      <c r="D3071" t="inlineStr">
        <is>
          <t>SKÅNE LÄN</t>
        </is>
      </c>
      <c r="E3071" t="inlineStr">
        <is>
          <t>HÄSSLEHOLM</t>
        </is>
      </c>
      <c r="F3071" t="inlineStr">
        <is>
          <t>Kyrkan</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37181-2022</t>
        </is>
      </c>
      <c r="B3072" s="1" t="n">
        <v>44806</v>
      </c>
      <c r="C3072" s="1" t="n">
        <v>45796</v>
      </c>
      <c r="D3072" t="inlineStr">
        <is>
          <t>SKÅNE LÄN</t>
        </is>
      </c>
      <c r="E3072" t="inlineStr">
        <is>
          <t>HÄSSLEHOLM</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37354-2022</t>
        </is>
      </c>
      <c r="B3073" s="1" t="n">
        <v>44806</v>
      </c>
      <c r="C3073" s="1" t="n">
        <v>45796</v>
      </c>
      <c r="D3073" t="inlineStr">
        <is>
          <t>SKÅNE LÄN</t>
        </is>
      </c>
      <c r="E3073" t="inlineStr">
        <is>
          <t>SVALÖV</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37359-2022</t>
        </is>
      </c>
      <c r="B3074" s="1" t="n">
        <v>44806</v>
      </c>
      <c r="C3074" s="1" t="n">
        <v>45796</v>
      </c>
      <c r="D3074" t="inlineStr">
        <is>
          <t>SKÅNE LÄN</t>
        </is>
      </c>
      <c r="E3074" t="inlineStr">
        <is>
          <t>KLIPPAN</t>
        </is>
      </c>
      <c r="F3074" t="inlineStr">
        <is>
          <t>Övriga Aktiebolag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37457-2022</t>
        </is>
      </c>
      <c r="B3075" s="1" t="n">
        <v>44809</v>
      </c>
      <c r="C3075" s="1" t="n">
        <v>45796</v>
      </c>
      <c r="D3075" t="inlineStr">
        <is>
          <t>SKÅNE LÄN</t>
        </is>
      </c>
      <c r="E3075" t="inlineStr">
        <is>
          <t>HÄSSLEHOLM</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37724-2022</t>
        </is>
      </c>
      <c r="B3076" s="1" t="n">
        <v>44810</v>
      </c>
      <c r="C3076" s="1" t="n">
        <v>45796</v>
      </c>
      <c r="D3076" t="inlineStr">
        <is>
          <t>SKÅNE LÄN</t>
        </is>
      </c>
      <c r="E3076" t="inlineStr">
        <is>
          <t>HÖRBY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37784-2022</t>
        </is>
      </c>
      <c r="B3077" s="1" t="n">
        <v>44810</v>
      </c>
      <c r="C3077" s="1" t="n">
        <v>45796</v>
      </c>
      <c r="D3077" t="inlineStr">
        <is>
          <t>SKÅNE LÄN</t>
        </is>
      </c>
      <c r="E3077" t="inlineStr">
        <is>
          <t>ÖSTRA GÖINGE</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37728-2022</t>
        </is>
      </c>
      <c r="B3078" s="1" t="n">
        <v>44810</v>
      </c>
      <c r="C3078" s="1" t="n">
        <v>45796</v>
      </c>
      <c r="D3078" t="inlineStr">
        <is>
          <t>SKÅNE LÄN</t>
        </is>
      </c>
      <c r="E3078" t="inlineStr">
        <is>
          <t>HÖRBY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37764-2022</t>
        </is>
      </c>
      <c r="B3079" s="1" t="n">
        <v>44810</v>
      </c>
      <c r="C3079" s="1" t="n">
        <v>45796</v>
      </c>
      <c r="D3079" t="inlineStr">
        <is>
          <t>SKÅNE LÄN</t>
        </is>
      </c>
      <c r="E3079" t="inlineStr">
        <is>
          <t>HÄSSLEHOLM</t>
        </is>
      </c>
      <c r="F3079" t="inlineStr">
        <is>
          <t>Kyrkan</t>
        </is>
      </c>
      <c r="G3079" t="n">
        <v>9.4</v>
      </c>
      <c r="H3079" t="n">
        <v>0</v>
      </c>
      <c r="I3079" t="n">
        <v>0</v>
      </c>
      <c r="J3079" t="n">
        <v>0</v>
      </c>
      <c r="K3079" t="n">
        <v>0</v>
      </c>
      <c r="L3079" t="n">
        <v>0</v>
      </c>
      <c r="M3079" t="n">
        <v>0</v>
      </c>
      <c r="N3079" t="n">
        <v>0</v>
      </c>
      <c r="O3079" t="n">
        <v>0</v>
      </c>
      <c r="P3079" t="n">
        <v>0</v>
      </c>
      <c r="Q3079" t="n">
        <v>0</v>
      </c>
      <c r="R3079" s="2" t="inlineStr"/>
    </row>
    <row r="3080" ht="15" customHeight="1">
      <c r="A3080" t="inlineStr">
        <is>
          <t>A 38013-2022</t>
        </is>
      </c>
      <c r="B3080" s="1" t="n">
        <v>44811</v>
      </c>
      <c r="C3080" s="1" t="n">
        <v>45796</v>
      </c>
      <c r="D3080" t="inlineStr">
        <is>
          <t>SKÅNE LÄN</t>
        </is>
      </c>
      <c r="E3080" t="inlineStr">
        <is>
          <t>BÅSTAD</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38148-2022</t>
        </is>
      </c>
      <c r="B3081" s="1" t="n">
        <v>44811</v>
      </c>
      <c r="C3081" s="1" t="n">
        <v>45796</v>
      </c>
      <c r="D3081" t="inlineStr">
        <is>
          <t>SKÅNE LÄN</t>
        </is>
      </c>
      <c r="E3081" t="inlineStr">
        <is>
          <t>HÄSSLEHOLM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38133-2022</t>
        </is>
      </c>
      <c r="B3082" s="1" t="n">
        <v>44811</v>
      </c>
      <c r="C3082" s="1" t="n">
        <v>45796</v>
      </c>
      <c r="D3082" t="inlineStr">
        <is>
          <t>SKÅNE LÄN</t>
        </is>
      </c>
      <c r="E3082" t="inlineStr">
        <is>
          <t>HÄSSLEHOLM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38154-2022</t>
        </is>
      </c>
      <c r="B3083" s="1" t="n">
        <v>44812</v>
      </c>
      <c r="C3083" s="1" t="n">
        <v>45796</v>
      </c>
      <c r="D3083" t="inlineStr">
        <is>
          <t>SKÅNE LÄN</t>
        </is>
      </c>
      <c r="E3083" t="inlineStr">
        <is>
          <t>KLIPPAN</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38156-2022</t>
        </is>
      </c>
      <c r="B3084" s="1" t="n">
        <v>44812</v>
      </c>
      <c r="C3084" s="1" t="n">
        <v>45796</v>
      </c>
      <c r="D3084" t="inlineStr">
        <is>
          <t>SKÅNE LÄN</t>
        </is>
      </c>
      <c r="E3084" t="inlineStr">
        <is>
          <t>KLIPPAN</t>
        </is>
      </c>
      <c r="G3084" t="n">
        <v>0</v>
      </c>
      <c r="H3084" t="n">
        <v>0</v>
      </c>
      <c r="I3084" t="n">
        <v>0</v>
      </c>
      <c r="J3084" t="n">
        <v>0</v>
      </c>
      <c r="K3084" t="n">
        <v>0</v>
      </c>
      <c r="L3084" t="n">
        <v>0</v>
      </c>
      <c r="M3084" t="n">
        <v>0</v>
      </c>
      <c r="N3084" t="n">
        <v>0</v>
      </c>
      <c r="O3084" t="n">
        <v>0</v>
      </c>
      <c r="P3084" t="n">
        <v>0</v>
      </c>
      <c r="Q3084" t="n">
        <v>0</v>
      </c>
      <c r="R3084" s="2" t="inlineStr"/>
    </row>
    <row r="3085" ht="15" customHeight="1">
      <c r="A3085" t="inlineStr">
        <is>
          <t>A 38306-2022</t>
        </is>
      </c>
      <c r="B3085" s="1" t="n">
        <v>44812</v>
      </c>
      <c r="C3085" s="1" t="n">
        <v>45796</v>
      </c>
      <c r="D3085" t="inlineStr">
        <is>
          <t>SKÅNE LÄN</t>
        </is>
      </c>
      <c r="E3085" t="inlineStr">
        <is>
          <t>HÄSSLEHOLM</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38376-2022</t>
        </is>
      </c>
      <c r="B3086" s="1" t="n">
        <v>44812</v>
      </c>
      <c r="C3086" s="1" t="n">
        <v>45796</v>
      </c>
      <c r="D3086" t="inlineStr">
        <is>
          <t>SKÅNE LÄN</t>
        </is>
      </c>
      <c r="E3086" t="inlineStr">
        <is>
          <t>HÄSSLEHOLM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38492-2022</t>
        </is>
      </c>
      <c r="B3087" s="1" t="n">
        <v>44813</v>
      </c>
      <c r="C3087" s="1" t="n">
        <v>45796</v>
      </c>
      <c r="D3087" t="inlineStr">
        <is>
          <t>SKÅNE LÄN</t>
        </is>
      </c>
      <c r="E3087" t="inlineStr">
        <is>
          <t>KRISTIANSTAD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38556-2022</t>
        </is>
      </c>
      <c r="B3088" s="1" t="n">
        <v>44813</v>
      </c>
      <c r="C3088" s="1" t="n">
        <v>45796</v>
      </c>
      <c r="D3088" t="inlineStr">
        <is>
          <t>SKÅNE LÄN</t>
        </is>
      </c>
      <c r="E3088" t="inlineStr">
        <is>
          <t>ÖRKELLJUNGA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38560-2022</t>
        </is>
      </c>
      <c r="B3089" s="1" t="n">
        <v>44813</v>
      </c>
      <c r="C3089" s="1" t="n">
        <v>45796</v>
      </c>
      <c r="D3089" t="inlineStr">
        <is>
          <t>SKÅNE LÄN</t>
        </is>
      </c>
      <c r="E3089" t="inlineStr">
        <is>
          <t>ÖRKELLJUNGA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38463-2022</t>
        </is>
      </c>
      <c r="B3090" s="1" t="n">
        <v>44813</v>
      </c>
      <c r="C3090" s="1" t="n">
        <v>45796</v>
      </c>
      <c r="D3090" t="inlineStr">
        <is>
          <t>SKÅNE LÄN</t>
        </is>
      </c>
      <c r="E3090" t="inlineStr">
        <is>
          <t>HÄSSLEHOLM</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38500-2022</t>
        </is>
      </c>
      <c r="B3091" s="1" t="n">
        <v>44813</v>
      </c>
      <c r="C3091" s="1" t="n">
        <v>45796</v>
      </c>
      <c r="D3091" t="inlineStr">
        <is>
          <t>SKÅNE LÄN</t>
        </is>
      </c>
      <c r="E3091" t="inlineStr">
        <is>
          <t>KRISTIANSTAD</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38632-2022</t>
        </is>
      </c>
      <c r="B3092" s="1" t="n">
        <v>44813</v>
      </c>
      <c r="C3092" s="1" t="n">
        <v>45796</v>
      </c>
      <c r="D3092" t="inlineStr">
        <is>
          <t>SKÅNE LÄN</t>
        </is>
      </c>
      <c r="E3092" t="inlineStr">
        <is>
          <t>OSBY</t>
        </is>
      </c>
      <c r="F3092" t="inlineStr">
        <is>
          <t>Kyrkan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38629-2022</t>
        </is>
      </c>
      <c r="B3093" s="1" t="n">
        <v>44813</v>
      </c>
      <c r="C3093" s="1" t="n">
        <v>45796</v>
      </c>
      <c r="D3093" t="inlineStr">
        <is>
          <t>SKÅNE LÄN</t>
        </is>
      </c>
      <c r="E3093" t="inlineStr">
        <is>
          <t>OSBY</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38647-2022</t>
        </is>
      </c>
      <c r="B3094" s="1" t="n">
        <v>44813</v>
      </c>
      <c r="C3094" s="1" t="n">
        <v>45796</v>
      </c>
      <c r="D3094" t="inlineStr">
        <is>
          <t>SKÅNE LÄN</t>
        </is>
      </c>
      <c r="E3094" t="inlineStr">
        <is>
          <t>OSBY</t>
        </is>
      </c>
      <c r="F3094" t="inlineStr">
        <is>
          <t>Kyrkan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38684-2022</t>
        </is>
      </c>
      <c r="B3095" s="1" t="n">
        <v>44814</v>
      </c>
      <c r="C3095" s="1" t="n">
        <v>45796</v>
      </c>
      <c r="D3095" t="inlineStr">
        <is>
          <t>SKÅNE LÄN</t>
        </is>
      </c>
      <c r="E3095" t="inlineStr">
        <is>
          <t>HÖRBY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38704-2022</t>
        </is>
      </c>
      <c r="B3096" s="1" t="n">
        <v>44814</v>
      </c>
      <c r="C3096" s="1" t="n">
        <v>45796</v>
      </c>
      <c r="D3096" t="inlineStr">
        <is>
          <t>SKÅNE LÄN</t>
        </is>
      </c>
      <c r="E3096" t="inlineStr">
        <is>
          <t>HÖRBY</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38861-2022</t>
        </is>
      </c>
      <c r="B3097" s="1" t="n">
        <v>44816</v>
      </c>
      <c r="C3097" s="1" t="n">
        <v>45796</v>
      </c>
      <c r="D3097" t="inlineStr">
        <is>
          <t>SKÅNE LÄN</t>
        </is>
      </c>
      <c r="E3097" t="inlineStr">
        <is>
          <t>OSBY</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38778-2022</t>
        </is>
      </c>
      <c r="B3098" s="1" t="n">
        <v>44816</v>
      </c>
      <c r="C3098" s="1" t="n">
        <v>45796</v>
      </c>
      <c r="D3098" t="inlineStr">
        <is>
          <t>SKÅNE LÄN</t>
        </is>
      </c>
      <c r="E3098" t="inlineStr">
        <is>
          <t>KRISTIANSTAD</t>
        </is>
      </c>
      <c r="G3098" t="n">
        <v>17.1</v>
      </c>
      <c r="H3098" t="n">
        <v>0</v>
      </c>
      <c r="I3098" t="n">
        <v>0</v>
      </c>
      <c r="J3098" t="n">
        <v>0</v>
      </c>
      <c r="K3098" t="n">
        <v>0</v>
      </c>
      <c r="L3098" t="n">
        <v>0</v>
      </c>
      <c r="M3098" t="n">
        <v>0</v>
      </c>
      <c r="N3098" t="n">
        <v>0</v>
      </c>
      <c r="O3098" t="n">
        <v>0</v>
      </c>
      <c r="P3098" t="n">
        <v>0</v>
      </c>
      <c r="Q3098" t="n">
        <v>0</v>
      </c>
      <c r="R3098" s="2" t="inlineStr"/>
    </row>
    <row r="3099" ht="15" customHeight="1">
      <c r="A3099" t="inlineStr">
        <is>
          <t>A 38938-2022</t>
        </is>
      </c>
      <c r="B3099" s="1" t="n">
        <v>44816</v>
      </c>
      <c r="C3099" s="1" t="n">
        <v>45796</v>
      </c>
      <c r="D3099" t="inlineStr">
        <is>
          <t>SKÅNE LÄN</t>
        </is>
      </c>
      <c r="E3099" t="inlineStr">
        <is>
          <t>KRISTIANSTAD</t>
        </is>
      </c>
      <c r="F3099" t="inlineStr">
        <is>
          <t>Sveaskog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39066-2022</t>
        </is>
      </c>
      <c r="B3100" s="1" t="n">
        <v>44816</v>
      </c>
      <c r="C3100" s="1" t="n">
        <v>45796</v>
      </c>
      <c r="D3100" t="inlineStr">
        <is>
          <t>SKÅNE LÄN</t>
        </is>
      </c>
      <c r="E3100" t="inlineStr">
        <is>
          <t>ESLÖV</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39056-2022</t>
        </is>
      </c>
      <c r="B3101" s="1" t="n">
        <v>44816</v>
      </c>
      <c r="C3101" s="1" t="n">
        <v>45796</v>
      </c>
      <c r="D3101" t="inlineStr">
        <is>
          <t>SKÅNE LÄN</t>
        </is>
      </c>
      <c r="E3101" t="inlineStr">
        <is>
          <t>KLIPPAN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39102-2022</t>
        </is>
      </c>
      <c r="B3102" s="1" t="n">
        <v>44817</v>
      </c>
      <c r="C3102" s="1" t="n">
        <v>45796</v>
      </c>
      <c r="D3102" t="inlineStr">
        <is>
          <t>SKÅNE LÄN</t>
        </is>
      </c>
      <c r="E3102" t="inlineStr">
        <is>
          <t>HÄSSLEHOLM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39238-2022</t>
        </is>
      </c>
      <c r="B3103" s="1" t="n">
        <v>44817</v>
      </c>
      <c r="C3103" s="1" t="n">
        <v>45796</v>
      </c>
      <c r="D3103" t="inlineStr">
        <is>
          <t>SKÅNE LÄN</t>
        </is>
      </c>
      <c r="E3103" t="inlineStr">
        <is>
          <t>KLIPPAN</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39244-2022</t>
        </is>
      </c>
      <c r="B3104" s="1" t="n">
        <v>44817</v>
      </c>
      <c r="C3104" s="1" t="n">
        <v>45796</v>
      </c>
      <c r="D3104" t="inlineStr">
        <is>
          <t>SKÅNE LÄN</t>
        </is>
      </c>
      <c r="E3104" t="inlineStr">
        <is>
          <t>KLIPPAN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39266-2022</t>
        </is>
      </c>
      <c r="B3105" s="1" t="n">
        <v>44817</v>
      </c>
      <c r="C3105" s="1" t="n">
        <v>45796</v>
      </c>
      <c r="D3105" t="inlineStr">
        <is>
          <t>SKÅNE LÄN</t>
        </is>
      </c>
      <c r="E3105" t="inlineStr">
        <is>
          <t>HÖÖR</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39567-2022</t>
        </is>
      </c>
      <c r="B3106" s="1" t="n">
        <v>44817</v>
      </c>
      <c r="C3106" s="1" t="n">
        <v>45796</v>
      </c>
      <c r="D3106" t="inlineStr">
        <is>
          <t>SKÅNE LÄN</t>
        </is>
      </c>
      <c r="E3106" t="inlineStr">
        <is>
          <t>KRISTIANSTAD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40181-2022</t>
        </is>
      </c>
      <c r="B3107" s="1" t="n">
        <v>44818</v>
      </c>
      <c r="C3107" s="1" t="n">
        <v>45796</v>
      </c>
      <c r="D3107" t="inlineStr">
        <is>
          <t>SKÅNE LÄN</t>
        </is>
      </c>
      <c r="E3107" t="inlineStr">
        <is>
          <t>KRISTIANSTAD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40037-2022</t>
        </is>
      </c>
      <c r="B3108" s="1" t="n">
        <v>44818</v>
      </c>
      <c r="C3108" s="1" t="n">
        <v>45796</v>
      </c>
      <c r="D3108" t="inlineStr">
        <is>
          <t>SKÅNE LÄN</t>
        </is>
      </c>
      <c r="E3108" t="inlineStr">
        <is>
          <t>KRISTIANSTAD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39844-2022</t>
        </is>
      </c>
      <c r="B3109" s="1" t="n">
        <v>44819</v>
      </c>
      <c r="C3109" s="1" t="n">
        <v>45796</v>
      </c>
      <c r="D3109" t="inlineStr">
        <is>
          <t>SKÅNE LÄN</t>
        </is>
      </c>
      <c r="E3109" t="inlineStr">
        <is>
          <t>HÖRBY</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39849-2022</t>
        </is>
      </c>
      <c r="B3110" s="1" t="n">
        <v>44819</v>
      </c>
      <c r="C3110" s="1" t="n">
        <v>45796</v>
      </c>
      <c r="D3110" t="inlineStr">
        <is>
          <t>SKÅNE LÄN</t>
        </is>
      </c>
      <c r="E3110" t="inlineStr">
        <is>
          <t>HÖRBY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40202-2022</t>
        </is>
      </c>
      <c r="B3111" s="1" t="n">
        <v>44820</v>
      </c>
      <c r="C3111" s="1" t="n">
        <v>45796</v>
      </c>
      <c r="D3111" t="inlineStr">
        <is>
          <t>SKÅNE LÄN</t>
        </is>
      </c>
      <c r="E3111" t="inlineStr">
        <is>
          <t>HÄSSLEHOLM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40199-2022</t>
        </is>
      </c>
      <c r="B3112" s="1" t="n">
        <v>44820</v>
      </c>
      <c r="C3112" s="1" t="n">
        <v>45796</v>
      </c>
      <c r="D3112" t="inlineStr">
        <is>
          <t>SKÅNE LÄN</t>
        </is>
      </c>
      <c r="E3112" t="inlineStr">
        <is>
          <t>HÄSSLEHOLM</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40139-2022</t>
        </is>
      </c>
      <c r="B3113" s="1" t="n">
        <v>44820</v>
      </c>
      <c r="C3113" s="1" t="n">
        <v>45796</v>
      </c>
      <c r="D3113" t="inlineStr">
        <is>
          <t>SKÅNE LÄN</t>
        </is>
      </c>
      <c r="E3113" t="inlineStr">
        <is>
          <t>ÖSTRA GÖINGE</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40190-2022</t>
        </is>
      </c>
      <c r="B3114" s="1" t="n">
        <v>44820</v>
      </c>
      <c r="C3114" s="1" t="n">
        <v>45796</v>
      </c>
      <c r="D3114" t="inlineStr">
        <is>
          <t>SKÅNE LÄN</t>
        </is>
      </c>
      <c r="E3114" t="inlineStr">
        <is>
          <t>ÖRKELLJUNGA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40184-2022</t>
        </is>
      </c>
      <c r="B3115" s="1" t="n">
        <v>44820</v>
      </c>
      <c r="C3115" s="1" t="n">
        <v>45796</v>
      </c>
      <c r="D3115" t="inlineStr">
        <is>
          <t>SKÅNE LÄN</t>
        </is>
      </c>
      <c r="E3115" t="inlineStr">
        <is>
          <t>ÖRKELLJUNGA</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40196-2022</t>
        </is>
      </c>
      <c r="B3116" s="1" t="n">
        <v>44820</v>
      </c>
      <c r="C3116" s="1" t="n">
        <v>45796</v>
      </c>
      <c r="D3116" t="inlineStr">
        <is>
          <t>SKÅNE LÄN</t>
        </is>
      </c>
      <c r="E3116" t="inlineStr">
        <is>
          <t>ÖRKELLJUNGA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40764-2022</t>
        </is>
      </c>
      <c r="B3117" s="1" t="n">
        <v>44820</v>
      </c>
      <c r="C3117" s="1" t="n">
        <v>45796</v>
      </c>
      <c r="D3117" t="inlineStr">
        <is>
          <t>SKÅNE LÄN</t>
        </is>
      </c>
      <c r="E3117" t="inlineStr">
        <is>
          <t>HÄSSLEHOLM</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40780-2022</t>
        </is>
      </c>
      <c r="B3118" s="1" t="n">
        <v>44820</v>
      </c>
      <c r="C3118" s="1" t="n">
        <v>45796</v>
      </c>
      <c r="D3118" t="inlineStr">
        <is>
          <t>SKÅNE LÄN</t>
        </is>
      </c>
      <c r="E3118" t="inlineStr">
        <is>
          <t>HÄSSLEHOLM</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40795-2022</t>
        </is>
      </c>
      <c r="B3119" s="1" t="n">
        <v>44820</v>
      </c>
      <c r="C3119" s="1" t="n">
        <v>45796</v>
      </c>
      <c r="D3119" t="inlineStr">
        <is>
          <t>SKÅNE LÄN</t>
        </is>
      </c>
      <c r="E3119" t="inlineStr">
        <is>
          <t>KLIPPAN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40886-2022</t>
        </is>
      </c>
      <c r="B3120" s="1" t="n">
        <v>44820</v>
      </c>
      <c r="C3120" s="1" t="n">
        <v>45796</v>
      </c>
      <c r="D3120" t="inlineStr">
        <is>
          <t>SKÅNE LÄN</t>
        </is>
      </c>
      <c r="E3120" t="inlineStr">
        <is>
          <t>HÖÖR</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40768-2022</t>
        </is>
      </c>
      <c r="B3121" s="1" t="n">
        <v>44820</v>
      </c>
      <c r="C3121" s="1" t="n">
        <v>45796</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40417-2022</t>
        </is>
      </c>
      <c r="B3122" s="1" t="n">
        <v>44823</v>
      </c>
      <c r="C3122" s="1" t="n">
        <v>45796</v>
      </c>
      <c r="D3122" t="inlineStr">
        <is>
          <t>SKÅNE LÄN</t>
        </is>
      </c>
      <c r="E3122" t="inlineStr">
        <is>
          <t>YSTAD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40524-2022</t>
        </is>
      </c>
      <c r="B3123" s="1" t="n">
        <v>44823</v>
      </c>
      <c r="C3123" s="1" t="n">
        <v>45796</v>
      </c>
      <c r="D3123" t="inlineStr">
        <is>
          <t>SKÅNE LÄN</t>
        </is>
      </c>
      <c r="E3123" t="inlineStr">
        <is>
          <t>OSBY</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40584-2022</t>
        </is>
      </c>
      <c r="B3124" s="1" t="n">
        <v>44823</v>
      </c>
      <c r="C3124" s="1" t="n">
        <v>45796</v>
      </c>
      <c r="D3124" t="inlineStr">
        <is>
          <t>SKÅNE LÄN</t>
        </is>
      </c>
      <c r="E3124" t="inlineStr">
        <is>
          <t>OSBY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40974-2022</t>
        </is>
      </c>
      <c r="B3125" s="1" t="n">
        <v>44823</v>
      </c>
      <c r="C3125" s="1" t="n">
        <v>45796</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40719-2022</t>
        </is>
      </c>
      <c r="B3126" s="1" t="n">
        <v>44824</v>
      </c>
      <c r="C3126" s="1" t="n">
        <v>45796</v>
      </c>
      <c r="D3126" t="inlineStr">
        <is>
          <t>SKÅNE LÄN</t>
        </is>
      </c>
      <c r="E3126" t="inlineStr">
        <is>
          <t>BROMÖLLA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40712-2022</t>
        </is>
      </c>
      <c r="B3127" s="1" t="n">
        <v>44824</v>
      </c>
      <c r="C3127" s="1" t="n">
        <v>45796</v>
      </c>
      <c r="D3127" t="inlineStr">
        <is>
          <t>SKÅNE LÄN</t>
        </is>
      </c>
      <c r="E3127" t="inlineStr">
        <is>
          <t>KRISTIANSTAD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40762-2022</t>
        </is>
      </c>
      <c r="B3128" s="1" t="n">
        <v>44824</v>
      </c>
      <c r="C3128" s="1" t="n">
        <v>45796</v>
      </c>
      <c r="D3128" t="inlineStr">
        <is>
          <t>SKÅNE LÄN</t>
        </is>
      </c>
      <c r="E3128" t="inlineStr">
        <is>
          <t>KRISTIANSTAD</t>
        </is>
      </c>
      <c r="F3128" t="inlineStr">
        <is>
          <t>Övriga Aktiebolag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40661-2022</t>
        </is>
      </c>
      <c r="B3129" s="1" t="n">
        <v>44824</v>
      </c>
      <c r="C3129" s="1" t="n">
        <v>45796</v>
      </c>
      <c r="D3129" t="inlineStr">
        <is>
          <t>SKÅNE LÄN</t>
        </is>
      </c>
      <c r="E3129" t="inlineStr">
        <is>
          <t>KRISTIANSTAD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40695-2022</t>
        </is>
      </c>
      <c r="B3130" s="1" t="n">
        <v>44824</v>
      </c>
      <c r="C3130" s="1" t="n">
        <v>45796</v>
      </c>
      <c r="D3130" t="inlineStr">
        <is>
          <t>SKÅNE LÄN</t>
        </is>
      </c>
      <c r="E3130" t="inlineStr">
        <is>
          <t>BROMÖLLA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41042-2022</t>
        </is>
      </c>
      <c r="B3131" s="1" t="n">
        <v>44825</v>
      </c>
      <c r="C3131" s="1" t="n">
        <v>45796</v>
      </c>
      <c r="D3131" t="inlineStr">
        <is>
          <t>SKÅNE LÄN</t>
        </is>
      </c>
      <c r="E3131" t="inlineStr">
        <is>
          <t>BROMÖLLA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41272-2022</t>
        </is>
      </c>
      <c r="B3132" s="1" t="n">
        <v>44825</v>
      </c>
      <c r="C3132" s="1" t="n">
        <v>45796</v>
      </c>
      <c r="D3132" t="inlineStr">
        <is>
          <t>SKÅNE LÄN</t>
        </is>
      </c>
      <c r="E3132" t="inlineStr">
        <is>
          <t>KLIPPAN</t>
        </is>
      </c>
      <c r="F3132" t="inlineStr">
        <is>
          <t>Övriga Aktiebolag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41268-2022</t>
        </is>
      </c>
      <c r="B3133" s="1" t="n">
        <v>44825</v>
      </c>
      <c r="C3133" s="1" t="n">
        <v>45796</v>
      </c>
      <c r="D3133" t="inlineStr">
        <is>
          <t>SKÅNE LÄN</t>
        </is>
      </c>
      <c r="E3133" t="inlineStr">
        <is>
          <t>KLIPPAN</t>
        </is>
      </c>
      <c r="F3133" t="inlineStr">
        <is>
          <t>Övriga Aktiebolag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41294-2022</t>
        </is>
      </c>
      <c r="B3134" s="1" t="n">
        <v>44825</v>
      </c>
      <c r="C3134" s="1" t="n">
        <v>45796</v>
      </c>
      <c r="D3134" t="inlineStr">
        <is>
          <t>SKÅNE LÄN</t>
        </is>
      </c>
      <c r="E3134" t="inlineStr">
        <is>
          <t>KLIPPAN</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41230-2022</t>
        </is>
      </c>
      <c r="B3135" s="1" t="n">
        <v>44826</v>
      </c>
      <c r="C3135" s="1" t="n">
        <v>45796</v>
      </c>
      <c r="D3135" t="inlineStr">
        <is>
          <t>SKÅNE LÄN</t>
        </is>
      </c>
      <c r="E3135" t="inlineStr">
        <is>
          <t>ÖRKELLJUNGA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41375-2022</t>
        </is>
      </c>
      <c r="B3136" s="1" t="n">
        <v>44826</v>
      </c>
      <c r="C3136" s="1" t="n">
        <v>45796</v>
      </c>
      <c r="D3136" t="inlineStr">
        <is>
          <t>SKÅNE LÄN</t>
        </is>
      </c>
      <c r="E3136" t="inlineStr">
        <is>
          <t>OSBY</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41459-2022</t>
        </is>
      </c>
      <c r="B3137" s="1" t="n">
        <v>44827</v>
      </c>
      <c r="C3137" s="1" t="n">
        <v>45796</v>
      </c>
      <c r="D3137" t="inlineStr">
        <is>
          <t>SKÅNE LÄN</t>
        </is>
      </c>
      <c r="E3137" t="inlineStr">
        <is>
          <t>HÄSSLEHOLM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41537-2022</t>
        </is>
      </c>
      <c r="B3138" s="1" t="n">
        <v>44826</v>
      </c>
      <c r="C3138" s="1" t="n">
        <v>45796</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41548-2022</t>
        </is>
      </c>
      <c r="B3139" s="1" t="n">
        <v>44826</v>
      </c>
      <c r="C3139" s="1" t="n">
        <v>45796</v>
      </c>
      <c r="D3139" t="inlineStr">
        <is>
          <t>SKÅNE LÄN</t>
        </is>
      </c>
      <c r="E3139" t="inlineStr">
        <is>
          <t>ÖSTRA GÖINGE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41547-2022</t>
        </is>
      </c>
      <c r="B3140" s="1" t="n">
        <v>44826</v>
      </c>
      <c r="C3140" s="1" t="n">
        <v>45796</v>
      </c>
      <c r="D3140" t="inlineStr">
        <is>
          <t>SKÅNE LÄN</t>
        </is>
      </c>
      <c r="E3140" t="inlineStr">
        <is>
          <t>OSBY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41557-2022</t>
        </is>
      </c>
      <c r="B3141" s="1" t="n">
        <v>44827</v>
      </c>
      <c r="C3141" s="1" t="n">
        <v>45796</v>
      </c>
      <c r="D3141" t="inlineStr">
        <is>
          <t>SKÅNE LÄN</t>
        </is>
      </c>
      <c r="E3141" t="inlineStr">
        <is>
          <t>OSBY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41560-2022</t>
        </is>
      </c>
      <c r="B3142" s="1" t="n">
        <v>44827</v>
      </c>
      <c r="C3142" s="1" t="n">
        <v>45796</v>
      </c>
      <c r="D3142" t="inlineStr">
        <is>
          <t>SKÅNE LÄN</t>
        </is>
      </c>
      <c r="E3142" t="inlineStr">
        <is>
          <t>OSBY</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41725-2022</t>
        </is>
      </c>
      <c r="B3143" s="1" t="n">
        <v>44827</v>
      </c>
      <c r="C3143" s="1" t="n">
        <v>45796</v>
      </c>
      <c r="D3143" t="inlineStr">
        <is>
          <t>SKÅNE LÄN</t>
        </is>
      </c>
      <c r="E3143" t="inlineStr">
        <is>
          <t>ÄNGELHOLM</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41682-2022</t>
        </is>
      </c>
      <c r="B3144" s="1" t="n">
        <v>44827</v>
      </c>
      <c r="C3144" s="1" t="n">
        <v>45796</v>
      </c>
      <c r="D3144" t="inlineStr">
        <is>
          <t>SKÅNE LÄN</t>
        </is>
      </c>
      <c r="E3144" t="inlineStr">
        <is>
          <t>ESLÖV</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41769-2022</t>
        </is>
      </c>
      <c r="B3145" s="1" t="n">
        <v>44827</v>
      </c>
      <c r="C3145" s="1" t="n">
        <v>45796</v>
      </c>
      <c r="D3145" t="inlineStr">
        <is>
          <t>SKÅNE LÄN</t>
        </is>
      </c>
      <c r="E3145" t="inlineStr">
        <is>
          <t>ÄNGELHOLM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41764-2022</t>
        </is>
      </c>
      <c r="B3146" s="1" t="n">
        <v>44827</v>
      </c>
      <c r="C3146" s="1" t="n">
        <v>45796</v>
      </c>
      <c r="D3146" t="inlineStr">
        <is>
          <t>SKÅNE LÄN</t>
        </is>
      </c>
      <c r="E3146" t="inlineStr">
        <is>
          <t>ÄNGELHOLM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42016-2022</t>
        </is>
      </c>
      <c r="B3147" s="1" t="n">
        <v>44827</v>
      </c>
      <c r="C3147" s="1" t="n">
        <v>45796</v>
      </c>
      <c r="D3147" t="inlineStr">
        <is>
          <t>SKÅNE LÄN</t>
        </is>
      </c>
      <c r="E3147" t="inlineStr">
        <is>
          <t>SIMRISHAMN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42034-2022</t>
        </is>
      </c>
      <c r="B3148" s="1" t="n">
        <v>44830</v>
      </c>
      <c r="C3148" s="1" t="n">
        <v>45796</v>
      </c>
      <c r="D3148" t="inlineStr">
        <is>
          <t>SKÅNE LÄN</t>
        </is>
      </c>
      <c r="E3148" t="inlineStr">
        <is>
          <t>OSBY</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42153-2022</t>
        </is>
      </c>
      <c r="B3149" s="1" t="n">
        <v>44830</v>
      </c>
      <c r="C3149" s="1" t="n">
        <v>45796</v>
      </c>
      <c r="D3149" t="inlineStr">
        <is>
          <t>SKÅNE LÄN</t>
        </is>
      </c>
      <c r="E3149" t="inlineStr">
        <is>
          <t>OSBY</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42031-2022</t>
        </is>
      </c>
      <c r="B3150" s="1" t="n">
        <v>44830</v>
      </c>
      <c r="C3150" s="1" t="n">
        <v>45796</v>
      </c>
      <c r="D3150" t="inlineStr">
        <is>
          <t>SKÅNE LÄN</t>
        </is>
      </c>
      <c r="E3150" t="inlineStr">
        <is>
          <t>OSBY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42105-2022</t>
        </is>
      </c>
      <c r="B3151" s="1" t="n">
        <v>44830</v>
      </c>
      <c r="C3151" s="1" t="n">
        <v>45796</v>
      </c>
      <c r="D3151" t="inlineStr">
        <is>
          <t>SKÅNE LÄN</t>
        </is>
      </c>
      <c r="E3151" t="inlineStr">
        <is>
          <t>ÄNGELHOLM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42232-2022</t>
        </is>
      </c>
      <c r="B3152" s="1" t="n">
        <v>44830</v>
      </c>
      <c r="C3152" s="1" t="n">
        <v>45796</v>
      </c>
      <c r="D3152" t="inlineStr">
        <is>
          <t>SKÅNE LÄN</t>
        </is>
      </c>
      <c r="E3152" t="inlineStr">
        <is>
          <t>HÄSSLEHOLM</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42231-2022</t>
        </is>
      </c>
      <c r="B3153" s="1" t="n">
        <v>44830</v>
      </c>
      <c r="C3153" s="1" t="n">
        <v>45796</v>
      </c>
      <c r="D3153" t="inlineStr">
        <is>
          <t>SKÅNE LÄN</t>
        </is>
      </c>
      <c r="E3153" t="inlineStr">
        <is>
          <t>HÄSSLEHOLM</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42387-2022</t>
        </is>
      </c>
      <c r="B3154" s="1" t="n">
        <v>44830</v>
      </c>
      <c r="C3154" s="1" t="n">
        <v>45796</v>
      </c>
      <c r="D3154" t="inlineStr">
        <is>
          <t>SKÅNE LÄN</t>
        </is>
      </c>
      <c r="E3154" t="inlineStr">
        <is>
          <t>TOMELILLA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42497-2022</t>
        </is>
      </c>
      <c r="B3155" s="1" t="n">
        <v>44831</v>
      </c>
      <c r="C3155" s="1" t="n">
        <v>45796</v>
      </c>
      <c r="D3155" t="inlineStr">
        <is>
          <t>SKÅNE LÄN</t>
        </is>
      </c>
      <c r="E3155" t="inlineStr">
        <is>
          <t>OSBY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42428-2022</t>
        </is>
      </c>
      <c r="B3156" s="1" t="n">
        <v>44831</v>
      </c>
      <c r="C3156" s="1" t="n">
        <v>45796</v>
      </c>
      <c r="D3156" t="inlineStr">
        <is>
          <t>SKÅNE LÄN</t>
        </is>
      </c>
      <c r="E3156" t="inlineStr">
        <is>
          <t>HÄSSLEHOLM</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42617-2022</t>
        </is>
      </c>
      <c r="B3157" s="1" t="n">
        <v>44831</v>
      </c>
      <c r="C3157" s="1" t="n">
        <v>45796</v>
      </c>
      <c r="D3157" t="inlineStr">
        <is>
          <t>SKÅNE LÄN</t>
        </is>
      </c>
      <c r="E3157" t="inlineStr">
        <is>
          <t>SVALÖV</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42748-2022</t>
        </is>
      </c>
      <c r="B3158" s="1" t="n">
        <v>44831</v>
      </c>
      <c r="C3158" s="1" t="n">
        <v>45796</v>
      </c>
      <c r="D3158" t="inlineStr">
        <is>
          <t>SKÅNE LÄN</t>
        </is>
      </c>
      <c r="E3158" t="inlineStr">
        <is>
          <t>BROMÖLLA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42751-2022</t>
        </is>
      </c>
      <c r="B3159" s="1" t="n">
        <v>44832</v>
      </c>
      <c r="C3159" s="1" t="n">
        <v>45796</v>
      </c>
      <c r="D3159" t="inlineStr">
        <is>
          <t>SKÅNE LÄN</t>
        </is>
      </c>
      <c r="E3159" t="inlineStr">
        <is>
          <t>OSBY</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42692-2022</t>
        </is>
      </c>
      <c r="B3160" s="1" t="n">
        <v>44832</v>
      </c>
      <c r="C3160" s="1" t="n">
        <v>45796</v>
      </c>
      <c r="D3160" t="inlineStr">
        <is>
          <t>SKÅNE LÄN</t>
        </is>
      </c>
      <c r="E3160" t="inlineStr">
        <is>
          <t>HÖÖR</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42925-2022</t>
        </is>
      </c>
      <c r="B3161" s="1" t="n">
        <v>44833</v>
      </c>
      <c r="C3161" s="1" t="n">
        <v>45796</v>
      </c>
      <c r="D3161" t="inlineStr">
        <is>
          <t>SKÅNE LÄN</t>
        </is>
      </c>
      <c r="E3161" t="inlineStr">
        <is>
          <t>HÄSSLEHOLM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42963-2022</t>
        </is>
      </c>
      <c r="B3162" s="1" t="n">
        <v>44833</v>
      </c>
      <c r="C3162" s="1" t="n">
        <v>45796</v>
      </c>
      <c r="D3162" t="inlineStr">
        <is>
          <t>SKÅNE LÄN</t>
        </is>
      </c>
      <c r="E3162" t="inlineStr">
        <is>
          <t>BROMÖLLA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43004-2022</t>
        </is>
      </c>
      <c r="B3163" s="1" t="n">
        <v>44833</v>
      </c>
      <c r="C3163" s="1" t="n">
        <v>45796</v>
      </c>
      <c r="D3163" t="inlineStr">
        <is>
          <t>SKÅNE LÄN</t>
        </is>
      </c>
      <c r="E3163" t="inlineStr">
        <is>
          <t>ÖSTRA GÖINGE</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42906-2022</t>
        </is>
      </c>
      <c r="B3164" s="1" t="n">
        <v>44833</v>
      </c>
      <c r="C3164" s="1" t="n">
        <v>45796</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41940-2022</t>
        </is>
      </c>
      <c r="B3165" s="1" t="n">
        <v>44833</v>
      </c>
      <c r="C3165" s="1" t="n">
        <v>45796</v>
      </c>
      <c r="D3165" t="inlineStr">
        <is>
          <t>SKÅNE LÄN</t>
        </is>
      </c>
      <c r="E3165" t="inlineStr">
        <is>
          <t>KRISTIANSTAD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43114-2022</t>
        </is>
      </c>
      <c r="B3166" s="1" t="n">
        <v>44833</v>
      </c>
      <c r="C3166" s="1" t="n">
        <v>45796</v>
      </c>
      <c r="D3166" t="inlineStr">
        <is>
          <t>SKÅNE LÄN</t>
        </is>
      </c>
      <c r="E3166" t="inlineStr">
        <is>
          <t>SIMRISHAMN</t>
        </is>
      </c>
      <c r="F3166" t="inlineStr">
        <is>
          <t>Övriga Aktiebolag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43175-2022</t>
        </is>
      </c>
      <c r="B3167" s="1" t="n">
        <v>44834</v>
      </c>
      <c r="C3167" s="1" t="n">
        <v>45796</v>
      </c>
      <c r="D3167" t="inlineStr">
        <is>
          <t>SKÅNE LÄN</t>
        </is>
      </c>
      <c r="E3167" t="inlineStr">
        <is>
          <t>OSBY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43380-2022</t>
        </is>
      </c>
      <c r="B3168" s="1" t="n">
        <v>44834</v>
      </c>
      <c r="C3168" s="1" t="n">
        <v>45796</v>
      </c>
      <c r="D3168" t="inlineStr">
        <is>
          <t>SKÅNE LÄN</t>
        </is>
      </c>
      <c r="E3168" t="inlineStr">
        <is>
          <t>HÖRBY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43389-2022</t>
        </is>
      </c>
      <c r="B3169" s="1" t="n">
        <v>44834</v>
      </c>
      <c r="C3169" s="1" t="n">
        <v>45796</v>
      </c>
      <c r="D3169" t="inlineStr">
        <is>
          <t>SKÅNE LÄN</t>
        </is>
      </c>
      <c r="E3169" t="inlineStr">
        <is>
          <t>HÖRBY</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43392-2022</t>
        </is>
      </c>
      <c r="B3170" s="1" t="n">
        <v>44834</v>
      </c>
      <c r="C3170" s="1" t="n">
        <v>45796</v>
      </c>
      <c r="D3170" t="inlineStr">
        <is>
          <t>SKÅNE LÄN</t>
        </is>
      </c>
      <c r="E3170" t="inlineStr">
        <is>
          <t>HÖRBY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43663-2022</t>
        </is>
      </c>
      <c r="B3171" s="1" t="n">
        <v>44837</v>
      </c>
      <c r="C3171" s="1" t="n">
        <v>45796</v>
      </c>
      <c r="D3171" t="inlineStr">
        <is>
          <t>SKÅNE LÄN</t>
        </is>
      </c>
      <c r="E3171" t="inlineStr">
        <is>
          <t>KRISTIANSTAD</t>
        </is>
      </c>
      <c r="F3171" t="inlineStr">
        <is>
          <t>Övriga Aktiebolag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43674-2022</t>
        </is>
      </c>
      <c r="B3172" s="1" t="n">
        <v>44837</v>
      </c>
      <c r="C3172" s="1" t="n">
        <v>45796</v>
      </c>
      <c r="D3172" t="inlineStr">
        <is>
          <t>SKÅNE LÄN</t>
        </is>
      </c>
      <c r="E3172" t="inlineStr">
        <is>
          <t>ÖRKELLJUNGA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43682-2022</t>
        </is>
      </c>
      <c r="B3173" s="1" t="n">
        <v>44837</v>
      </c>
      <c r="C3173" s="1" t="n">
        <v>45796</v>
      </c>
      <c r="D3173" t="inlineStr">
        <is>
          <t>SKÅNE LÄN</t>
        </is>
      </c>
      <c r="E3173" t="inlineStr">
        <is>
          <t>HÖRBY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43692-2022</t>
        </is>
      </c>
      <c r="B3174" s="1" t="n">
        <v>44837</v>
      </c>
      <c r="C3174" s="1" t="n">
        <v>45796</v>
      </c>
      <c r="D3174" t="inlineStr">
        <is>
          <t>SKÅNE LÄN</t>
        </is>
      </c>
      <c r="E3174" t="inlineStr">
        <is>
          <t>KLIPPAN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43689-2022</t>
        </is>
      </c>
      <c r="B3175" s="1" t="n">
        <v>44837</v>
      </c>
      <c r="C3175" s="1" t="n">
        <v>45796</v>
      </c>
      <c r="D3175" t="inlineStr">
        <is>
          <t>SKÅNE LÄN</t>
        </is>
      </c>
      <c r="E3175" t="inlineStr">
        <is>
          <t>KLIPPAN</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43685-2022</t>
        </is>
      </c>
      <c r="B3176" s="1" t="n">
        <v>44837</v>
      </c>
      <c r="C3176" s="1" t="n">
        <v>45796</v>
      </c>
      <c r="D3176" t="inlineStr">
        <is>
          <t>SKÅNE LÄN</t>
        </is>
      </c>
      <c r="E3176" t="inlineStr">
        <is>
          <t>HÖRBY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43865-2022</t>
        </is>
      </c>
      <c r="B3177" s="1" t="n">
        <v>44838</v>
      </c>
      <c r="C3177" s="1" t="n">
        <v>45796</v>
      </c>
      <c r="D3177" t="inlineStr">
        <is>
          <t>SKÅNE LÄN</t>
        </is>
      </c>
      <c r="E3177" t="inlineStr">
        <is>
          <t>KRISTIANSTAD</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43874-2022</t>
        </is>
      </c>
      <c r="B3178" s="1" t="n">
        <v>44838</v>
      </c>
      <c r="C3178" s="1" t="n">
        <v>45796</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43884-2022</t>
        </is>
      </c>
      <c r="B3179" s="1" t="n">
        <v>44838</v>
      </c>
      <c r="C3179" s="1" t="n">
        <v>45796</v>
      </c>
      <c r="D3179" t="inlineStr">
        <is>
          <t>SKÅNE LÄN</t>
        </is>
      </c>
      <c r="E3179" t="inlineStr">
        <is>
          <t>HÖÖR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43897-2022</t>
        </is>
      </c>
      <c r="B3180" s="1" t="n">
        <v>44838</v>
      </c>
      <c r="C3180" s="1" t="n">
        <v>45796</v>
      </c>
      <c r="D3180" t="inlineStr">
        <is>
          <t>SKÅNE LÄN</t>
        </is>
      </c>
      <c r="E3180" t="inlineStr">
        <is>
          <t>HÖÖR</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43931-2022</t>
        </is>
      </c>
      <c r="B3181" s="1" t="n">
        <v>44838</v>
      </c>
      <c r="C3181" s="1" t="n">
        <v>45796</v>
      </c>
      <c r="D3181" t="inlineStr">
        <is>
          <t>SKÅNE LÄN</t>
        </is>
      </c>
      <c r="E3181" t="inlineStr">
        <is>
          <t>OSBY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43996-2022</t>
        </is>
      </c>
      <c r="B3182" s="1" t="n">
        <v>44838</v>
      </c>
      <c r="C3182" s="1" t="n">
        <v>45796</v>
      </c>
      <c r="D3182" t="inlineStr">
        <is>
          <t>SKÅNE LÄN</t>
        </is>
      </c>
      <c r="E3182" t="inlineStr">
        <is>
          <t>HÖÖR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43871-2022</t>
        </is>
      </c>
      <c r="B3183" s="1" t="n">
        <v>44838</v>
      </c>
      <c r="C3183" s="1" t="n">
        <v>45796</v>
      </c>
      <c r="D3183" t="inlineStr">
        <is>
          <t>SKÅNE LÄN</t>
        </is>
      </c>
      <c r="E3183" t="inlineStr">
        <is>
          <t>HÖÖR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43950-2022</t>
        </is>
      </c>
      <c r="B3184" s="1" t="n">
        <v>44838</v>
      </c>
      <c r="C3184" s="1" t="n">
        <v>45796</v>
      </c>
      <c r="D3184" t="inlineStr">
        <is>
          <t>SKÅNE LÄN</t>
        </is>
      </c>
      <c r="E3184" t="inlineStr">
        <is>
          <t>HÄSSLEHOLM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43849-2022</t>
        </is>
      </c>
      <c r="B3185" s="1" t="n">
        <v>44838</v>
      </c>
      <c r="C3185" s="1" t="n">
        <v>45796</v>
      </c>
      <c r="D3185" t="inlineStr">
        <is>
          <t>SKÅNE LÄN</t>
        </is>
      </c>
      <c r="E3185" t="inlineStr">
        <is>
          <t>ÖSTRA GÖINGE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43855-2022</t>
        </is>
      </c>
      <c r="B3186" s="1" t="n">
        <v>44838</v>
      </c>
      <c r="C3186" s="1" t="n">
        <v>45796</v>
      </c>
      <c r="D3186" t="inlineStr">
        <is>
          <t>SKÅNE LÄN</t>
        </is>
      </c>
      <c r="E3186" t="inlineStr">
        <is>
          <t>KLIPPAN</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43868-2022</t>
        </is>
      </c>
      <c r="B3187" s="1" t="n">
        <v>44838</v>
      </c>
      <c r="C3187" s="1" t="n">
        <v>45796</v>
      </c>
      <c r="D3187" t="inlineStr">
        <is>
          <t>SKÅNE LÄN</t>
        </is>
      </c>
      <c r="E3187" t="inlineStr">
        <is>
          <t>KRISTIANSTAD</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43877-2022</t>
        </is>
      </c>
      <c r="B3188" s="1" t="n">
        <v>44838</v>
      </c>
      <c r="C3188" s="1" t="n">
        <v>45796</v>
      </c>
      <c r="D3188" t="inlineStr">
        <is>
          <t>SKÅNE LÄN</t>
        </is>
      </c>
      <c r="E3188" t="inlineStr">
        <is>
          <t>HÖÖR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43891-2022</t>
        </is>
      </c>
      <c r="B3189" s="1" t="n">
        <v>44838</v>
      </c>
      <c r="C3189" s="1" t="n">
        <v>45796</v>
      </c>
      <c r="D3189" t="inlineStr">
        <is>
          <t>SKÅNE LÄN</t>
        </is>
      </c>
      <c r="E3189" t="inlineStr">
        <is>
          <t>HÖÖR</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44062-2022</t>
        </is>
      </c>
      <c r="B3190" s="1" t="n">
        <v>44839</v>
      </c>
      <c r="C3190" s="1" t="n">
        <v>45796</v>
      </c>
      <c r="D3190" t="inlineStr">
        <is>
          <t>SKÅNE LÄN</t>
        </is>
      </c>
      <c r="E3190" t="inlineStr">
        <is>
          <t>ÄNGELHOLM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44060-2022</t>
        </is>
      </c>
      <c r="B3191" s="1" t="n">
        <v>44839</v>
      </c>
      <c r="C3191" s="1" t="n">
        <v>45796</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44247-2022</t>
        </is>
      </c>
      <c r="B3192" s="1" t="n">
        <v>44839</v>
      </c>
      <c r="C3192" s="1" t="n">
        <v>45796</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44403-2022</t>
        </is>
      </c>
      <c r="B3193" s="1" t="n">
        <v>44839</v>
      </c>
      <c r="C3193" s="1" t="n">
        <v>45796</v>
      </c>
      <c r="D3193" t="inlineStr">
        <is>
          <t>SKÅNE LÄN</t>
        </is>
      </c>
      <c r="E3193" t="inlineStr">
        <is>
          <t>ÖSTRA GÖINGE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44582-2022</t>
        </is>
      </c>
      <c r="B3194" s="1" t="n">
        <v>44840</v>
      </c>
      <c r="C3194" s="1" t="n">
        <v>45796</v>
      </c>
      <c r="D3194" t="inlineStr">
        <is>
          <t>SKÅNE LÄN</t>
        </is>
      </c>
      <c r="E3194" t="inlineStr">
        <is>
          <t>KRISTIANSTAD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44473-2022</t>
        </is>
      </c>
      <c r="B3195" s="1" t="n">
        <v>44840</v>
      </c>
      <c r="C3195" s="1" t="n">
        <v>45796</v>
      </c>
      <c r="D3195" t="inlineStr">
        <is>
          <t>SKÅNE LÄN</t>
        </is>
      </c>
      <c r="E3195" t="inlineStr">
        <is>
          <t>ÄNGELHOLM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44669-2022</t>
        </is>
      </c>
      <c r="B3196" s="1" t="n">
        <v>44840</v>
      </c>
      <c r="C3196" s="1" t="n">
        <v>45796</v>
      </c>
      <c r="D3196" t="inlineStr">
        <is>
          <t>SKÅNE LÄN</t>
        </is>
      </c>
      <c r="E3196" t="inlineStr">
        <is>
          <t>HÄSSLEHOLM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44725-2022</t>
        </is>
      </c>
      <c r="B3197" s="1" t="n">
        <v>44840</v>
      </c>
      <c r="C3197" s="1" t="n">
        <v>45796</v>
      </c>
      <c r="D3197" t="inlineStr">
        <is>
          <t>SKÅNE LÄN</t>
        </is>
      </c>
      <c r="E3197" t="inlineStr">
        <is>
          <t>ÖSTRA GÖINGE</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44814-2022</t>
        </is>
      </c>
      <c r="B3198" s="1" t="n">
        <v>44841</v>
      </c>
      <c r="C3198" s="1" t="n">
        <v>45796</v>
      </c>
      <c r="D3198" t="inlineStr">
        <is>
          <t>SKÅNE LÄN</t>
        </is>
      </c>
      <c r="E3198" t="inlineStr">
        <is>
          <t>ÖRKELLJUNGA</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44885-2022</t>
        </is>
      </c>
      <c r="B3199" s="1" t="n">
        <v>44841</v>
      </c>
      <c r="C3199" s="1" t="n">
        <v>45796</v>
      </c>
      <c r="D3199" t="inlineStr">
        <is>
          <t>SKÅNE LÄN</t>
        </is>
      </c>
      <c r="E3199" t="inlineStr">
        <is>
          <t>KLIPPAN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45043-2022</t>
        </is>
      </c>
      <c r="B3200" s="1" t="n">
        <v>44841</v>
      </c>
      <c r="C3200" s="1" t="n">
        <v>45796</v>
      </c>
      <c r="D3200" t="inlineStr">
        <is>
          <t>SKÅNE LÄN</t>
        </is>
      </c>
      <c r="E3200" t="inlineStr">
        <is>
          <t>KRISTIANSTAD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44837-2022</t>
        </is>
      </c>
      <c r="B3201" s="1" t="n">
        <v>44841</v>
      </c>
      <c r="C3201" s="1" t="n">
        <v>45796</v>
      </c>
      <c r="D3201" t="inlineStr">
        <is>
          <t>SKÅNE LÄN</t>
        </is>
      </c>
      <c r="E3201" t="inlineStr">
        <is>
          <t>ÖSTRA GÖINGE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44882-2022</t>
        </is>
      </c>
      <c r="B3202" s="1" t="n">
        <v>44841</v>
      </c>
      <c r="C3202" s="1" t="n">
        <v>45796</v>
      </c>
      <c r="D3202" t="inlineStr">
        <is>
          <t>SKÅNE LÄN</t>
        </is>
      </c>
      <c r="E3202" t="inlineStr">
        <is>
          <t>ÖRKELLJUNGA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44891-2022</t>
        </is>
      </c>
      <c r="B3203" s="1" t="n">
        <v>44841</v>
      </c>
      <c r="C3203" s="1" t="n">
        <v>45796</v>
      </c>
      <c r="D3203" t="inlineStr">
        <is>
          <t>SKÅNE LÄN</t>
        </is>
      </c>
      <c r="E3203" t="inlineStr">
        <is>
          <t>KLIPPAN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45063-2022</t>
        </is>
      </c>
      <c r="B3204" s="1" t="n">
        <v>44841</v>
      </c>
      <c r="C3204" s="1" t="n">
        <v>45796</v>
      </c>
      <c r="D3204" t="inlineStr">
        <is>
          <t>SKÅNE LÄN</t>
        </is>
      </c>
      <c r="E3204" t="inlineStr">
        <is>
          <t>ÖRKELLJUNGA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45042-2022</t>
        </is>
      </c>
      <c r="B3205" s="1" t="n">
        <v>44841</v>
      </c>
      <c r="C3205" s="1" t="n">
        <v>45796</v>
      </c>
      <c r="D3205" t="inlineStr">
        <is>
          <t>SKÅNE LÄN</t>
        </is>
      </c>
      <c r="E3205" t="inlineStr">
        <is>
          <t>KRISTIANSTAD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44880-2022</t>
        </is>
      </c>
      <c r="B3206" s="1" t="n">
        <v>44841</v>
      </c>
      <c r="C3206" s="1" t="n">
        <v>45796</v>
      </c>
      <c r="D3206" t="inlineStr">
        <is>
          <t>SKÅNE LÄN</t>
        </is>
      </c>
      <c r="E3206" t="inlineStr">
        <is>
          <t>ÖRKELLJUNGA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45108-2022</t>
        </is>
      </c>
      <c r="B3207" s="1" t="n">
        <v>44843</v>
      </c>
      <c r="C3207" s="1" t="n">
        <v>45796</v>
      </c>
      <c r="D3207" t="inlineStr">
        <is>
          <t>SKÅNE LÄN</t>
        </is>
      </c>
      <c r="E3207" t="inlineStr">
        <is>
          <t>OSBY</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45109-2022</t>
        </is>
      </c>
      <c r="B3208" s="1" t="n">
        <v>44843</v>
      </c>
      <c r="C3208" s="1" t="n">
        <v>45796</v>
      </c>
      <c r="D3208" t="inlineStr">
        <is>
          <t>SKÅNE LÄN</t>
        </is>
      </c>
      <c r="E3208" t="inlineStr">
        <is>
          <t>KRISTIANSTAD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45192-2022</t>
        </is>
      </c>
      <c r="B3209" s="1" t="n">
        <v>44844</v>
      </c>
      <c r="C3209" s="1" t="n">
        <v>45796</v>
      </c>
      <c r="D3209" t="inlineStr">
        <is>
          <t>SKÅNE LÄN</t>
        </is>
      </c>
      <c r="E3209" t="inlineStr">
        <is>
          <t>ÖRKELLJUNGA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45214-2022</t>
        </is>
      </c>
      <c r="B3210" s="1" t="n">
        <v>44844</v>
      </c>
      <c r="C3210" s="1" t="n">
        <v>45796</v>
      </c>
      <c r="D3210" t="inlineStr">
        <is>
          <t>SKÅNE LÄN</t>
        </is>
      </c>
      <c r="E3210" t="inlineStr">
        <is>
          <t>SJÖBO</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45330-2022</t>
        </is>
      </c>
      <c r="B3211" s="1" t="n">
        <v>44844</v>
      </c>
      <c r="C3211" s="1" t="n">
        <v>45796</v>
      </c>
      <c r="D3211" t="inlineStr">
        <is>
          <t>SKÅNE LÄN</t>
        </is>
      </c>
      <c r="E3211" t="inlineStr">
        <is>
          <t>HÖRBY</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45400-2022</t>
        </is>
      </c>
      <c r="B3212" s="1" t="n">
        <v>44844</v>
      </c>
      <c r="C3212" s="1" t="n">
        <v>45796</v>
      </c>
      <c r="D3212" t="inlineStr">
        <is>
          <t>SKÅNE LÄN</t>
        </is>
      </c>
      <c r="E3212" t="inlineStr">
        <is>
          <t>HÄSSLEHOLM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45317-2022</t>
        </is>
      </c>
      <c r="B3213" s="1" t="n">
        <v>44844</v>
      </c>
      <c r="C3213" s="1" t="n">
        <v>45796</v>
      </c>
      <c r="D3213" t="inlineStr">
        <is>
          <t>SKÅNE LÄN</t>
        </is>
      </c>
      <c r="E3213" t="inlineStr">
        <is>
          <t>HÖRBY</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45288-2022</t>
        </is>
      </c>
      <c r="B3214" s="1" t="n">
        <v>44844</v>
      </c>
      <c r="C3214" s="1" t="n">
        <v>45796</v>
      </c>
      <c r="D3214" t="inlineStr">
        <is>
          <t>SKÅNE LÄN</t>
        </is>
      </c>
      <c r="E3214" t="inlineStr">
        <is>
          <t>ÄNGELHOLM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45349-2022</t>
        </is>
      </c>
      <c r="B3215" s="1" t="n">
        <v>44844</v>
      </c>
      <c r="C3215" s="1" t="n">
        <v>45796</v>
      </c>
      <c r="D3215" t="inlineStr">
        <is>
          <t>SKÅNE LÄN</t>
        </is>
      </c>
      <c r="E3215" t="inlineStr">
        <is>
          <t>HÄSSLEHOLM</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45357-2022</t>
        </is>
      </c>
      <c r="B3216" s="1" t="n">
        <v>44844</v>
      </c>
      <c r="C3216" s="1" t="n">
        <v>45796</v>
      </c>
      <c r="D3216" t="inlineStr">
        <is>
          <t>SKÅNE LÄN</t>
        </is>
      </c>
      <c r="E3216" t="inlineStr">
        <is>
          <t>HÄSSLEHOLM</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45399-2022</t>
        </is>
      </c>
      <c r="B3217" s="1" t="n">
        <v>44844</v>
      </c>
      <c r="C3217" s="1" t="n">
        <v>45796</v>
      </c>
      <c r="D3217" t="inlineStr">
        <is>
          <t>SKÅNE LÄN</t>
        </is>
      </c>
      <c r="E3217" t="inlineStr">
        <is>
          <t>HÄSSLEHOLM</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45187-2022</t>
        </is>
      </c>
      <c r="B3218" s="1" t="n">
        <v>44844</v>
      </c>
      <c r="C3218" s="1" t="n">
        <v>45796</v>
      </c>
      <c r="D3218" t="inlineStr">
        <is>
          <t>SKÅNE LÄN</t>
        </is>
      </c>
      <c r="E3218" t="inlineStr">
        <is>
          <t>HÄSSLEHOLM</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45196-2022</t>
        </is>
      </c>
      <c r="B3219" s="1" t="n">
        <v>44844</v>
      </c>
      <c r="C3219" s="1" t="n">
        <v>45796</v>
      </c>
      <c r="D3219" t="inlineStr">
        <is>
          <t>SKÅNE LÄN</t>
        </is>
      </c>
      <c r="E3219" t="inlineStr">
        <is>
          <t>HÄSSLEHOLM</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45305-2022</t>
        </is>
      </c>
      <c r="B3220" s="1" t="n">
        <v>44844</v>
      </c>
      <c r="C3220" s="1" t="n">
        <v>45796</v>
      </c>
      <c r="D3220" t="inlineStr">
        <is>
          <t>SKÅNE LÄN</t>
        </is>
      </c>
      <c r="E3220" t="inlineStr">
        <is>
          <t>ÄNGELHOLM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45323-2022</t>
        </is>
      </c>
      <c r="B3221" s="1" t="n">
        <v>44844</v>
      </c>
      <c r="C3221" s="1" t="n">
        <v>45796</v>
      </c>
      <c r="D3221" t="inlineStr">
        <is>
          <t>SKÅNE LÄN</t>
        </is>
      </c>
      <c r="E3221" t="inlineStr">
        <is>
          <t>HÖRBY</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45447-2022</t>
        </is>
      </c>
      <c r="B3222" s="1" t="n">
        <v>44845</v>
      </c>
      <c r="C3222" s="1" t="n">
        <v>45796</v>
      </c>
      <c r="D3222" t="inlineStr">
        <is>
          <t>SKÅNE LÄN</t>
        </is>
      </c>
      <c r="E3222" t="inlineStr">
        <is>
          <t>OSBY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45572-2022</t>
        </is>
      </c>
      <c r="B3223" s="1" t="n">
        <v>44845</v>
      </c>
      <c r="C3223" s="1" t="n">
        <v>45796</v>
      </c>
      <c r="D3223" t="inlineStr">
        <is>
          <t>SKÅNE LÄN</t>
        </is>
      </c>
      <c r="E3223" t="inlineStr">
        <is>
          <t>ÖSTRA GÖINGE</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45641-2022</t>
        </is>
      </c>
      <c r="B3224" s="1" t="n">
        <v>44845</v>
      </c>
      <c r="C3224" s="1" t="n">
        <v>45796</v>
      </c>
      <c r="D3224" t="inlineStr">
        <is>
          <t>SKÅNE LÄN</t>
        </is>
      </c>
      <c r="E3224" t="inlineStr">
        <is>
          <t>KLIPPAN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45650-2022</t>
        </is>
      </c>
      <c r="B3225" s="1" t="n">
        <v>44845</v>
      </c>
      <c r="C3225" s="1" t="n">
        <v>45796</v>
      </c>
      <c r="D3225" t="inlineStr">
        <is>
          <t>SKÅNE LÄN</t>
        </is>
      </c>
      <c r="E3225" t="inlineStr">
        <is>
          <t>OSBY</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45648-2022</t>
        </is>
      </c>
      <c r="B3226" s="1" t="n">
        <v>44845</v>
      </c>
      <c r="C3226" s="1" t="n">
        <v>45796</v>
      </c>
      <c r="D3226" t="inlineStr">
        <is>
          <t>SKÅNE LÄN</t>
        </is>
      </c>
      <c r="E3226" t="inlineStr">
        <is>
          <t>OSBY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45946-2022</t>
        </is>
      </c>
      <c r="B3227" s="1" t="n">
        <v>44845</v>
      </c>
      <c r="C3227" s="1" t="n">
        <v>45796</v>
      </c>
      <c r="D3227" t="inlineStr">
        <is>
          <t>SKÅNE LÄN</t>
        </is>
      </c>
      <c r="E3227" t="inlineStr">
        <is>
          <t>SIMRISHAMN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45726-2022</t>
        </is>
      </c>
      <c r="B3228" s="1" t="n">
        <v>44846</v>
      </c>
      <c r="C3228" s="1" t="n">
        <v>45796</v>
      </c>
      <c r="D3228" t="inlineStr">
        <is>
          <t>SKÅNE LÄN</t>
        </is>
      </c>
      <c r="E3228" t="inlineStr">
        <is>
          <t>SJÖBO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45764-2022</t>
        </is>
      </c>
      <c r="B3229" s="1" t="n">
        <v>44846</v>
      </c>
      <c r="C3229" s="1" t="n">
        <v>45796</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45728-2022</t>
        </is>
      </c>
      <c r="B3230" s="1" t="n">
        <v>44846</v>
      </c>
      <c r="C3230" s="1" t="n">
        <v>45796</v>
      </c>
      <c r="D3230" t="inlineStr">
        <is>
          <t>SKÅNE LÄN</t>
        </is>
      </c>
      <c r="E3230" t="inlineStr">
        <is>
          <t>KRISTIANSTAD</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45739-2022</t>
        </is>
      </c>
      <c r="B3231" s="1" t="n">
        <v>44846</v>
      </c>
      <c r="C3231" s="1" t="n">
        <v>45796</v>
      </c>
      <c r="D3231" t="inlineStr">
        <is>
          <t>SKÅNE LÄN</t>
        </is>
      </c>
      <c r="E3231" t="inlineStr">
        <is>
          <t>HÄSSLEHOLM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45725-2022</t>
        </is>
      </c>
      <c r="B3232" s="1" t="n">
        <v>44846</v>
      </c>
      <c r="C3232" s="1" t="n">
        <v>45796</v>
      </c>
      <c r="D3232" t="inlineStr">
        <is>
          <t>SKÅNE LÄN</t>
        </is>
      </c>
      <c r="E3232" t="inlineStr">
        <is>
          <t>LUND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45749-2022</t>
        </is>
      </c>
      <c r="B3233" s="1" t="n">
        <v>44846</v>
      </c>
      <c r="C3233" s="1" t="n">
        <v>45796</v>
      </c>
      <c r="D3233" t="inlineStr">
        <is>
          <t>SKÅNE LÄN</t>
        </is>
      </c>
      <c r="E3233" t="inlineStr">
        <is>
          <t>ÄNGELHOLM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45771-2022</t>
        </is>
      </c>
      <c r="B3234" s="1" t="n">
        <v>44846</v>
      </c>
      <c r="C3234" s="1" t="n">
        <v>45796</v>
      </c>
      <c r="D3234" t="inlineStr">
        <is>
          <t>SKÅNE LÄN</t>
        </is>
      </c>
      <c r="E3234" t="inlineStr">
        <is>
          <t>LUND</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45968-2022</t>
        </is>
      </c>
      <c r="B3235" s="1" t="n">
        <v>44846</v>
      </c>
      <c r="C3235" s="1" t="n">
        <v>45796</v>
      </c>
      <c r="D3235" t="inlineStr">
        <is>
          <t>SKÅNE LÄN</t>
        </is>
      </c>
      <c r="E3235" t="inlineStr">
        <is>
          <t>ÖRKELLJUNGA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46217-2022</t>
        </is>
      </c>
      <c r="B3236" s="1" t="n">
        <v>44846</v>
      </c>
      <c r="C3236" s="1" t="n">
        <v>45796</v>
      </c>
      <c r="D3236" t="inlineStr">
        <is>
          <t>SKÅNE LÄN</t>
        </is>
      </c>
      <c r="E3236" t="inlineStr">
        <is>
          <t>HÄSSLEHOLM</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46147-2022</t>
        </is>
      </c>
      <c r="B3237" s="1" t="n">
        <v>44846</v>
      </c>
      <c r="C3237" s="1" t="n">
        <v>45796</v>
      </c>
      <c r="D3237" t="inlineStr">
        <is>
          <t>SKÅNE LÄN</t>
        </is>
      </c>
      <c r="E3237" t="inlineStr">
        <is>
          <t>KLIPPAN</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46185-2022</t>
        </is>
      </c>
      <c r="B3238" s="1" t="n">
        <v>44847</v>
      </c>
      <c r="C3238" s="1" t="n">
        <v>45796</v>
      </c>
      <c r="D3238" t="inlineStr">
        <is>
          <t>SKÅNE LÄN</t>
        </is>
      </c>
      <c r="E3238" t="inlineStr">
        <is>
          <t>HÄSSLEHOLM</t>
        </is>
      </c>
      <c r="G3238" t="n">
        <v>16.8</v>
      </c>
      <c r="H3238" t="n">
        <v>0</v>
      </c>
      <c r="I3238" t="n">
        <v>0</v>
      </c>
      <c r="J3238" t="n">
        <v>0</v>
      </c>
      <c r="K3238" t="n">
        <v>0</v>
      </c>
      <c r="L3238" t="n">
        <v>0</v>
      </c>
      <c r="M3238" t="n">
        <v>0</v>
      </c>
      <c r="N3238" t="n">
        <v>0</v>
      </c>
      <c r="O3238" t="n">
        <v>0</v>
      </c>
      <c r="P3238" t="n">
        <v>0</v>
      </c>
      <c r="Q3238" t="n">
        <v>0</v>
      </c>
      <c r="R3238" s="2" t="inlineStr"/>
    </row>
    <row r="3239" ht="15" customHeight="1">
      <c r="A3239" t="inlineStr">
        <is>
          <t>A 46061-2022</t>
        </is>
      </c>
      <c r="B3239" s="1" t="n">
        <v>44847</v>
      </c>
      <c r="C3239" s="1" t="n">
        <v>45796</v>
      </c>
      <c r="D3239" t="inlineStr">
        <is>
          <t>SKÅNE LÄN</t>
        </is>
      </c>
      <c r="E3239" t="inlineStr">
        <is>
          <t>HÖRBY</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46229-2022</t>
        </is>
      </c>
      <c r="B3240" s="1" t="n">
        <v>44847</v>
      </c>
      <c r="C3240" s="1" t="n">
        <v>45796</v>
      </c>
      <c r="D3240" t="inlineStr">
        <is>
          <t>SKÅNE LÄN</t>
        </is>
      </c>
      <c r="E3240" t="inlineStr">
        <is>
          <t>HÄSSLEHOLM</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46254-2022</t>
        </is>
      </c>
      <c r="B3241" s="1" t="n">
        <v>44847</v>
      </c>
      <c r="C3241" s="1" t="n">
        <v>45796</v>
      </c>
      <c r="D3241" t="inlineStr">
        <is>
          <t>SKÅNE LÄN</t>
        </is>
      </c>
      <c r="E3241" t="inlineStr">
        <is>
          <t>SVALÖV</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46515-2022</t>
        </is>
      </c>
      <c r="B3242" s="1" t="n">
        <v>44847</v>
      </c>
      <c r="C3242" s="1" t="n">
        <v>45796</v>
      </c>
      <c r="D3242" t="inlineStr">
        <is>
          <t>SKÅNE LÄN</t>
        </is>
      </c>
      <c r="E3242" t="inlineStr">
        <is>
          <t>KRISTIANSTAD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46222-2022</t>
        </is>
      </c>
      <c r="B3243" s="1" t="n">
        <v>44847</v>
      </c>
      <c r="C3243" s="1" t="n">
        <v>45796</v>
      </c>
      <c r="D3243" t="inlineStr">
        <is>
          <t>SKÅNE LÄN</t>
        </is>
      </c>
      <c r="E3243" t="inlineStr">
        <is>
          <t>HÄSSLEHOLM</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46504-2022</t>
        </is>
      </c>
      <c r="B3244" s="1" t="n">
        <v>44847</v>
      </c>
      <c r="C3244" s="1" t="n">
        <v>45796</v>
      </c>
      <c r="D3244" t="inlineStr">
        <is>
          <t>SKÅNE LÄN</t>
        </is>
      </c>
      <c r="E3244" t="inlineStr">
        <is>
          <t>KRISTIANSTAD</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47136-2022</t>
        </is>
      </c>
      <c r="B3245" s="1" t="n">
        <v>44848</v>
      </c>
      <c r="C3245" s="1" t="n">
        <v>45796</v>
      </c>
      <c r="D3245" t="inlineStr">
        <is>
          <t>SKÅNE LÄN</t>
        </is>
      </c>
      <c r="E3245" t="inlineStr">
        <is>
          <t>HÖÖR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46725-2022</t>
        </is>
      </c>
      <c r="B3246" s="1" t="n">
        <v>44851</v>
      </c>
      <c r="C3246" s="1" t="n">
        <v>45796</v>
      </c>
      <c r="D3246" t="inlineStr">
        <is>
          <t>SKÅNE LÄN</t>
        </is>
      </c>
      <c r="E3246" t="inlineStr">
        <is>
          <t>ÖRKELLJUNGA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47222-2022</t>
        </is>
      </c>
      <c r="B3247" s="1" t="n">
        <v>44852</v>
      </c>
      <c r="C3247" s="1" t="n">
        <v>45796</v>
      </c>
      <c r="D3247" t="inlineStr">
        <is>
          <t>SKÅNE LÄN</t>
        </is>
      </c>
      <c r="E3247" t="inlineStr">
        <is>
          <t>HÖÖR</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47628-2022</t>
        </is>
      </c>
      <c r="B3248" s="1" t="n">
        <v>44852</v>
      </c>
      <c r="C3248" s="1" t="n">
        <v>45796</v>
      </c>
      <c r="D3248" t="inlineStr">
        <is>
          <t>SKÅNE LÄN</t>
        </is>
      </c>
      <c r="E3248" t="inlineStr">
        <is>
          <t>ÖSTRA GÖINGE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47405-2022</t>
        </is>
      </c>
      <c r="B3249" s="1" t="n">
        <v>44853</v>
      </c>
      <c r="C3249" s="1" t="n">
        <v>45796</v>
      </c>
      <c r="D3249" t="inlineStr">
        <is>
          <t>SKÅNE LÄN</t>
        </is>
      </c>
      <c r="E3249" t="inlineStr">
        <is>
          <t>ÖSTRA GÖINGE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47407-2022</t>
        </is>
      </c>
      <c r="B3250" s="1" t="n">
        <v>44853</v>
      </c>
      <c r="C3250" s="1" t="n">
        <v>45796</v>
      </c>
      <c r="D3250" t="inlineStr">
        <is>
          <t>SKÅNE LÄN</t>
        </is>
      </c>
      <c r="E3250" t="inlineStr">
        <is>
          <t>ÖSTRA GÖINGE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48217-2022</t>
        </is>
      </c>
      <c r="B3251" s="1" t="n">
        <v>44853</v>
      </c>
      <c r="C3251" s="1" t="n">
        <v>45796</v>
      </c>
      <c r="D3251" t="inlineStr">
        <is>
          <t>SKÅNE LÄN</t>
        </is>
      </c>
      <c r="E3251" t="inlineStr">
        <is>
          <t>KRISTIANSTAD</t>
        </is>
      </c>
      <c r="F3251" t="inlineStr">
        <is>
          <t>Kyrkan</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47717-2022</t>
        </is>
      </c>
      <c r="B3252" s="1" t="n">
        <v>44854</v>
      </c>
      <c r="C3252" s="1" t="n">
        <v>45796</v>
      </c>
      <c r="D3252" t="inlineStr">
        <is>
          <t>SKÅNE LÄN</t>
        </is>
      </c>
      <c r="E3252" t="inlineStr">
        <is>
          <t>SVALÖV</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47870-2022</t>
        </is>
      </c>
      <c r="B3253" s="1" t="n">
        <v>44855</v>
      </c>
      <c r="C3253" s="1" t="n">
        <v>45796</v>
      </c>
      <c r="D3253" t="inlineStr">
        <is>
          <t>SKÅNE LÄN</t>
        </is>
      </c>
      <c r="E3253" t="inlineStr">
        <is>
          <t>KLIPPAN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47869-2022</t>
        </is>
      </c>
      <c r="B3254" s="1" t="n">
        <v>44855</v>
      </c>
      <c r="C3254" s="1" t="n">
        <v>45796</v>
      </c>
      <c r="D3254" t="inlineStr">
        <is>
          <t>SKÅNE LÄN</t>
        </is>
      </c>
      <c r="E3254" t="inlineStr">
        <is>
          <t>KLIPPAN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47890-2022</t>
        </is>
      </c>
      <c r="B3255" s="1" t="n">
        <v>44855</v>
      </c>
      <c r="C3255" s="1" t="n">
        <v>45796</v>
      </c>
      <c r="D3255" t="inlineStr">
        <is>
          <t>SKÅNE LÄN</t>
        </is>
      </c>
      <c r="E3255" t="inlineStr">
        <is>
          <t>ÖRKELLJUNGA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48012-2022</t>
        </is>
      </c>
      <c r="B3256" s="1" t="n">
        <v>44855</v>
      </c>
      <c r="C3256" s="1" t="n">
        <v>45796</v>
      </c>
      <c r="D3256" t="inlineStr">
        <is>
          <t>SKÅNE LÄN</t>
        </is>
      </c>
      <c r="E3256" t="inlineStr">
        <is>
          <t>KRISTIANSTAD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48038-2022</t>
        </is>
      </c>
      <c r="B3257" s="1" t="n">
        <v>44855</v>
      </c>
      <c r="C3257" s="1" t="n">
        <v>45796</v>
      </c>
      <c r="D3257" t="inlineStr">
        <is>
          <t>SKÅNE LÄN</t>
        </is>
      </c>
      <c r="E3257" t="inlineStr">
        <is>
          <t>ÖSTRA GÖINGE</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48693-2022</t>
        </is>
      </c>
      <c r="B3258" s="1" t="n">
        <v>44855</v>
      </c>
      <c r="C3258" s="1" t="n">
        <v>45796</v>
      </c>
      <c r="D3258" t="inlineStr">
        <is>
          <t>SKÅNE LÄN</t>
        </is>
      </c>
      <c r="E3258" t="inlineStr">
        <is>
          <t>KRISTIANSTAD</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47871-2022</t>
        </is>
      </c>
      <c r="B3259" s="1" t="n">
        <v>44855</v>
      </c>
      <c r="C3259" s="1" t="n">
        <v>45796</v>
      </c>
      <c r="D3259" t="inlineStr">
        <is>
          <t>SKÅNE LÄN</t>
        </is>
      </c>
      <c r="E3259" t="inlineStr">
        <is>
          <t>ÖRKELLJUNGA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48434-2022</t>
        </is>
      </c>
      <c r="B3260" s="1" t="n">
        <v>44858</v>
      </c>
      <c r="C3260" s="1" t="n">
        <v>45796</v>
      </c>
      <c r="D3260" t="inlineStr">
        <is>
          <t>SKÅNE LÄN</t>
        </is>
      </c>
      <c r="E3260" t="inlineStr">
        <is>
          <t>HÖRBY</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48204-2022</t>
        </is>
      </c>
      <c r="B3261" s="1" t="n">
        <v>44858</v>
      </c>
      <c r="C3261" s="1" t="n">
        <v>45796</v>
      </c>
      <c r="D3261" t="inlineStr">
        <is>
          <t>SKÅNE LÄN</t>
        </is>
      </c>
      <c r="E3261" t="inlineStr">
        <is>
          <t>HÖRBY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48397-2022</t>
        </is>
      </c>
      <c r="B3262" s="1" t="n">
        <v>44858</v>
      </c>
      <c r="C3262" s="1" t="n">
        <v>45796</v>
      </c>
      <c r="D3262" t="inlineStr">
        <is>
          <t>SKÅNE LÄN</t>
        </is>
      </c>
      <c r="E3262" t="inlineStr">
        <is>
          <t>HÖRBY</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48441-2022</t>
        </is>
      </c>
      <c r="B3263" s="1" t="n">
        <v>44858</v>
      </c>
      <c r="C3263" s="1" t="n">
        <v>45796</v>
      </c>
      <c r="D3263" t="inlineStr">
        <is>
          <t>SKÅNE LÄN</t>
        </is>
      </c>
      <c r="E3263" t="inlineStr">
        <is>
          <t>HÖRBY</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48427-2022</t>
        </is>
      </c>
      <c r="B3264" s="1" t="n">
        <v>44858</v>
      </c>
      <c r="C3264" s="1" t="n">
        <v>45796</v>
      </c>
      <c r="D3264" t="inlineStr">
        <is>
          <t>SKÅNE LÄN</t>
        </is>
      </c>
      <c r="E3264" t="inlineStr">
        <is>
          <t>HÖRBY</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49250-2022</t>
        </is>
      </c>
      <c r="B3265" s="1" t="n">
        <v>44858</v>
      </c>
      <c r="C3265" s="1" t="n">
        <v>45796</v>
      </c>
      <c r="D3265" t="inlineStr">
        <is>
          <t>SKÅNE LÄN</t>
        </is>
      </c>
      <c r="E3265" t="inlineStr">
        <is>
          <t>HÄSSLEHOLM</t>
        </is>
      </c>
      <c r="F3265" t="inlineStr">
        <is>
          <t>Kyrkan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49239-2022</t>
        </is>
      </c>
      <c r="B3266" s="1" t="n">
        <v>44858</v>
      </c>
      <c r="C3266" s="1" t="n">
        <v>45796</v>
      </c>
      <c r="D3266" t="inlineStr">
        <is>
          <t>SKÅNE LÄN</t>
        </is>
      </c>
      <c r="E3266" t="inlineStr">
        <is>
          <t>KRISTIANSTAD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49233-2022</t>
        </is>
      </c>
      <c r="B3267" s="1" t="n">
        <v>44858</v>
      </c>
      <c r="C3267" s="1" t="n">
        <v>45796</v>
      </c>
      <c r="D3267" t="inlineStr">
        <is>
          <t>SKÅNE LÄN</t>
        </is>
      </c>
      <c r="E3267" t="inlineStr">
        <is>
          <t>KRISTIANSTAD</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48592-2022</t>
        </is>
      </c>
      <c r="B3268" s="1" t="n">
        <v>44859</v>
      </c>
      <c r="C3268" s="1" t="n">
        <v>45796</v>
      </c>
      <c r="D3268" t="inlineStr">
        <is>
          <t>SKÅNE LÄN</t>
        </is>
      </c>
      <c r="E3268" t="inlineStr">
        <is>
          <t>ÄNGELHOLM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48747-2022</t>
        </is>
      </c>
      <c r="B3269" s="1" t="n">
        <v>44859</v>
      </c>
      <c r="C3269" s="1" t="n">
        <v>45796</v>
      </c>
      <c r="D3269" t="inlineStr">
        <is>
          <t>SKÅNE LÄN</t>
        </is>
      </c>
      <c r="E3269" t="inlineStr">
        <is>
          <t>HÄSSLEHOLM</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48952-2022</t>
        </is>
      </c>
      <c r="B3270" s="1" t="n">
        <v>44859</v>
      </c>
      <c r="C3270" s="1" t="n">
        <v>45796</v>
      </c>
      <c r="D3270" t="inlineStr">
        <is>
          <t>SKÅNE LÄN</t>
        </is>
      </c>
      <c r="E3270" t="inlineStr">
        <is>
          <t>ÖSTRA GÖINGE</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49827-2022</t>
        </is>
      </c>
      <c r="B3271" s="1" t="n">
        <v>44859</v>
      </c>
      <c r="C3271" s="1" t="n">
        <v>45796</v>
      </c>
      <c r="D3271" t="inlineStr">
        <is>
          <t>SKÅNE LÄN</t>
        </is>
      </c>
      <c r="E3271" t="inlineStr">
        <is>
          <t>HÄSSLEHOLM</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49032-2022</t>
        </is>
      </c>
      <c r="B3272" s="1" t="n">
        <v>44860</v>
      </c>
      <c r="C3272" s="1" t="n">
        <v>45796</v>
      </c>
      <c r="D3272" t="inlineStr">
        <is>
          <t>SKÅNE LÄN</t>
        </is>
      </c>
      <c r="E3272" t="inlineStr">
        <is>
          <t>SVALÖV</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49071-2022</t>
        </is>
      </c>
      <c r="B3273" s="1" t="n">
        <v>44860</v>
      </c>
      <c r="C3273" s="1" t="n">
        <v>45796</v>
      </c>
      <c r="D3273" t="inlineStr">
        <is>
          <t>SKÅNE LÄN</t>
        </is>
      </c>
      <c r="E3273" t="inlineStr">
        <is>
          <t>HÖRBY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49167-2022</t>
        </is>
      </c>
      <c r="B3274" s="1" t="n">
        <v>44860</v>
      </c>
      <c r="C3274" s="1" t="n">
        <v>45796</v>
      </c>
      <c r="D3274" t="inlineStr">
        <is>
          <t>SKÅNE LÄN</t>
        </is>
      </c>
      <c r="E3274" t="inlineStr">
        <is>
          <t>HÄSSLEHOLM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50196-2022</t>
        </is>
      </c>
      <c r="B3275" s="1" t="n">
        <v>44860</v>
      </c>
      <c r="C3275" s="1" t="n">
        <v>45796</v>
      </c>
      <c r="D3275" t="inlineStr">
        <is>
          <t>SKÅNE LÄN</t>
        </is>
      </c>
      <c r="E3275" t="inlineStr">
        <is>
          <t>HÖÖR</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49630-2022</t>
        </is>
      </c>
      <c r="B3276" s="1" t="n">
        <v>44862</v>
      </c>
      <c r="C3276" s="1" t="n">
        <v>45796</v>
      </c>
      <c r="D3276" t="inlineStr">
        <is>
          <t>SKÅNE LÄN</t>
        </is>
      </c>
      <c r="E3276" t="inlineStr">
        <is>
          <t>HÖÖR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49691-2022</t>
        </is>
      </c>
      <c r="B3277" s="1" t="n">
        <v>44862</v>
      </c>
      <c r="C3277" s="1" t="n">
        <v>45796</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49747-2022</t>
        </is>
      </c>
      <c r="B3278" s="1" t="n">
        <v>44862</v>
      </c>
      <c r="C3278" s="1" t="n">
        <v>45796</v>
      </c>
      <c r="D3278" t="inlineStr">
        <is>
          <t>SKÅNE LÄN</t>
        </is>
      </c>
      <c r="E3278" t="inlineStr">
        <is>
          <t>KRISTIANSTAD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49831-2022</t>
        </is>
      </c>
      <c r="B3279" s="1" t="n">
        <v>44862</v>
      </c>
      <c r="C3279" s="1" t="n">
        <v>45796</v>
      </c>
      <c r="D3279" t="inlineStr">
        <is>
          <t>SKÅNE LÄN</t>
        </is>
      </c>
      <c r="E3279" t="inlineStr">
        <is>
          <t>BROMÖLLA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49885-2022</t>
        </is>
      </c>
      <c r="B3280" s="1" t="n">
        <v>44864</v>
      </c>
      <c r="C3280" s="1" t="n">
        <v>45796</v>
      </c>
      <c r="D3280" t="inlineStr">
        <is>
          <t>SKÅNE LÄN</t>
        </is>
      </c>
      <c r="E3280" t="inlineStr">
        <is>
          <t>ÄNGELHOLM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50520-2022</t>
        </is>
      </c>
      <c r="B3281" s="1" t="n">
        <v>44866</v>
      </c>
      <c r="C3281" s="1" t="n">
        <v>45796</v>
      </c>
      <c r="D3281" t="inlineStr">
        <is>
          <t>SKÅNE LÄN</t>
        </is>
      </c>
      <c r="E3281" t="inlineStr">
        <is>
          <t>KRISTIANSTAD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50585-2022</t>
        </is>
      </c>
      <c r="B3282" s="1" t="n">
        <v>44866</v>
      </c>
      <c r="C3282" s="1" t="n">
        <v>45796</v>
      </c>
      <c r="D3282" t="inlineStr">
        <is>
          <t>SKÅNE LÄN</t>
        </is>
      </c>
      <c r="E3282" t="inlineStr">
        <is>
          <t>HÄSSLEHOLM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50516-2022</t>
        </is>
      </c>
      <c r="B3283" s="1" t="n">
        <v>44866</v>
      </c>
      <c r="C3283" s="1" t="n">
        <v>45796</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50880-2022</t>
        </is>
      </c>
      <c r="B3284" s="1" t="n">
        <v>44867</v>
      </c>
      <c r="C3284" s="1" t="n">
        <v>45796</v>
      </c>
      <c r="D3284" t="inlineStr">
        <is>
          <t>SKÅNE LÄN</t>
        </is>
      </c>
      <c r="E3284" t="inlineStr">
        <is>
          <t>OSBY</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50963-2022</t>
        </is>
      </c>
      <c r="B3285" s="1" t="n">
        <v>44867</v>
      </c>
      <c r="C3285" s="1" t="n">
        <v>45796</v>
      </c>
      <c r="D3285" t="inlineStr">
        <is>
          <t>SKÅNE LÄN</t>
        </is>
      </c>
      <c r="E3285" t="inlineStr">
        <is>
          <t>HÖRBY</t>
        </is>
      </c>
      <c r="G3285" t="n">
        <v>15.1</v>
      </c>
      <c r="H3285" t="n">
        <v>0</v>
      </c>
      <c r="I3285" t="n">
        <v>0</v>
      </c>
      <c r="J3285" t="n">
        <v>0</v>
      </c>
      <c r="K3285" t="n">
        <v>0</v>
      </c>
      <c r="L3285" t="n">
        <v>0</v>
      </c>
      <c r="M3285" t="n">
        <v>0</v>
      </c>
      <c r="N3285" t="n">
        <v>0</v>
      </c>
      <c r="O3285" t="n">
        <v>0</v>
      </c>
      <c r="P3285" t="n">
        <v>0</v>
      </c>
      <c r="Q3285" t="n">
        <v>0</v>
      </c>
      <c r="R3285" s="2" t="inlineStr"/>
    </row>
    <row r="3286" ht="15" customHeight="1">
      <c r="A3286" t="inlineStr">
        <is>
          <t>A 50964-2022</t>
        </is>
      </c>
      <c r="B3286" s="1" t="n">
        <v>44867</v>
      </c>
      <c r="C3286" s="1" t="n">
        <v>45796</v>
      </c>
      <c r="D3286" t="inlineStr">
        <is>
          <t>SKÅNE LÄN</t>
        </is>
      </c>
      <c r="E3286" t="inlineStr">
        <is>
          <t>HÖRBY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51287-2022</t>
        </is>
      </c>
      <c r="B3287" s="1" t="n">
        <v>44868</v>
      </c>
      <c r="C3287" s="1" t="n">
        <v>45796</v>
      </c>
      <c r="D3287" t="inlineStr">
        <is>
          <t>SKÅNE LÄN</t>
        </is>
      </c>
      <c r="E3287" t="inlineStr">
        <is>
          <t>HÄSSLEHOLM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51912-2022</t>
        </is>
      </c>
      <c r="B3288" s="1" t="n">
        <v>44868</v>
      </c>
      <c r="C3288" s="1" t="n">
        <v>45796</v>
      </c>
      <c r="D3288" t="inlineStr">
        <is>
          <t>SKÅNE LÄN</t>
        </is>
      </c>
      <c r="E3288" t="inlineStr">
        <is>
          <t>KLIPPAN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51207-2022</t>
        </is>
      </c>
      <c r="B3289" s="1" t="n">
        <v>44868</v>
      </c>
      <c r="C3289" s="1" t="n">
        <v>45796</v>
      </c>
      <c r="D3289" t="inlineStr">
        <is>
          <t>SKÅNE LÄN</t>
        </is>
      </c>
      <c r="E3289" t="inlineStr">
        <is>
          <t>PERSTORP</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51508-2022</t>
        </is>
      </c>
      <c r="B3290" s="1" t="n">
        <v>44869</v>
      </c>
      <c r="C3290" s="1" t="n">
        <v>45796</v>
      </c>
      <c r="D3290" t="inlineStr">
        <is>
          <t>SKÅNE LÄN</t>
        </is>
      </c>
      <c r="E3290" t="inlineStr">
        <is>
          <t>OSBY</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51826-2022</t>
        </is>
      </c>
      <c r="B3291" s="1" t="n">
        <v>44872</v>
      </c>
      <c r="C3291" s="1" t="n">
        <v>45796</v>
      </c>
      <c r="D3291" t="inlineStr">
        <is>
          <t>SKÅNE LÄN</t>
        </is>
      </c>
      <c r="E3291" t="inlineStr">
        <is>
          <t>HÖRBY</t>
        </is>
      </c>
      <c r="F3291" t="inlineStr">
        <is>
          <t>Sveaskog</t>
        </is>
      </c>
      <c r="G3291" t="n">
        <v>14.3</v>
      </c>
      <c r="H3291" t="n">
        <v>0</v>
      </c>
      <c r="I3291" t="n">
        <v>0</v>
      </c>
      <c r="J3291" t="n">
        <v>0</v>
      </c>
      <c r="K3291" t="n">
        <v>0</v>
      </c>
      <c r="L3291" t="n">
        <v>0</v>
      </c>
      <c r="M3291" t="n">
        <v>0</v>
      </c>
      <c r="N3291" t="n">
        <v>0</v>
      </c>
      <c r="O3291" t="n">
        <v>0</v>
      </c>
      <c r="P3291" t="n">
        <v>0</v>
      </c>
      <c r="Q3291" t="n">
        <v>0</v>
      </c>
      <c r="R3291" s="2" t="inlineStr"/>
    </row>
    <row r="3292" ht="15" customHeight="1">
      <c r="A3292" t="inlineStr">
        <is>
          <t>A 52857-2022</t>
        </is>
      </c>
      <c r="B3292" s="1" t="n">
        <v>44872</v>
      </c>
      <c r="C3292" s="1" t="n">
        <v>45796</v>
      </c>
      <c r="D3292" t="inlineStr">
        <is>
          <t>SKÅNE LÄN</t>
        </is>
      </c>
      <c r="E3292" t="inlineStr">
        <is>
          <t>OSBY</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52912-2022</t>
        </is>
      </c>
      <c r="B3293" s="1" t="n">
        <v>44872</v>
      </c>
      <c r="C3293" s="1" t="n">
        <v>45796</v>
      </c>
      <c r="D3293" t="inlineStr">
        <is>
          <t>SKÅNE LÄN</t>
        </is>
      </c>
      <c r="E3293" t="inlineStr">
        <is>
          <t>HÄSSLEHOLM</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52089-2022</t>
        </is>
      </c>
      <c r="B3294" s="1" t="n">
        <v>44873</v>
      </c>
      <c r="C3294" s="1" t="n">
        <v>45796</v>
      </c>
      <c r="D3294" t="inlineStr">
        <is>
          <t>SKÅNE LÄN</t>
        </is>
      </c>
      <c r="E3294" t="inlineStr">
        <is>
          <t>OSBY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52051-2022</t>
        </is>
      </c>
      <c r="B3295" s="1" t="n">
        <v>44873</v>
      </c>
      <c r="C3295" s="1" t="n">
        <v>45796</v>
      </c>
      <c r="D3295" t="inlineStr">
        <is>
          <t>SKÅNE LÄN</t>
        </is>
      </c>
      <c r="E3295" t="inlineStr">
        <is>
          <t>ÖSTRA GÖINGE</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53067-2022</t>
        </is>
      </c>
      <c r="B3296" s="1" t="n">
        <v>44873</v>
      </c>
      <c r="C3296" s="1" t="n">
        <v>45796</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53085-2022</t>
        </is>
      </c>
      <c r="B3297" s="1" t="n">
        <v>44873</v>
      </c>
      <c r="C3297" s="1" t="n">
        <v>45796</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53077-2022</t>
        </is>
      </c>
      <c r="B3298" s="1" t="n">
        <v>44873</v>
      </c>
      <c r="C3298" s="1" t="n">
        <v>45796</v>
      </c>
      <c r="D3298" t="inlineStr">
        <is>
          <t>SKÅNE LÄN</t>
        </is>
      </c>
      <c r="E3298" t="inlineStr">
        <is>
          <t>HÄSSLEHOLM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52564-2022</t>
        </is>
      </c>
      <c r="B3299" s="1" t="n">
        <v>44874</v>
      </c>
      <c r="C3299" s="1" t="n">
        <v>45796</v>
      </c>
      <c r="D3299" t="inlineStr">
        <is>
          <t>SKÅNE LÄN</t>
        </is>
      </c>
      <c r="E3299" t="inlineStr">
        <is>
          <t>HÄSSLEHOLM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53455-2022</t>
        </is>
      </c>
      <c r="B3300" s="1" t="n">
        <v>44874</v>
      </c>
      <c r="C3300" s="1" t="n">
        <v>45796</v>
      </c>
      <c r="D3300" t="inlineStr">
        <is>
          <t>SKÅNE LÄN</t>
        </is>
      </c>
      <c r="E3300" t="inlineStr">
        <is>
          <t>HÖÖR</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52968-2022</t>
        </is>
      </c>
      <c r="B3301" s="1" t="n">
        <v>44875</v>
      </c>
      <c r="C3301" s="1" t="n">
        <v>45796</v>
      </c>
      <c r="D3301" t="inlineStr">
        <is>
          <t>SKÅNE LÄN</t>
        </is>
      </c>
      <c r="E3301" t="inlineStr">
        <is>
          <t>HÄSSLEHOLM</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52877-2022</t>
        </is>
      </c>
      <c r="B3302" s="1" t="n">
        <v>44875</v>
      </c>
      <c r="C3302" s="1" t="n">
        <v>45796</v>
      </c>
      <c r="D3302" t="inlineStr">
        <is>
          <t>SKÅNE LÄN</t>
        </is>
      </c>
      <c r="E3302" t="inlineStr">
        <is>
          <t>KLIPPAN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53586-2022</t>
        </is>
      </c>
      <c r="B3303" s="1" t="n">
        <v>44875</v>
      </c>
      <c r="C3303" s="1" t="n">
        <v>45796</v>
      </c>
      <c r="D3303" t="inlineStr">
        <is>
          <t>SKÅNE LÄN</t>
        </is>
      </c>
      <c r="E3303" t="inlineStr">
        <is>
          <t>PERSTORP</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53582-2022</t>
        </is>
      </c>
      <c r="B3304" s="1" t="n">
        <v>44875</v>
      </c>
      <c r="C3304" s="1" t="n">
        <v>45796</v>
      </c>
      <c r="D3304" t="inlineStr">
        <is>
          <t>SKÅNE LÄN</t>
        </is>
      </c>
      <c r="E3304" t="inlineStr">
        <is>
          <t>KLIPPAN</t>
        </is>
      </c>
      <c r="F3304" t="inlineStr">
        <is>
          <t>Övriga Aktiebolag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53576-2022</t>
        </is>
      </c>
      <c r="B3305" s="1" t="n">
        <v>44875</v>
      </c>
      <c r="C3305" s="1" t="n">
        <v>45796</v>
      </c>
      <c r="D3305" t="inlineStr">
        <is>
          <t>SKÅNE LÄN</t>
        </is>
      </c>
      <c r="E3305" t="inlineStr">
        <is>
          <t>HÄSSLEHOLM</t>
        </is>
      </c>
      <c r="F3305" t="inlineStr">
        <is>
          <t>Övriga Aktiebolag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53593-2022</t>
        </is>
      </c>
      <c r="B3306" s="1" t="n">
        <v>44875</v>
      </c>
      <c r="C3306" s="1" t="n">
        <v>45796</v>
      </c>
      <c r="D3306" t="inlineStr">
        <is>
          <t>SKÅNE LÄN</t>
        </is>
      </c>
      <c r="E3306" t="inlineStr">
        <is>
          <t>HÄSSLEHOLM</t>
        </is>
      </c>
      <c r="F3306" t="inlineStr">
        <is>
          <t>Övriga Aktiebolag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53590-2022</t>
        </is>
      </c>
      <c r="B3307" s="1" t="n">
        <v>44875</v>
      </c>
      <c r="C3307" s="1" t="n">
        <v>45796</v>
      </c>
      <c r="D3307" t="inlineStr">
        <is>
          <t>SKÅNE LÄN</t>
        </is>
      </c>
      <c r="E3307" t="inlineStr">
        <is>
          <t>HÄSSLEHOLM</t>
        </is>
      </c>
      <c r="F3307" t="inlineStr">
        <is>
          <t>Övriga Aktiebolag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53058-2022</t>
        </is>
      </c>
      <c r="B3308" s="1" t="n">
        <v>44876</v>
      </c>
      <c r="C3308" s="1" t="n">
        <v>45796</v>
      </c>
      <c r="D3308" t="inlineStr">
        <is>
          <t>SKÅNE LÄN</t>
        </is>
      </c>
      <c r="E3308" t="inlineStr">
        <is>
          <t>HÄSSLEHOLM</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53136-2022</t>
        </is>
      </c>
      <c r="B3309" s="1" t="n">
        <v>44876</v>
      </c>
      <c r="C3309" s="1" t="n">
        <v>45796</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53982-2022</t>
        </is>
      </c>
      <c r="B3310" s="1" t="n">
        <v>44876</v>
      </c>
      <c r="C3310" s="1" t="n">
        <v>45796</v>
      </c>
      <c r="D3310" t="inlineStr">
        <is>
          <t>SKÅNE LÄN</t>
        </is>
      </c>
      <c r="E3310" t="inlineStr">
        <is>
          <t>KRISTIANSTAD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53978-2022</t>
        </is>
      </c>
      <c r="B3311" s="1" t="n">
        <v>44876</v>
      </c>
      <c r="C3311" s="1" t="n">
        <v>45796</v>
      </c>
      <c r="D3311" t="inlineStr">
        <is>
          <t>SKÅNE LÄN</t>
        </is>
      </c>
      <c r="E3311" t="inlineStr">
        <is>
          <t>SIMRISHAMN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53977-2022</t>
        </is>
      </c>
      <c r="B3312" s="1" t="n">
        <v>44876</v>
      </c>
      <c r="C3312" s="1" t="n">
        <v>45796</v>
      </c>
      <c r="D3312" t="inlineStr">
        <is>
          <t>SKÅNE LÄN</t>
        </is>
      </c>
      <c r="E3312" t="inlineStr">
        <is>
          <t>TOMELILLA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53302-2022</t>
        </is>
      </c>
      <c r="B3313" s="1" t="n">
        <v>44877</v>
      </c>
      <c r="C3313" s="1" t="n">
        <v>45796</v>
      </c>
      <c r="D3313" t="inlineStr">
        <is>
          <t>SKÅNE LÄN</t>
        </is>
      </c>
      <c r="E3313" t="inlineStr">
        <is>
          <t>HÄSSLEHOLM</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53460-2022</t>
        </is>
      </c>
      <c r="B3314" s="1" t="n">
        <v>44879</v>
      </c>
      <c r="C3314" s="1" t="n">
        <v>45796</v>
      </c>
      <c r="D3314" t="inlineStr">
        <is>
          <t>SKÅNE LÄN</t>
        </is>
      </c>
      <c r="E3314" t="inlineStr">
        <is>
          <t>HÖÖR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53464-2022</t>
        </is>
      </c>
      <c r="B3315" s="1" t="n">
        <v>44879</v>
      </c>
      <c r="C3315" s="1" t="n">
        <v>45796</v>
      </c>
      <c r="D3315" t="inlineStr">
        <is>
          <t>SKÅNE LÄN</t>
        </is>
      </c>
      <c r="E3315" t="inlineStr">
        <is>
          <t>HÖRBY</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53501-2022</t>
        </is>
      </c>
      <c r="B3316" s="1" t="n">
        <v>44879</v>
      </c>
      <c r="C3316" s="1" t="n">
        <v>45796</v>
      </c>
      <c r="D3316" t="inlineStr">
        <is>
          <t>SKÅNE LÄN</t>
        </is>
      </c>
      <c r="E3316" t="inlineStr">
        <is>
          <t>ÄNGELHOLM</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53466-2022</t>
        </is>
      </c>
      <c r="B3317" s="1" t="n">
        <v>44879</v>
      </c>
      <c r="C3317" s="1" t="n">
        <v>45796</v>
      </c>
      <c r="D3317" t="inlineStr">
        <is>
          <t>SKÅNE LÄN</t>
        </is>
      </c>
      <c r="E3317" t="inlineStr">
        <is>
          <t>KRISTIANSTAD</t>
        </is>
      </c>
      <c r="F3317" t="inlineStr">
        <is>
          <t>Sveaskog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54095-2022</t>
        </is>
      </c>
      <c r="B3318" s="1" t="n">
        <v>44879</v>
      </c>
      <c r="C3318" s="1" t="n">
        <v>45796</v>
      </c>
      <c r="D3318" t="inlineStr">
        <is>
          <t>SKÅNE LÄN</t>
        </is>
      </c>
      <c r="E3318" t="inlineStr">
        <is>
          <t>PERSTORP</t>
        </is>
      </c>
      <c r="F3318" t="inlineStr">
        <is>
          <t>Övriga Aktiebolag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54106-2022</t>
        </is>
      </c>
      <c r="B3319" s="1" t="n">
        <v>44879</v>
      </c>
      <c r="C3319" s="1" t="n">
        <v>45796</v>
      </c>
      <c r="D3319" t="inlineStr">
        <is>
          <t>SKÅNE LÄN</t>
        </is>
      </c>
      <c r="E3319" t="inlineStr">
        <is>
          <t>HÄSSLEHOLM</t>
        </is>
      </c>
      <c r="F3319" t="inlineStr">
        <is>
          <t>Övriga Aktiebolag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54100-2022</t>
        </is>
      </c>
      <c r="B3320" s="1" t="n">
        <v>44879</v>
      </c>
      <c r="C3320" s="1" t="n">
        <v>45796</v>
      </c>
      <c r="D3320" t="inlineStr">
        <is>
          <t>SKÅNE LÄN</t>
        </is>
      </c>
      <c r="E3320" t="inlineStr">
        <is>
          <t>PERSTORP</t>
        </is>
      </c>
      <c r="F3320" t="inlineStr">
        <is>
          <t>Övriga Aktiebolag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54110-2022</t>
        </is>
      </c>
      <c r="B3321" s="1" t="n">
        <v>44879</v>
      </c>
      <c r="C3321" s="1" t="n">
        <v>45796</v>
      </c>
      <c r="D3321" t="inlineStr">
        <is>
          <t>SKÅNE LÄN</t>
        </is>
      </c>
      <c r="E3321" t="inlineStr">
        <is>
          <t>KLIPPAN</t>
        </is>
      </c>
      <c r="F3321" t="inlineStr">
        <is>
          <t>Övriga Aktiebolag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53742-2022</t>
        </is>
      </c>
      <c r="B3322" s="1" t="n">
        <v>44880</v>
      </c>
      <c r="C3322" s="1" t="n">
        <v>45796</v>
      </c>
      <c r="D3322" t="inlineStr">
        <is>
          <t>SKÅNE LÄN</t>
        </is>
      </c>
      <c r="E3322" t="inlineStr">
        <is>
          <t>ÄNGELHOLM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53868-2022</t>
        </is>
      </c>
      <c r="B3323" s="1" t="n">
        <v>44880</v>
      </c>
      <c r="C3323" s="1" t="n">
        <v>45796</v>
      </c>
      <c r="D3323" t="inlineStr">
        <is>
          <t>SKÅNE LÄN</t>
        </is>
      </c>
      <c r="E3323" t="inlineStr">
        <is>
          <t>KLIPPAN</t>
        </is>
      </c>
      <c r="G3323" t="n">
        <v>7.6</v>
      </c>
      <c r="H3323" t="n">
        <v>0</v>
      </c>
      <c r="I3323" t="n">
        <v>0</v>
      </c>
      <c r="J3323" t="n">
        <v>0</v>
      </c>
      <c r="K3323" t="n">
        <v>0</v>
      </c>
      <c r="L3323" t="n">
        <v>0</v>
      </c>
      <c r="M3323" t="n">
        <v>0</v>
      </c>
      <c r="N3323" t="n">
        <v>0</v>
      </c>
      <c r="O3323" t="n">
        <v>0</v>
      </c>
      <c r="P3323" t="n">
        <v>0</v>
      </c>
      <c r="Q3323" t="n">
        <v>0</v>
      </c>
      <c r="R3323" s="2" t="inlineStr"/>
    </row>
    <row r="3324" ht="15" customHeight="1">
      <c r="A3324" t="inlineStr">
        <is>
          <t>A 54431-2022</t>
        </is>
      </c>
      <c r="B3324" s="1" t="n">
        <v>44880</v>
      </c>
      <c r="C3324" s="1" t="n">
        <v>45796</v>
      </c>
      <c r="D3324" t="inlineStr">
        <is>
          <t>SKÅNE LÄN</t>
        </is>
      </c>
      <c r="E3324" t="inlineStr">
        <is>
          <t>HELSINGBORG</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54516-2022</t>
        </is>
      </c>
      <c r="B3325" s="1" t="n">
        <v>44880</v>
      </c>
      <c r="C3325" s="1" t="n">
        <v>45796</v>
      </c>
      <c r="D3325" t="inlineStr">
        <is>
          <t>SKÅNE LÄN</t>
        </is>
      </c>
      <c r="E3325" t="inlineStr">
        <is>
          <t>KLIPPAN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54495-2022</t>
        </is>
      </c>
      <c r="B3326" s="1" t="n">
        <v>44880</v>
      </c>
      <c r="C3326" s="1" t="n">
        <v>45796</v>
      </c>
      <c r="D3326" t="inlineStr">
        <is>
          <t>SKÅNE LÄN</t>
        </is>
      </c>
      <c r="E3326" t="inlineStr">
        <is>
          <t>ÖSTRA GÖINGE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54517-2022</t>
        </is>
      </c>
      <c r="B3327" s="1" t="n">
        <v>44880</v>
      </c>
      <c r="C3327" s="1" t="n">
        <v>45796</v>
      </c>
      <c r="D3327" t="inlineStr">
        <is>
          <t>SKÅNE LÄN</t>
        </is>
      </c>
      <c r="E3327" t="inlineStr">
        <is>
          <t>KLIPPAN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54102-2022</t>
        </is>
      </c>
      <c r="B3328" s="1" t="n">
        <v>44881</v>
      </c>
      <c r="C3328" s="1" t="n">
        <v>45796</v>
      </c>
      <c r="D3328" t="inlineStr">
        <is>
          <t>SKÅNE LÄN</t>
        </is>
      </c>
      <c r="E3328" t="inlineStr">
        <is>
          <t>HÖRBY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54174-2022</t>
        </is>
      </c>
      <c r="B3329" s="1" t="n">
        <v>44881</v>
      </c>
      <c r="C3329" s="1" t="n">
        <v>45796</v>
      </c>
      <c r="D3329" t="inlineStr">
        <is>
          <t>SKÅNE LÄN</t>
        </is>
      </c>
      <c r="E3329" t="inlineStr">
        <is>
          <t>HÄSSLEHOLM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54099-2022</t>
        </is>
      </c>
      <c r="B3330" s="1" t="n">
        <v>44881</v>
      </c>
      <c r="C3330" s="1" t="n">
        <v>45796</v>
      </c>
      <c r="D3330" t="inlineStr">
        <is>
          <t>SKÅNE LÄN</t>
        </is>
      </c>
      <c r="E3330" t="inlineStr">
        <is>
          <t>HÖRBY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54164-2022</t>
        </is>
      </c>
      <c r="B3331" s="1" t="n">
        <v>44881</v>
      </c>
      <c r="C3331" s="1" t="n">
        <v>45796</v>
      </c>
      <c r="D3331" t="inlineStr">
        <is>
          <t>SKÅNE LÄN</t>
        </is>
      </c>
      <c r="E3331" t="inlineStr">
        <is>
          <t>HÄSSLEHOLM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54171-2022</t>
        </is>
      </c>
      <c r="B3332" s="1" t="n">
        <v>44881</v>
      </c>
      <c r="C3332" s="1" t="n">
        <v>45796</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54187-2022</t>
        </is>
      </c>
      <c r="B3333" s="1" t="n">
        <v>44881</v>
      </c>
      <c r="C3333" s="1" t="n">
        <v>45796</v>
      </c>
      <c r="D3333" t="inlineStr">
        <is>
          <t>SKÅNE LÄN</t>
        </is>
      </c>
      <c r="E3333" t="inlineStr">
        <is>
          <t>OSBY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54176-2022</t>
        </is>
      </c>
      <c r="B3334" s="1" t="n">
        <v>44881</v>
      </c>
      <c r="C3334" s="1" t="n">
        <v>45796</v>
      </c>
      <c r="D3334" t="inlineStr">
        <is>
          <t>SKÅNE LÄN</t>
        </is>
      </c>
      <c r="E3334" t="inlineStr">
        <is>
          <t>HÄSSLEHOLM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54874-2022</t>
        </is>
      </c>
      <c r="B3335" s="1" t="n">
        <v>44881</v>
      </c>
      <c r="C3335" s="1" t="n">
        <v>45796</v>
      </c>
      <c r="D3335" t="inlineStr">
        <is>
          <t>SKÅNE LÄN</t>
        </is>
      </c>
      <c r="E3335" t="inlineStr">
        <is>
          <t>HÄSSLEHOLM</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54326-2022</t>
        </is>
      </c>
      <c r="B3336" s="1" t="n">
        <v>44882</v>
      </c>
      <c r="C3336" s="1" t="n">
        <v>45796</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54348-2022</t>
        </is>
      </c>
      <c r="B3337" s="1" t="n">
        <v>44882</v>
      </c>
      <c r="C3337" s="1" t="n">
        <v>45796</v>
      </c>
      <c r="D3337" t="inlineStr">
        <is>
          <t>SKÅNE LÄN</t>
        </is>
      </c>
      <c r="E3337" t="inlineStr">
        <is>
          <t>KLIPPAN</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54462-2022</t>
        </is>
      </c>
      <c r="B3338" s="1" t="n">
        <v>44882</v>
      </c>
      <c r="C3338" s="1" t="n">
        <v>45796</v>
      </c>
      <c r="D3338" t="inlineStr">
        <is>
          <t>SKÅNE LÄN</t>
        </is>
      </c>
      <c r="E3338" t="inlineStr">
        <is>
          <t>HÄSSLEHOLM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54563-2022</t>
        </is>
      </c>
      <c r="B3339" s="1" t="n">
        <v>44882</v>
      </c>
      <c r="C3339" s="1" t="n">
        <v>45796</v>
      </c>
      <c r="D3339" t="inlineStr">
        <is>
          <t>SKÅNE LÄN</t>
        </is>
      </c>
      <c r="E3339" t="inlineStr">
        <is>
          <t>HÖÖR</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54518-2022</t>
        </is>
      </c>
      <c r="B3340" s="1" t="n">
        <v>44882</v>
      </c>
      <c r="C3340" s="1" t="n">
        <v>45796</v>
      </c>
      <c r="D3340" t="inlineStr">
        <is>
          <t>SKÅNE LÄN</t>
        </is>
      </c>
      <c r="E3340" t="inlineStr">
        <is>
          <t>HÄSSLEHOLM</t>
        </is>
      </c>
      <c r="F3340" t="inlineStr">
        <is>
          <t>Övriga Aktiebolag</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55410-2022</t>
        </is>
      </c>
      <c r="B3341" s="1" t="n">
        <v>44882</v>
      </c>
      <c r="C3341" s="1" t="n">
        <v>45796</v>
      </c>
      <c r="D3341" t="inlineStr">
        <is>
          <t>SKÅNE LÄN</t>
        </is>
      </c>
      <c r="E3341" t="inlineStr">
        <is>
          <t>PERSTORP</t>
        </is>
      </c>
      <c r="F3341" t="inlineStr">
        <is>
          <t>Övriga Aktiebolag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55415-2022</t>
        </is>
      </c>
      <c r="B3342" s="1" t="n">
        <v>44882</v>
      </c>
      <c r="C3342" s="1" t="n">
        <v>45796</v>
      </c>
      <c r="D3342" t="inlineStr">
        <is>
          <t>SKÅNE LÄN</t>
        </is>
      </c>
      <c r="E3342" t="inlineStr">
        <is>
          <t>KLIPPAN</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55424-2022</t>
        </is>
      </c>
      <c r="B3343" s="1" t="n">
        <v>44882</v>
      </c>
      <c r="C3343" s="1" t="n">
        <v>45796</v>
      </c>
      <c r="D3343" t="inlineStr">
        <is>
          <t>SKÅNE LÄN</t>
        </is>
      </c>
      <c r="E3343" t="inlineStr">
        <is>
          <t>HÄSSLEHOLM</t>
        </is>
      </c>
      <c r="F3343" t="inlineStr">
        <is>
          <t>Övriga Aktiebolag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55416-2022</t>
        </is>
      </c>
      <c r="B3344" s="1" t="n">
        <v>44882</v>
      </c>
      <c r="C3344" s="1" t="n">
        <v>45796</v>
      </c>
      <c r="D3344" t="inlineStr">
        <is>
          <t>SKÅNE LÄN</t>
        </is>
      </c>
      <c r="E3344" t="inlineStr">
        <is>
          <t>PERSTORP</t>
        </is>
      </c>
      <c r="F3344" t="inlineStr">
        <is>
          <t>Övriga Aktiebolag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55429-2022</t>
        </is>
      </c>
      <c r="B3345" s="1" t="n">
        <v>44882</v>
      </c>
      <c r="C3345" s="1" t="n">
        <v>45796</v>
      </c>
      <c r="D3345" t="inlineStr">
        <is>
          <t>SKÅNE LÄN</t>
        </is>
      </c>
      <c r="E3345" t="inlineStr">
        <is>
          <t>HÄSSLEHOLM</t>
        </is>
      </c>
      <c r="F3345" t="inlineStr">
        <is>
          <t>Övriga Aktiebolag</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55412-2022</t>
        </is>
      </c>
      <c r="B3346" s="1" t="n">
        <v>44882</v>
      </c>
      <c r="C3346" s="1" t="n">
        <v>45796</v>
      </c>
      <c r="D3346" t="inlineStr">
        <is>
          <t>SKÅNE LÄN</t>
        </is>
      </c>
      <c r="E3346" t="inlineStr">
        <is>
          <t>HÄSSLEHOLM</t>
        </is>
      </c>
      <c r="F3346" t="inlineStr">
        <is>
          <t>Övriga Aktiebolag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55419-2022</t>
        </is>
      </c>
      <c r="B3347" s="1" t="n">
        <v>44882</v>
      </c>
      <c r="C3347" s="1" t="n">
        <v>45796</v>
      </c>
      <c r="D3347" t="inlineStr">
        <is>
          <t>SKÅNE LÄN</t>
        </is>
      </c>
      <c r="E3347" t="inlineStr">
        <is>
          <t>HÄSSLEHOLM</t>
        </is>
      </c>
      <c r="F3347" t="inlineStr">
        <is>
          <t>Övriga Aktiebolag</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54662-2022</t>
        </is>
      </c>
      <c r="B3348" s="1" t="n">
        <v>44883</v>
      </c>
      <c r="C3348" s="1" t="n">
        <v>45796</v>
      </c>
      <c r="D3348" t="inlineStr">
        <is>
          <t>SKÅNE LÄN</t>
        </is>
      </c>
      <c r="E3348" t="inlineStr">
        <is>
          <t>HÄSSLEHOLM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54777-2022</t>
        </is>
      </c>
      <c r="B3349" s="1" t="n">
        <v>44883</v>
      </c>
      <c r="C3349" s="1" t="n">
        <v>45796</v>
      </c>
      <c r="D3349" t="inlineStr">
        <is>
          <t>SKÅNE LÄN</t>
        </is>
      </c>
      <c r="E3349" t="inlineStr">
        <is>
          <t>HÄSSLEHOLM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54738-2022</t>
        </is>
      </c>
      <c r="B3350" s="1" t="n">
        <v>44883</v>
      </c>
      <c r="C3350" s="1" t="n">
        <v>45796</v>
      </c>
      <c r="D3350" t="inlineStr">
        <is>
          <t>SKÅNE LÄN</t>
        </is>
      </c>
      <c r="E3350" t="inlineStr">
        <is>
          <t>HÖÖR</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54671-2022</t>
        </is>
      </c>
      <c r="B3351" s="1" t="n">
        <v>44883</v>
      </c>
      <c r="C3351" s="1" t="n">
        <v>45796</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54753-2022</t>
        </is>
      </c>
      <c r="B3352" s="1" t="n">
        <v>44883</v>
      </c>
      <c r="C3352" s="1" t="n">
        <v>45796</v>
      </c>
      <c r="D3352" t="inlineStr">
        <is>
          <t>SKÅNE LÄN</t>
        </is>
      </c>
      <c r="E3352" t="inlineStr">
        <is>
          <t>HÖÖR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54782-2022</t>
        </is>
      </c>
      <c r="B3353" s="1" t="n">
        <v>44883</v>
      </c>
      <c r="C3353" s="1" t="n">
        <v>45796</v>
      </c>
      <c r="D3353" t="inlineStr">
        <is>
          <t>SKÅNE LÄN</t>
        </is>
      </c>
      <c r="E3353" t="inlineStr">
        <is>
          <t>SKURUP</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54807-2022</t>
        </is>
      </c>
      <c r="B3354" s="1" t="n">
        <v>44883</v>
      </c>
      <c r="C3354" s="1" t="n">
        <v>45796</v>
      </c>
      <c r="D3354" t="inlineStr">
        <is>
          <t>SKÅNE LÄN</t>
        </is>
      </c>
      <c r="E3354" t="inlineStr">
        <is>
          <t>HÄSSLEHOLM</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55662-2022</t>
        </is>
      </c>
      <c r="B3355" s="1" t="n">
        <v>44883</v>
      </c>
      <c r="C3355" s="1" t="n">
        <v>45796</v>
      </c>
      <c r="D3355" t="inlineStr">
        <is>
          <t>SKÅNE LÄN</t>
        </is>
      </c>
      <c r="E3355" t="inlineStr">
        <is>
          <t>HÄSSLEHOLM</t>
        </is>
      </c>
      <c r="F3355" t="inlineStr">
        <is>
          <t>Övriga Aktiebolag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55613-2022</t>
        </is>
      </c>
      <c r="B3356" s="1" t="n">
        <v>44883</v>
      </c>
      <c r="C3356" s="1" t="n">
        <v>45796</v>
      </c>
      <c r="D3356" t="inlineStr">
        <is>
          <t>SKÅNE LÄN</t>
        </is>
      </c>
      <c r="E3356" t="inlineStr">
        <is>
          <t>KLIPPAN</t>
        </is>
      </c>
      <c r="F3356" t="inlineStr">
        <is>
          <t>Övriga Aktiebolag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55637-2022</t>
        </is>
      </c>
      <c r="B3357" s="1" t="n">
        <v>44883</v>
      </c>
      <c r="C3357" s="1" t="n">
        <v>45796</v>
      </c>
      <c r="D3357" t="inlineStr">
        <is>
          <t>SKÅNE LÄN</t>
        </is>
      </c>
      <c r="E3357" t="inlineStr">
        <is>
          <t>KLIPPAN</t>
        </is>
      </c>
      <c r="F3357" t="inlineStr">
        <is>
          <t>Övriga Aktiebolag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55629-2022</t>
        </is>
      </c>
      <c r="B3358" s="1" t="n">
        <v>44883</v>
      </c>
      <c r="C3358" s="1" t="n">
        <v>45796</v>
      </c>
      <c r="D3358" t="inlineStr">
        <is>
          <t>SKÅNE LÄN</t>
        </is>
      </c>
      <c r="E3358" t="inlineStr">
        <is>
          <t>KLIPPAN</t>
        </is>
      </c>
      <c r="F3358" t="inlineStr">
        <is>
          <t>Övriga Aktiebolag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55663-2022</t>
        </is>
      </c>
      <c r="B3359" s="1" t="n">
        <v>44883</v>
      </c>
      <c r="C3359" s="1" t="n">
        <v>45796</v>
      </c>
      <c r="D3359" t="inlineStr">
        <is>
          <t>SKÅNE LÄN</t>
        </is>
      </c>
      <c r="E3359" t="inlineStr">
        <is>
          <t>SVEDALA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55690-2022</t>
        </is>
      </c>
      <c r="B3360" s="1" t="n">
        <v>44883</v>
      </c>
      <c r="C3360" s="1" t="n">
        <v>45796</v>
      </c>
      <c r="D3360" t="inlineStr">
        <is>
          <t>SKÅNE LÄN</t>
        </is>
      </c>
      <c r="E3360" t="inlineStr">
        <is>
          <t>HÄSSLEHOLM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55618-2022</t>
        </is>
      </c>
      <c r="B3361" s="1" t="n">
        <v>44883</v>
      </c>
      <c r="C3361" s="1" t="n">
        <v>45796</v>
      </c>
      <c r="D3361" t="inlineStr">
        <is>
          <t>SKÅNE LÄN</t>
        </is>
      </c>
      <c r="E3361" t="inlineStr">
        <is>
          <t>HÄSSLEHOLM</t>
        </is>
      </c>
      <c r="F3361" t="inlineStr">
        <is>
          <t>Övriga Aktiebolag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55649-2022</t>
        </is>
      </c>
      <c r="B3362" s="1" t="n">
        <v>44883</v>
      </c>
      <c r="C3362" s="1" t="n">
        <v>45796</v>
      </c>
      <c r="D3362" t="inlineStr">
        <is>
          <t>SKÅNE LÄN</t>
        </is>
      </c>
      <c r="E3362" t="inlineStr">
        <is>
          <t>HÄSSLEHOLM</t>
        </is>
      </c>
      <c r="F3362" t="inlineStr">
        <is>
          <t>Övriga Aktiebolag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54948-2022</t>
        </is>
      </c>
      <c r="B3363" s="1" t="n">
        <v>44886</v>
      </c>
      <c r="C3363" s="1" t="n">
        <v>45796</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54959-2022</t>
        </is>
      </c>
      <c r="B3364" s="1" t="n">
        <v>44886</v>
      </c>
      <c r="C3364" s="1" t="n">
        <v>45796</v>
      </c>
      <c r="D3364" t="inlineStr">
        <is>
          <t>SKÅNE LÄN</t>
        </is>
      </c>
      <c r="E3364" t="inlineStr">
        <is>
          <t>SJÖBO</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55029-2022</t>
        </is>
      </c>
      <c r="B3365" s="1" t="n">
        <v>44886</v>
      </c>
      <c r="C3365" s="1" t="n">
        <v>45796</v>
      </c>
      <c r="D3365" t="inlineStr">
        <is>
          <t>SKÅNE LÄN</t>
        </is>
      </c>
      <c r="E3365" t="inlineStr">
        <is>
          <t>OSBY</t>
        </is>
      </c>
      <c r="F3365" t="inlineStr">
        <is>
          <t>Sveaskog</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55130-2022</t>
        </is>
      </c>
      <c r="B3366" s="1" t="n">
        <v>44886</v>
      </c>
      <c r="C3366" s="1" t="n">
        <v>45796</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55154-2022</t>
        </is>
      </c>
      <c r="B3367" s="1" t="n">
        <v>44886</v>
      </c>
      <c r="C3367" s="1" t="n">
        <v>45796</v>
      </c>
      <c r="D3367" t="inlineStr">
        <is>
          <t>SKÅNE LÄN</t>
        </is>
      </c>
      <c r="E3367" t="inlineStr">
        <is>
          <t>HÄSSLEHOLM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55140-2022</t>
        </is>
      </c>
      <c r="B3368" s="1" t="n">
        <v>44886</v>
      </c>
      <c r="C3368" s="1" t="n">
        <v>45796</v>
      </c>
      <c r="D3368" t="inlineStr">
        <is>
          <t>SKÅNE LÄN</t>
        </is>
      </c>
      <c r="E3368" t="inlineStr">
        <is>
          <t>ÖSTRA GÖINGE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55155-2022</t>
        </is>
      </c>
      <c r="B3369" s="1" t="n">
        <v>44886</v>
      </c>
      <c r="C3369" s="1" t="n">
        <v>45796</v>
      </c>
      <c r="D3369" t="inlineStr">
        <is>
          <t>SKÅNE LÄN</t>
        </is>
      </c>
      <c r="E3369" t="inlineStr">
        <is>
          <t>HÄSSLEHOLM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55364-2022</t>
        </is>
      </c>
      <c r="B3370" s="1" t="n">
        <v>44887</v>
      </c>
      <c r="C3370" s="1" t="n">
        <v>45796</v>
      </c>
      <c r="D3370" t="inlineStr">
        <is>
          <t>SKÅNE LÄN</t>
        </is>
      </c>
      <c r="E3370" t="inlineStr">
        <is>
          <t>HÄSSLEHOLM</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55394-2022</t>
        </is>
      </c>
      <c r="B3371" s="1" t="n">
        <v>44887</v>
      </c>
      <c r="C3371" s="1" t="n">
        <v>45796</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56342-2022</t>
        </is>
      </c>
      <c r="B3372" s="1" t="n">
        <v>44887</v>
      </c>
      <c r="C3372" s="1" t="n">
        <v>45796</v>
      </c>
      <c r="D3372" t="inlineStr">
        <is>
          <t>SKÅNE LÄN</t>
        </is>
      </c>
      <c r="E3372" t="inlineStr">
        <is>
          <t>HÖÖR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55490-2022</t>
        </is>
      </c>
      <c r="B3373" s="1" t="n">
        <v>44887</v>
      </c>
      <c r="C3373" s="1" t="n">
        <v>45796</v>
      </c>
      <c r="D3373" t="inlineStr">
        <is>
          <t>SKÅNE LÄN</t>
        </is>
      </c>
      <c r="E3373" t="inlineStr">
        <is>
          <t>ÖSTRA GÖINGE</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56303-2022</t>
        </is>
      </c>
      <c r="B3374" s="1" t="n">
        <v>44887</v>
      </c>
      <c r="C3374" s="1" t="n">
        <v>45796</v>
      </c>
      <c r="D3374" t="inlineStr">
        <is>
          <t>SKÅNE LÄN</t>
        </is>
      </c>
      <c r="E3374" t="inlineStr">
        <is>
          <t>SJÖBO</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56332-2022</t>
        </is>
      </c>
      <c r="B3375" s="1" t="n">
        <v>44887</v>
      </c>
      <c r="C3375" s="1" t="n">
        <v>45796</v>
      </c>
      <c r="D3375" t="inlineStr">
        <is>
          <t>SKÅNE LÄN</t>
        </is>
      </c>
      <c r="E3375" t="inlineStr">
        <is>
          <t>HÖÖR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55489-2022</t>
        </is>
      </c>
      <c r="B3376" s="1" t="n">
        <v>44887</v>
      </c>
      <c r="C3376" s="1" t="n">
        <v>45796</v>
      </c>
      <c r="D3376" t="inlineStr">
        <is>
          <t>SKÅNE LÄN</t>
        </is>
      </c>
      <c r="E3376" t="inlineStr">
        <is>
          <t>ÖSTRA GÖINGE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55544-2022</t>
        </is>
      </c>
      <c r="B3377" s="1" t="n">
        <v>44887</v>
      </c>
      <c r="C3377" s="1" t="n">
        <v>45796</v>
      </c>
      <c r="D3377" t="inlineStr">
        <is>
          <t>SKÅNE LÄN</t>
        </is>
      </c>
      <c r="E3377" t="inlineStr">
        <is>
          <t>ÄNGELHOLM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55425-2022</t>
        </is>
      </c>
      <c r="B3378" s="1" t="n">
        <v>44887</v>
      </c>
      <c r="C3378" s="1" t="n">
        <v>45796</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55495-2022</t>
        </is>
      </c>
      <c r="B3379" s="1" t="n">
        <v>44887</v>
      </c>
      <c r="C3379" s="1" t="n">
        <v>45796</v>
      </c>
      <c r="D3379" t="inlineStr">
        <is>
          <t>SKÅNE LÄN</t>
        </is>
      </c>
      <c r="E3379" t="inlineStr">
        <is>
          <t>ÖSTRA GÖINGE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55545-2022</t>
        </is>
      </c>
      <c r="B3380" s="1" t="n">
        <v>44887</v>
      </c>
      <c r="C3380" s="1" t="n">
        <v>45796</v>
      </c>
      <c r="D3380" t="inlineStr">
        <is>
          <t>SKÅNE LÄN</t>
        </is>
      </c>
      <c r="E3380" t="inlineStr">
        <is>
          <t>ÄNGELHOLM</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55676-2022</t>
        </is>
      </c>
      <c r="B3381" s="1" t="n">
        <v>44888</v>
      </c>
      <c r="C3381" s="1" t="n">
        <v>45796</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55670-2022</t>
        </is>
      </c>
      <c r="B3382" s="1" t="n">
        <v>44888</v>
      </c>
      <c r="C3382" s="1" t="n">
        <v>45796</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55587-2022</t>
        </is>
      </c>
      <c r="B3383" s="1" t="n">
        <v>44888</v>
      </c>
      <c r="C3383" s="1" t="n">
        <v>45796</v>
      </c>
      <c r="D3383" t="inlineStr">
        <is>
          <t>SKÅNE LÄN</t>
        </is>
      </c>
      <c r="E3383" t="inlineStr">
        <is>
          <t>KRISTIANSTAD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55776-2022</t>
        </is>
      </c>
      <c r="B3384" s="1" t="n">
        <v>44888</v>
      </c>
      <c r="C3384" s="1" t="n">
        <v>45796</v>
      </c>
      <c r="D3384" t="inlineStr">
        <is>
          <t>SKÅNE LÄN</t>
        </is>
      </c>
      <c r="E3384" t="inlineStr">
        <is>
          <t>ÖSTRA GÖINGE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55750-2022</t>
        </is>
      </c>
      <c r="B3385" s="1" t="n">
        <v>44888</v>
      </c>
      <c r="C3385" s="1" t="n">
        <v>45796</v>
      </c>
      <c r="D3385" t="inlineStr">
        <is>
          <t>SKÅNE LÄN</t>
        </is>
      </c>
      <c r="E3385" t="inlineStr">
        <is>
          <t>ÄNGELHOLM</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56596-2022</t>
        </is>
      </c>
      <c r="B3386" s="1" t="n">
        <v>44888</v>
      </c>
      <c r="C3386" s="1" t="n">
        <v>45796</v>
      </c>
      <c r="D3386" t="inlineStr">
        <is>
          <t>SKÅNE LÄN</t>
        </is>
      </c>
      <c r="E3386" t="inlineStr">
        <is>
          <t>HÖÖR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56102-2022</t>
        </is>
      </c>
      <c r="B3387" s="1" t="n">
        <v>44889</v>
      </c>
      <c r="C3387" s="1" t="n">
        <v>45796</v>
      </c>
      <c r="D3387" t="inlineStr">
        <is>
          <t>SKÅNE LÄN</t>
        </is>
      </c>
      <c r="E3387" t="inlineStr">
        <is>
          <t>ÖSTRA GÖINGE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57429-2022</t>
        </is>
      </c>
      <c r="B3388" s="1" t="n">
        <v>44889</v>
      </c>
      <c r="C3388" s="1" t="n">
        <v>45796</v>
      </c>
      <c r="D3388" t="inlineStr">
        <is>
          <t>SKÅNE LÄN</t>
        </is>
      </c>
      <c r="E3388" t="inlineStr">
        <is>
          <t>KRISTIANSTAD</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56203-2022</t>
        </is>
      </c>
      <c r="B3389" s="1" t="n">
        <v>44890</v>
      </c>
      <c r="C3389" s="1" t="n">
        <v>45796</v>
      </c>
      <c r="D3389" t="inlineStr">
        <is>
          <t>SKÅNE LÄN</t>
        </is>
      </c>
      <c r="E3389" t="inlineStr">
        <is>
          <t>HÖRBY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56231-2022</t>
        </is>
      </c>
      <c r="B3390" s="1" t="n">
        <v>44890</v>
      </c>
      <c r="C3390" s="1" t="n">
        <v>45796</v>
      </c>
      <c r="D3390" t="inlineStr">
        <is>
          <t>SKÅNE LÄN</t>
        </is>
      </c>
      <c r="E3390" t="inlineStr">
        <is>
          <t>HÖÖR</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56380-2022</t>
        </is>
      </c>
      <c r="B3391" s="1" t="n">
        <v>44890</v>
      </c>
      <c r="C3391" s="1" t="n">
        <v>45796</v>
      </c>
      <c r="D3391" t="inlineStr">
        <is>
          <t>SKÅNE LÄN</t>
        </is>
      </c>
      <c r="E3391" t="inlineStr">
        <is>
          <t>ÄNGELHOLM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56427-2022</t>
        </is>
      </c>
      <c r="B3392" s="1" t="n">
        <v>44891</v>
      </c>
      <c r="C3392" s="1" t="n">
        <v>45796</v>
      </c>
      <c r="D3392" t="inlineStr">
        <is>
          <t>SKÅNE LÄN</t>
        </is>
      </c>
      <c r="E3392" t="inlineStr">
        <is>
          <t>HÖRBY</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56486-2022</t>
        </is>
      </c>
      <c r="B3393" s="1" t="n">
        <v>44893</v>
      </c>
      <c r="C3393" s="1" t="n">
        <v>45796</v>
      </c>
      <c r="D3393" t="inlineStr">
        <is>
          <t>SKÅNE LÄN</t>
        </is>
      </c>
      <c r="E3393" t="inlineStr">
        <is>
          <t>HÖRBY</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56633-2022</t>
        </is>
      </c>
      <c r="B3394" s="1" t="n">
        <v>44893</v>
      </c>
      <c r="C3394" s="1" t="n">
        <v>45796</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58230-2022</t>
        </is>
      </c>
      <c r="B3395" s="1" t="n">
        <v>44893</v>
      </c>
      <c r="C3395" s="1" t="n">
        <v>45796</v>
      </c>
      <c r="D3395" t="inlineStr">
        <is>
          <t>SKÅNE LÄN</t>
        </is>
      </c>
      <c r="E3395" t="inlineStr">
        <is>
          <t>OSBY</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56930-2022</t>
        </is>
      </c>
      <c r="B3396" s="1" t="n">
        <v>44894</v>
      </c>
      <c r="C3396" s="1" t="n">
        <v>45796</v>
      </c>
      <c r="D3396" t="inlineStr">
        <is>
          <t>SKÅNE LÄN</t>
        </is>
      </c>
      <c r="E3396" t="inlineStr">
        <is>
          <t>KRISTIANSTAD</t>
        </is>
      </c>
      <c r="F3396" t="inlineStr">
        <is>
          <t>Kyrkan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58269-2022</t>
        </is>
      </c>
      <c r="B3397" s="1" t="n">
        <v>44894</v>
      </c>
      <c r="C3397" s="1" t="n">
        <v>45796</v>
      </c>
      <c r="D3397" t="inlineStr">
        <is>
          <t>SKÅNE LÄN</t>
        </is>
      </c>
      <c r="E3397" t="inlineStr">
        <is>
          <t>KRISTIANSTAD</t>
        </is>
      </c>
      <c r="G3397" t="n">
        <v>14.9</v>
      </c>
      <c r="H3397" t="n">
        <v>0</v>
      </c>
      <c r="I3397" t="n">
        <v>0</v>
      </c>
      <c r="J3397" t="n">
        <v>0</v>
      </c>
      <c r="K3397" t="n">
        <v>0</v>
      </c>
      <c r="L3397" t="n">
        <v>0</v>
      </c>
      <c r="M3397" t="n">
        <v>0</v>
      </c>
      <c r="N3397" t="n">
        <v>0</v>
      </c>
      <c r="O3397" t="n">
        <v>0</v>
      </c>
      <c r="P3397" t="n">
        <v>0</v>
      </c>
      <c r="Q3397" t="n">
        <v>0</v>
      </c>
      <c r="R3397" s="2" t="inlineStr"/>
    </row>
    <row r="3398" ht="15" customHeight="1">
      <c r="A3398" t="inlineStr">
        <is>
          <t>A 56818-2022</t>
        </is>
      </c>
      <c r="B3398" s="1" t="n">
        <v>44894</v>
      </c>
      <c r="C3398" s="1" t="n">
        <v>45796</v>
      </c>
      <c r="D3398" t="inlineStr">
        <is>
          <t>SKÅNE LÄN</t>
        </is>
      </c>
      <c r="E3398" t="inlineStr">
        <is>
          <t>HÖRBY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58288-2022</t>
        </is>
      </c>
      <c r="B3399" s="1" t="n">
        <v>44894</v>
      </c>
      <c r="C3399" s="1" t="n">
        <v>45796</v>
      </c>
      <c r="D3399" t="inlineStr">
        <is>
          <t>SKÅNE LÄN</t>
        </is>
      </c>
      <c r="E3399" t="inlineStr">
        <is>
          <t>KRISTIANSTAD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57034-2022</t>
        </is>
      </c>
      <c r="B3400" s="1" t="n">
        <v>44895</v>
      </c>
      <c r="C3400" s="1" t="n">
        <v>45796</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57028-2022</t>
        </is>
      </c>
      <c r="B3401" s="1" t="n">
        <v>44895</v>
      </c>
      <c r="C3401" s="1" t="n">
        <v>45796</v>
      </c>
      <c r="D3401" t="inlineStr">
        <is>
          <t>SKÅNE LÄN</t>
        </is>
      </c>
      <c r="E3401" t="inlineStr">
        <is>
          <t>SJÖBO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57033-2022</t>
        </is>
      </c>
      <c r="B3402" s="1" t="n">
        <v>44895</v>
      </c>
      <c r="C3402" s="1" t="n">
        <v>45796</v>
      </c>
      <c r="D3402" t="inlineStr">
        <is>
          <t>SKÅNE LÄN</t>
        </is>
      </c>
      <c r="E3402" t="inlineStr">
        <is>
          <t>HÄSSLEHOLM</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57161-2022</t>
        </is>
      </c>
      <c r="B3403" s="1" t="n">
        <v>44895</v>
      </c>
      <c r="C3403" s="1" t="n">
        <v>45796</v>
      </c>
      <c r="D3403" t="inlineStr">
        <is>
          <t>SKÅNE LÄN</t>
        </is>
      </c>
      <c r="E3403" t="inlineStr">
        <is>
          <t>ÖRKELLJUNGA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57208-2022</t>
        </is>
      </c>
      <c r="B3404" s="1" t="n">
        <v>44895</v>
      </c>
      <c r="C3404" s="1" t="n">
        <v>45796</v>
      </c>
      <c r="D3404" t="inlineStr">
        <is>
          <t>SKÅNE LÄN</t>
        </is>
      </c>
      <c r="E3404" t="inlineStr">
        <is>
          <t>ÖRKELLJUNGA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57036-2022</t>
        </is>
      </c>
      <c r="B3405" s="1" t="n">
        <v>44895</v>
      </c>
      <c r="C3405" s="1" t="n">
        <v>45796</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57079-2022</t>
        </is>
      </c>
      <c r="B3406" s="1" t="n">
        <v>44895</v>
      </c>
      <c r="C3406" s="1" t="n">
        <v>45796</v>
      </c>
      <c r="D3406" t="inlineStr">
        <is>
          <t>SKÅNE LÄN</t>
        </is>
      </c>
      <c r="E3406" t="inlineStr">
        <is>
          <t>HÄSSLEHOLM</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57222-2022</t>
        </is>
      </c>
      <c r="B3407" s="1" t="n">
        <v>44895</v>
      </c>
      <c r="C3407" s="1" t="n">
        <v>45796</v>
      </c>
      <c r="D3407" t="inlineStr">
        <is>
          <t>SKÅNE LÄN</t>
        </is>
      </c>
      <c r="E3407" t="inlineStr">
        <is>
          <t>OSBY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57543-2022</t>
        </is>
      </c>
      <c r="B3408" s="1" t="n">
        <v>44896</v>
      </c>
      <c r="C3408" s="1" t="n">
        <v>45796</v>
      </c>
      <c r="D3408" t="inlineStr">
        <is>
          <t>SKÅNE LÄN</t>
        </is>
      </c>
      <c r="E3408" t="inlineStr">
        <is>
          <t>ÖSTRA GÖINGE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57537-2022</t>
        </is>
      </c>
      <c r="B3409" s="1" t="n">
        <v>44896</v>
      </c>
      <c r="C3409" s="1" t="n">
        <v>45796</v>
      </c>
      <c r="D3409" t="inlineStr">
        <is>
          <t>SKÅNE LÄN</t>
        </is>
      </c>
      <c r="E3409" t="inlineStr">
        <is>
          <t>ÖSTRA GÖINGE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57461-2022</t>
        </is>
      </c>
      <c r="B3410" s="1" t="n">
        <v>44896</v>
      </c>
      <c r="C3410" s="1" t="n">
        <v>45796</v>
      </c>
      <c r="D3410" t="inlineStr">
        <is>
          <t>SKÅNE LÄN</t>
        </is>
      </c>
      <c r="E3410" t="inlineStr">
        <is>
          <t>HÖÖR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57539-2022</t>
        </is>
      </c>
      <c r="B3411" s="1" t="n">
        <v>44896</v>
      </c>
      <c r="C3411" s="1" t="n">
        <v>45796</v>
      </c>
      <c r="D3411" t="inlineStr">
        <is>
          <t>SKÅNE LÄN</t>
        </is>
      </c>
      <c r="E3411" t="inlineStr">
        <is>
          <t>ÖSTRA GÖINGE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57521-2022</t>
        </is>
      </c>
      <c r="B3412" s="1" t="n">
        <v>44896</v>
      </c>
      <c r="C3412" s="1" t="n">
        <v>45796</v>
      </c>
      <c r="D3412" t="inlineStr">
        <is>
          <t>SKÅNE LÄN</t>
        </is>
      </c>
      <c r="E3412" t="inlineStr">
        <is>
          <t>ÖSTRA GÖINGE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57529-2022</t>
        </is>
      </c>
      <c r="B3413" s="1" t="n">
        <v>44896</v>
      </c>
      <c r="C3413" s="1" t="n">
        <v>45796</v>
      </c>
      <c r="D3413" t="inlineStr">
        <is>
          <t>SKÅNE LÄN</t>
        </is>
      </c>
      <c r="E3413" t="inlineStr">
        <is>
          <t>ÖSTRA GÖINGE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57547-2022</t>
        </is>
      </c>
      <c r="B3414" s="1" t="n">
        <v>44896</v>
      </c>
      <c r="C3414" s="1" t="n">
        <v>45796</v>
      </c>
      <c r="D3414" t="inlineStr">
        <is>
          <t>SKÅNE LÄN</t>
        </is>
      </c>
      <c r="E3414" t="inlineStr">
        <is>
          <t>ÖSTRA GÖINGE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58891-2022</t>
        </is>
      </c>
      <c r="B3415" s="1" t="n">
        <v>44896</v>
      </c>
      <c r="C3415" s="1" t="n">
        <v>45796</v>
      </c>
      <c r="D3415" t="inlineStr">
        <is>
          <t>SKÅNE LÄN</t>
        </is>
      </c>
      <c r="E3415" t="inlineStr">
        <is>
          <t>HÄSSLEHOLM</t>
        </is>
      </c>
      <c r="F3415" t="inlineStr">
        <is>
          <t>Kyrkan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57656-2022</t>
        </is>
      </c>
      <c r="B3416" s="1" t="n">
        <v>44897</v>
      </c>
      <c r="C3416" s="1" t="n">
        <v>45796</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57649-2022</t>
        </is>
      </c>
      <c r="B3417" s="1" t="n">
        <v>44897</v>
      </c>
      <c r="C3417" s="1" t="n">
        <v>45796</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57676-2022</t>
        </is>
      </c>
      <c r="B3418" s="1" t="n">
        <v>44897</v>
      </c>
      <c r="C3418" s="1" t="n">
        <v>45796</v>
      </c>
      <c r="D3418" t="inlineStr">
        <is>
          <t>SKÅNE LÄN</t>
        </is>
      </c>
      <c r="E3418" t="inlineStr">
        <is>
          <t>HÄSSLEHOLM</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57709-2022</t>
        </is>
      </c>
      <c r="B3419" s="1" t="n">
        <v>44897</v>
      </c>
      <c r="C3419" s="1" t="n">
        <v>45796</v>
      </c>
      <c r="D3419" t="inlineStr">
        <is>
          <t>SKÅNE LÄN</t>
        </is>
      </c>
      <c r="E3419" t="inlineStr">
        <is>
          <t>ÖRKELLJUNGA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57665-2022</t>
        </is>
      </c>
      <c r="B3420" s="1" t="n">
        <v>44897</v>
      </c>
      <c r="C3420" s="1" t="n">
        <v>45796</v>
      </c>
      <c r="D3420" t="inlineStr">
        <is>
          <t>SKÅNE LÄN</t>
        </is>
      </c>
      <c r="E3420" t="inlineStr">
        <is>
          <t>HÄSSLEHOLM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57703-2022</t>
        </is>
      </c>
      <c r="B3421" s="1" t="n">
        <v>44897</v>
      </c>
      <c r="C3421" s="1" t="n">
        <v>45796</v>
      </c>
      <c r="D3421" t="inlineStr">
        <is>
          <t>SKÅNE LÄN</t>
        </is>
      </c>
      <c r="E3421" t="inlineStr">
        <is>
          <t>ÖRKELLJUNGA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57795-2022</t>
        </is>
      </c>
      <c r="B3422" s="1" t="n">
        <v>44897</v>
      </c>
      <c r="C3422" s="1" t="n">
        <v>45796</v>
      </c>
      <c r="D3422" t="inlineStr">
        <is>
          <t>SKÅNE LÄN</t>
        </is>
      </c>
      <c r="E3422" t="inlineStr">
        <is>
          <t>ÖRKELLJUNGA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57810-2022</t>
        </is>
      </c>
      <c r="B3423" s="1" t="n">
        <v>44897</v>
      </c>
      <c r="C3423" s="1" t="n">
        <v>45796</v>
      </c>
      <c r="D3423" t="inlineStr">
        <is>
          <t>SKÅNE LÄN</t>
        </is>
      </c>
      <c r="E3423" t="inlineStr">
        <is>
          <t>TRELLEBORG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57803-2022</t>
        </is>
      </c>
      <c r="B3424" s="1" t="n">
        <v>44897</v>
      </c>
      <c r="C3424" s="1" t="n">
        <v>45796</v>
      </c>
      <c r="D3424" t="inlineStr">
        <is>
          <t>SKÅNE LÄN</t>
        </is>
      </c>
      <c r="E3424" t="inlineStr">
        <is>
          <t>SVEDALA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57798-2022</t>
        </is>
      </c>
      <c r="B3425" s="1" t="n">
        <v>44897</v>
      </c>
      <c r="C3425" s="1" t="n">
        <v>45796</v>
      </c>
      <c r="D3425" t="inlineStr">
        <is>
          <t>SKÅNE LÄN</t>
        </is>
      </c>
      <c r="E3425" t="inlineStr">
        <is>
          <t>SVEDALA</t>
        </is>
      </c>
      <c r="G3425" t="n">
        <v>8.9</v>
      </c>
      <c r="H3425" t="n">
        <v>0</v>
      </c>
      <c r="I3425" t="n">
        <v>0</v>
      </c>
      <c r="J3425" t="n">
        <v>0</v>
      </c>
      <c r="K3425" t="n">
        <v>0</v>
      </c>
      <c r="L3425" t="n">
        <v>0</v>
      </c>
      <c r="M3425" t="n">
        <v>0</v>
      </c>
      <c r="N3425" t="n">
        <v>0</v>
      </c>
      <c r="O3425" t="n">
        <v>0</v>
      </c>
      <c r="P3425" t="n">
        <v>0</v>
      </c>
      <c r="Q3425" t="n">
        <v>0</v>
      </c>
      <c r="R3425" s="2" t="inlineStr"/>
    </row>
    <row r="3426" ht="15" customHeight="1">
      <c r="A3426" t="inlineStr">
        <is>
          <t>A 59201-2022</t>
        </is>
      </c>
      <c r="B3426" s="1" t="n">
        <v>44897</v>
      </c>
      <c r="C3426" s="1" t="n">
        <v>45796</v>
      </c>
      <c r="D3426" t="inlineStr">
        <is>
          <t>SKÅNE LÄN</t>
        </is>
      </c>
      <c r="E3426" t="inlineStr">
        <is>
          <t>ÖSTRA GÖINGE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59188-2022</t>
        </is>
      </c>
      <c r="B3427" s="1" t="n">
        <v>44897</v>
      </c>
      <c r="C3427" s="1" t="n">
        <v>45796</v>
      </c>
      <c r="D3427" t="inlineStr">
        <is>
          <t>SKÅNE LÄN</t>
        </is>
      </c>
      <c r="E3427" t="inlineStr">
        <is>
          <t>ÖSTRA GÖINGE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57990-2022</t>
        </is>
      </c>
      <c r="B3428" s="1" t="n">
        <v>44900</v>
      </c>
      <c r="C3428" s="1" t="n">
        <v>45796</v>
      </c>
      <c r="D3428" t="inlineStr">
        <is>
          <t>SKÅNE LÄN</t>
        </is>
      </c>
      <c r="E3428" t="inlineStr">
        <is>
          <t>OSBY</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57978-2022</t>
        </is>
      </c>
      <c r="B3429" s="1" t="n">
        <v>44900</v>
      </c>
      <c r="C3429" s="1" t="n">
        <v>45796</v>
      </c>
      <c r="D3429" t="inlineStr">
        <is>
          <t>SKÅNE LÄN</t>
        </is>
      </c>
      <c r="E3429" t="inlineStr">
        <is>
          <t>HÄSSLEHOLM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58135-2022</t>
        </is>
      </c>
      <c r="B3430" s="1" t="n">
        <v>44900</v>
      </c>
      <c r="C3430" s="1" t="n">
        <v>45796</v>
      </c>
      <c r="D3430" t="inlineStr">
        <is>
          <t>SKÅNE LÄN</t>
        </is>
      </c>
      <c r="E3430" t="inlineStr">
        <is>
          <t>ÄNGELHOLM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58130-2022</t>
        </is>
      </c>
      <c r="B3431" s="1" t="n">
        <v>44900</v>
      </c>
      <c r="C3431" s="1" t="n">
        <v>45796</v>
      </c>
      <c r="D3431" t="inlineStr">
        <is>
          <t>SKÅNE LÄN</t>
        </is>
      </c>
      <c r="E3431" t="inlineStr">
        <is>
          <t>ÖRKELLJUNGA</t>
        </is>
      </c>
      <c r="G3431" t="n">
        <v>23.2</v>
      </c>
      <c r="H3431" t="n">
        <v>0</v>
      </c>
      <c r="I3431" t="n">
        <v>0</v>
      </c>
      <c r="J3431" t="n">
        <v>0</v>
      </c>
      <c r="K3431" t="n">
        <v>0</v>
      </c>
      <c r="L3431" t="n">
        <v>0</v>
      </c>
      <c r="M3431" t="n">
        <v>0</v>
      </c>
      <c r="N3431" t="n">
        <v>0</v>
      </c>
      <c r="O3431" t="n">
        <v>0</v>
      </c>
      <c r="P3431" t="n">
        <v>0</v>
      </c>
      <c r="Q3431" t="n">
        <v>0</v>
      </c>
      <c r="R3431" s="2" t="inlineStr"/>
    </row>
    <row r="3432" ht="15" customHeight="1">
      <c r="A3432" t="inlineStr">
        <is>
          <t>A 58134-2022</t>
        </is>
      </c>
      <c r="B3432" s="1" t="n">
        <v>44900</v>
      </c>
      <c r="C3432" s="1" t="n">
        <v>45796</v>
      </c>
      <c r="D3432" t="inlineStr">
        <is>
          <t>SKÅNE LÄN</t>
        </is>
      </c>
      <c r="E3432" t="inlineStr">
        <is>
          <t>ÄNGELHOLM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58137-2022</t>
        </is>
      </c>
      <c r="B3433" s="1" t="n">
        <v>44900</v>
      </c>
      <c r="C3433" s="1" t="n">
        <v>45796</v>
      </c>
      <c r="D3433" t="inlineStr">
        <is>
          <t>SKÅNE LÄN</t>
        </is>
      </c>
      <c r="E3433" t="inlineStr">
        <is>
          <t>ÄNGELHOLM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59760-2022</t>
        </is>
      </c>
      <c r="B3434" s="1" t="n">
        <v>44900</v>
      </c>
      <c r="C3434" s="1" t="n">
        <v>45796</v>
      </c>
      <c r="D3434" t="inlineStr">
        <is>
          <t>SKÅNE LÄN</t>
        </is>
      </c>
      <c r="E3434" t="inlineStr">
        <is>
          <t>PERSTORP</t>
        </is>
      </c>
      <c r="F3434" t="inlineStr">
        <is>
          <t>Övriga Aktiebolag</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59763-2022</t>
        </is>
      </c>
      <c r="B3435" s="1" t="n">
        <v>44900</v>
      </c>
      <c r="C3435" s="1" t="n">
        <v>45796</v>
      </c>
      <c r="D3435" t="inlineStr">
        <is>
          <t>SKÅNE LÄN</t>
        </is>
      </c>
      <c r="E3435" t="inlineStr">
        <is>
          <t>HÄSSLEHOLM</t>
        </is>
      </c>
      <c r="F3435" t="inlineStr">
        <is>
          <t>Övriga Aktiebolag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59728-2022</t>
        </is>
      </c>
      <c r="B3436" s="1" t="n">
        <v>44900</v>
      </c>
      <c r="C3436" s="1" t="n">
        <v>45796</v>
      </c>
      <c r="D3436" t="inlineStr">
        <is>
          <t>SKÅNE LÄN</t>
        </is>
      </c>
      <c r="E3436" t="inlineStr">
        <is>
          <t>HÄSSLEHOLM</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59756-2022</t>
        </is>
      </c>
      <c r="B3437" s="1" t="n">
        <v>44900</v>
      </c>
      <c r="C3437" s="1" t="n">
        <v>45796</v>
      </c>
      <c r="D3437" t="inlineStr">
        <is>
          <t>SKÅNE LÄN</t>
        </is>
      </c>
      <c r="E3437" t="inlineStr">
        <is>
          <t>KLIPPAN</t>
        </is>
      </c>
      <c r="F3437" t="inlineStr">
        <is>
          <t>Övriga Aktiebolag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58387-2022</t>
        </is>
      </c>
      <c r="B3438" s="1" t="n">
        <v>44901</v>
      </c>
      <c r="C3438" s="1" t="n">
        <v>45796</v>
      </c>
      <c r="D3438" t="inlineStr">
        <is>
          <t>SKÅNE LÄN</t>
        </is>
      </c>
      <c r="E3438" t="inlineStr">
        <is>
          <t>KLIPPAN</t>
        </is>
      </c>
      <c r="F3438" t="inlineStr">
        <is>
          <t>Kommuner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58562-2022</t>
        </is>
      </c>
      <c r="B3439" s="1" t="n">
        <v>44902</v>
      </c>
      <c r="C3439" s="1" t="n">
        <v>45796</v>
      </c>
      <c r="D3439" t="inlineStr">
        <is>
          <t>SKÅNE LÄN</t>
        </is>
      </c>
      <c r="E3439" t="inlineStr">
        <is>
          <t>OSBY</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58584-2022</t>
        </is>
      </c>
      <c r="B3440" s="1" t="n">
        <v>44902</v>
      </c>
      <c r="C3440" s="1" t="n">
        <v>45796</v>
      </c>
      <c r="D3440" t="inlineStr">
        <is>
          <t>SKÅNE LÄN</t>
        </is>
      </c>
      <c r="E3440" t="inlineStr">
        <is>
          <t>KLIPPAN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58582-2022</t>
        </is>
      </c>
      <c r="B3441" s="1" t="n">
        <v>44902</v>
      </c>
      <c r="C3441" s="1" t="n">
        <v>45796</v>
      </c>
      <c r="D3441" t="inlineStr">
        <is>
          <t>SKÅNE LÄN</t>
        </is>
      </c>
      <c r="E3441" t="inlineStr">
        <is>
          <t>TOMELILLA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58638-2022</t>
        </is>
      </c>
      <c r="B3442" s="1" t="n">
        <v>44902</v>
      </c>
      <c r="C3442" s="1" t="n">
        <v>45796</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58767-2022</t>
        </is>
      </c>
      <c r="B3443" s="1" t="n">
        <v>44903</v>
      </c>
      <c r="C3443" s="1" t="n">
        <v>45796</v>
      </c>
      <c r="D3443" t="inlineStr">
        <is>
          <t>SKÅNE LÄN</t>
        </is>
      </c>
      <c r="E3443" t="inlineStr">
        <is>
          <t>OSBY</t>
        </is>
      </c>
      <c r="F3443" t="inlineStr">
        <is>
          <t>Kommuner</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58761-2022</t>
        </is>
      </c>
      <c r="B3444" s="1" t="n">
        <v>44903</v>
      </c>
      <c r="C3444" s="1" t="n">
        <v>45796</v>
      </c>
      <c r="D3444" t="inlineStr">
        <is>
          <t>SKÅNE LÄN</t>
        </is>
      </c>
      <c r="E3444" t="inlineStr">
        <is>
          <t>OSBY</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58764-2022</t>
        </is>
      </c>
      <c r="B3445" s="1" t="n">
        <v>44903</v>
      </c>
      <c r="C3445" s="1" t="n">
        <v>45796</v>
      </c>
      <c r="D3445" t="inlineStr">
        <is>
          <t>SKÅNE LÄN</t>
        </is>
      </c>
      <c r="E3445" t="inlineStr">
        <is>
          <t>OSBY</t>
        </is>
      </c>
      <c r="F3445" t="inlineStr">
        <is>
          <t>Kommuner</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58985-2022</t>
        </is>
      </c>
      <c r="B3446" s="1" t="n">
        <v>44903</v>
      </c>
      <c r="C3446" s="1" t="n">
        <v>45796</v>
      </c>
      <c r="D3446" t="inlineStr">
        <is>
          <t>SKÅNE LÄN</t>
        </is>
      </c>
      <c r="E3446" t="inlineStr">
        <is>
          <t>SIMRISHAMN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59257-2022</t>
        </is>
      </c>
      <c r="B3447" s="1" t="n">
        <v>44904</v>
      </c>
      <c r="C3447" s="1" t="n">
        <v>45796</v>
      </c>
      <c r="D3447" t="inlineStr">
        <is>
          <t>SKÅNE LÄN</t>
        </is>
      </c>
      <c r="E3447" t="inlineStr">
        <is>
          <t>OSBY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59253-2022</t>
        </is>
      </c>
      <c r="B3448" s="1" t="n">
        <v>44904</v>
      </c>
      <c r="C3448" s="1" t="n">
        <v>45796</v>
      </c>
      <c r="D3448" t="inlineStr">
        <is>
          <t>SKÅNE LÄN</t>
        </is>
      </c>
      <c r="E3448" t="inlineStr">
        <is>
          <t>OSBY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59236-2022</t>
        </is>
      </c>
      <c r="B3449" s="1" t="n">
        <v>44904</v>
      </c>
      <c r="C3449" s="1" t="n">
        <v>45796</v>
      </c>
      <c r="D3449" t="inlineStr">
        <is>
          <t>SKÅNE LÄN</t>
        </is>
      </c>
      <c r="E3449" t="inlineStr">
        <is>
          <t>OSBY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59252-2022</t>
        </is>
      </c>
      <c r="B3450" s="1" t="n">
        <v>44904</v>
      </c>
      <c r="C3450" s="1" t="n">
        <v>45796</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59338-2022</t>
        </is>
      </c>
      <c r="B3451" s="1" t="n">
        <v>44904</v>
      </c>
      <c r="C3451" s="1" t="n">
        <v>45796</v>
      </c>
      <c r="D3451" t="inlineStr">
        <is>
          <t>SKÅNE LÄN</t>
        </is>
      </c>
      <c r="E3451" t="inlineStr">
        <is>
          <t>LUND</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60474-2022</t>
        </is>
      </c>
      <c r="B3452" s="1" t="n">
        <v>44904</v>
      </c>
      <c r="C3452" s="1" t="n">
        <v>45796</v>
      </c>
      <c r="D3452" t="inlineStr">
        <is>
          <t>SKÅNE LÄN</t>
        </is>
      </c>
      <c r="E3452" t="inlineStr">
        <is>
          <t>KRISTIANSTAD</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59528-2022</t>
        </is>
      </c>
      <c r="B3453" s="1" t="n">
        <v>44907</v>
      </c>
      <c r="C3453" s="1" t="n">
        <v>45796</v>
      </c>
      <c r="D3453" t="inlineStr">
        <is>
          <t>SKÅNE LÄN</t>
        </is>
      </c>
      <c r="E3453" t="inlineStr">
        <is>
          <t>TOMELILLA</t>
        </is>
      </c>
      <c r="F3453" t="inlineStr">
        <is>
          <t>Övriga Aktiebolag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59432-2022</t>
        </is>
      </c>
      <c r="B3454" s="1" t="n">
        <v>44907</v>
      </c>
      <c r="C3454" s="1" t="n">
        <v>45796</v>
      </c>
      <c r="D3454" t="inlineStr">
        <is>
          <t>SKÅNE LÄN</t>
        </is>
      </c>
      <c r="E3454" t="inlineStr">
        <is>
          <t>SVEDALA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59625-2022</t>
        </is>
      </c>
      <c r="B3455" s="1" t="n">
        <v>44907</v>
      </c>
      <c r="C3455" s="1" t="n">
        <v>45796</v>
      </c>
      <c r="D3455" t="inlineStr">
        <is>
          <t>SKÅNE LÄN</t>
        </is>
      </c>
      <c r="E3455" t="inlineStr">
        <is>
          <t>KRISTIANSTAD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59702-2022</t>
        </is>
      </c>
      <c r="B3456" s="1" t="n">
        <v>44908</v>
      </c>
      <c r="C3456" s="1" t="n">
        <v>45796</v>
      </c>
      <c r="D3456" t="inlineStr">
        <is>
          <t>SKÅNE LÄN</t>
        </is>
      </c>
      <c r="E3456" t="inlineStr">
        <is>
          <t>HÖÖR</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59721-2022</t>
        </is>
      </c>
      <c r="B3457" s="1" t="n">
        <v>44908</v>
      </c>
      <c r="C3457" s="1" t="n">
        <v>45796</v>
      </c>
      <c r="D3457" t="inlineStr">
        <is>
          <t>SKÅNE LÄN</t>
        </is>
      </c>
      <c r="E3457" t="inlineStr">
        <is>
          <t>KRISTIANSTAD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59718-2022</t>
        </is>
      </c>
      <c r="B3458" s="1" t="n">
        <v>44908</v>
      </c>
      <c r="C3458" s="1" t="n">
        <v>45796</v>
      </c>
      <c r="D3458" t="inlineStr">
        <is>
          <t>SKÅNE LÄN</t>
        </is>
      </c>
      <c r="E3458" t="inlineStr">
        <is>
          <t>KRISTIANSTAD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59862-2022</t>
        </is>
      </c>
      <c r="B3459" s="1" t="n">
        <v>44908</v>
      </c>
      <c r="C3459" s="1" t="n">
        <v>45796</v>
      </c>
      <c r="D3459" t="inlineStr">
        <is>
          <t>SKÅNE LÄN</t>
        </is>
      </c>
      <c r="E3459" t="inlineStr">
        <is>
          <t>ÖRKELLJUNGA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59918-2022</t>
        </is>
      </c>
      <c r="B3460" s="1" t="n">
        <v>44909</v>
      </c>
      <c r="C3460" s="1" t="n">
        <v>45796</v>
      </c>
      <c r="D3460" t="inlineStr">
        <is>
          <t>SKÅNE LÄN</t>
        </is>
      </c>
      <c r="E3460" t="inlineStr">
        <is>
          <t>LUND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59947-2022</t>
        </is>
      </c>
      <c r="B3461" s="1" t="n">
        <v>44909</v>
      </c>
      <c r="C3461" s="1" t="n">
        <v>45796</v>
      </c>
      <c r="D3461" t="inlineStr">
        <is>
          <t>SKÅNE LÄN</t>
        </is>
      </c>
      <c r="E3461" t="inlineStr">
        <is>
          <t>HÖÖR</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60251-2022</t>
        </is>
      </c>
      <c r="B3462" s="1" t="n">
        <v>44910</v>
      </c>
      <c r="C3462" s="1" t="n">
        <v>45796</v>
      </c>
      <c r="D3462" t="inlineStr">
        <is>
          <t>SKÅNE LÄN</t>
        </is>
      </c>
      <c r="E3462" t="inlineStr">
        <is>
          <t>ÖSTRA GÖINGE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61485-2022</t>
        </is>
      </c>
      <c r="B3463" s="1" t="n">
        <v>44910</v>
      </c>
      <c r="C3463" s="1" t="n">
        <v>45796</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60333-2022</t>
        </is>
      </c>
      <c r="B3464" s="1" t="n">
        <v>44910</v>
      </c>
      <c r="C3464" s="1" t="n">
        <v>45796</v>
      </c>
      <c r="D3464" t="inlineStr">
        <is>
          <t>SKÅNE LÄN</t>
        </is>
      </c>
      <c r="E3464" t="inlineStr">
        <is>
          <t>KRISTIANSTAD</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61498-2022</t>
        </is>
      </c>
      <c r="B3465" s="1" t="n">
        <v>44910</v>
      </c>
      <c r="C3465" s="1" t="n">
        <v>45796</v>
      </c>
      <c r="D3465" t="inlineStr">
        <is>
          <t>SKÅNE LÄN</t>
        </is>
      </c>
      <c r="E3465" t="inlineStr">
        <is>
          <t>HÄSSLEHOLM</t>
        </is>
      </c>
      <c r="F3465" t="inlineStr">
        <is>
          <t>Kyrkan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61504-2022</t>
        </is>
      </c>
      <c r="B3466" s="1" t="n">
        <v>44910</v>
      </c>
      <c r="C3466" s="1" t="n">
        <v>45796</v>
      </c>
      <c r="D3466" t="inlineStr">
        <is>
          <t>SKÅNE LÄN</t>
        </is>
      </c>
      <c r="E3466" t="inlineStr">
        <is>
          <t>HÄSSLEHOLM</t>
        </is>
      </c>
      <c r="F3466" t="inlineStr">
        <is>
          <t>Kyrkan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61520-2022</t>
        </is>
      </c>
      <c r="B3467" s="1" t="n">
        <v>44910</v>
      </c>
      <c r="C3467" s="1" t="n">
        <v>45796</v>
      </c>
      <c r="D3467" t="inlineStr">
        <is>
          <t>SKÅNE LÄN</t>
        </is>
      </c>
      <c r="E3467" t="inlineStr">
        <is>
          <t>OSBY</t>
        </is>
      </c>
      <c r="F3467" t="inlineStr">
        <is>
          <t>Kyrkan</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61507-2022</t>
        </is>
      </c>
      <c r="B3468" s="1" t="n">
        <v>44910</v>
      </c>
      <c r="C3468" s="1" t="n">
        <v>45796</v>
      </c>
      <c r="D3468" t="inlineStr">
        <is>
          <t>SKÅNE LÄN</t>
        </is>
      </c>
      <c r="E3468" t="inlineStr">
        <is>
          <t>HÄSSLEHOLM</t>
        </is>
      </c>
      <c r="F3468" t="inlineStr">
        <is>
          <t>Kyrkan</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61524-2022</t>
        </is>
      </c>
      <c r="B3469" s="1" t="n">
        <v>44910</v>
      </c>
      <c r="C3469" s="1" t="n">
        <v>45796</v>
      </c>
      <c r="D3469" t="inlineStr">
        <is>
          <t>SKÅNE LÄN</t>
        </is>
      </c>
      <c r="E3469" t="inlineStr">
        <is>
          <t>HÄSSLEHOLM</t>
        </is>
      </c>
      <c r="F3469" t="inlineStr">
        <is>
          <t>Kyrkan</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61539-2022</t>
        </is>
      </c>
      <c r="B3470" s="1" t="n">
        <v>44910</v>
      </c>
      <c r="C3470" s="1" t="n">
        <v>45796</v>
      </c>
      <c r="D3470" t="inlineStr">
        <is>
          <t>SKÅNE LÄN</t>
        </is>
      </c>
      <c r="E3470" t="inlineStr">
        <is>
          <t>HÄSSLEHOLM</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61533-2022</t>
        </is>
      </c>
      <c r="B3471" s="1" t="n">
        <v>44910</v>
      </c>
      <c r="C3471" s="1" t="n">
        <v>45796</v>
      </c>
      <c r="D3471" t="inlineStr">
        <is>
          <t>SKÅNE LÄN</t>
        </is>
      </c>
      <c r="E3471" t="inlineStr">
        <is>
          <t>HÄSSLEHOLM</t>
        </is>
      </c>
      <c r="F3471" t="inlineStr">
        <is>
          <t>Kyrkan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61620-2022</t>
        </is>
      </c>
      <c r="B3472" s="1" t="n">
        <v>44910</v>
      </c>
      <c r="C3472" s="1" t="n">
        <v>45796</v>
      </c>
      <c r="D3472" t="inlineStr">
        <is>
          <t>SKÅNE LÄN</t>
        </is>
      </c>
      <c r="E3472" t="inlineStr">
        <is>
          <t>SVALÖV</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60519-2022</t>
        </is>
      </c>
      <c r="B3473" s="1" t="n">
        <v>44911</v>
      </c>
      <c r="C3473" s="1" t="n">
        <v>45796</v>
      </c>
      <c r="D3473" t="inlineStr">
        <is>
          <t>SKÅNE LÄN</t>
        </is>
      </c>
      <c r="E3473" t="inlineStr">
        <is>
          <t>HÄSSLEHOLM</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60425-2022</t>
        </is>
      </c>
      <c r="B3474" s="1" t="n">
        <v>44911</v>
      </c>
      <c r="C3474" s="1" t="n">
        <v>45796</v>
      </c>
      <c r="D3474" t="inlineStr">
        <is>
          <t>SKÅNE LÄN</t>
        </is>
      </c>
      <c r="E3474" t="inlineStr">
        <is>
          <t>HÖÖR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60600-2022</t>
        </is>
      </c>
      <c r="B3475" s="1" t="n">
        <v>44911</v>
      </c>
      <c r="C3475" s="1" t="n">
        <v>45796</v>
      </c>
      <c r="D3475" t="inlineStr">
        <is>
          <t>SKÅNE LÄN</t>
        </is>
      </c>
      <c r="E3475" t="inlineStr">
        <is>
          <t>OSBY</t>
        </is>
      </c>
      <c r="G3475" t="n">
        <v>15.4</v>
      </c>
      <c r="H3475" t="n">
        <v>0</v>
      </c>
      <c r="I3475" t="n">
        <v>0</v>
      </c>
      <c r="J3475" t="n">
        <v>0</v>
      </c>
      <c r="K3475" t="n">
        <v>0</v>
      </c>
      <c r="L3475" t="n">
        <v>0</v>
      </c>
      <c r="M3475" t="n">
        <v>0</v>
      </c>
      <c r="N3475" t="n">
        <v>0</v>
      </c>
      <c r="O3475" t="n">
        <v>0</v>
      </c>
      <c r="P3475" t="n">
        <v>0</v>
      </c>
      <c r="Q3475" t="n">
        <v>0</v>
      </c>
      <c r="R3475" s="2" t="inlineStr"/>
    </row>
    <row r="3476" ht="15" customHeight="1">
      <c r="A3476" t="inlineStr">
        <is>
          <t>A 61701-2022</t>
        </is>
      </c>
      <c r="B3476" s="1" t="n">
        <v>44911</v>
      </c>
      <c r="C3476" s="1" t="n">
        <v>45796</v>
      </c>
      <c r="D3476" t="inlineStr">
        <is>
          <t>SKÅNE LÄN</t>
        </is>
      </c>
      <c r="E3476" t="inlineStr">
        <is>
          <t>BROMÖLLA</t>
        </is>
      </c>
      <c r="F3476" t="inlineStr">
        <is>
          <t>Kyrkan</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60846-2022</t>
        </is>
      </c>
      <c r="B3477" s="1" t="n">
        <v>44914</v>
      </c>
      <c r="C3477" s="1" t="n">
        <v>45796</v>
      </c>
      <c r="D3477" t="inlineStr">
        <is>
          <t>SKÅNE LÄN</t>
        </is>
      </c>
      <c r="E3477" t="inlineStr">
        <is>
          <t>HÄSSLEHOLM</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60843-2022</t>
        </is>
      </c>
      <c r="B3478" s="1" t="n">
        <v>44914</v>
      </c>
      <c r="C3478" s="1" t="n">
        <v>45796</v>
      </c>
      <c r="D3478" t="inlineStr">
        <is>
          <t>SKÅNE LÄN</t>
        </is>
      </c>
      <c r="E3478" t="inlineStr">
        <is>
          <t>HÄSSLEHOLM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60780-2022</t>
        </is>
      </c>
      <c r="B3479" s="1" t="n">
        <v>44914</v>
      </c>
      <c r="C3479" s="1" t="n">
        <v>45796</v>
      </c>
      <c r="D3479" t="inlineStr">
        <is>
          <t>SKÅNE LÄN</t>
        </is>
      </c>
      <c r="E3479" t="inlineStr">
        <is>
          <t>ÖSTRA GÖINGE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60848-2022</t>
        </is>
      </c>
      <c r="B3480" s="1" t="n">
        <v>44914</v>
      </c>
      <c r="C3480" s="1" t="n">
        <v>45796</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61031-2022</t>
        </is>
      </c>
      <c r="B3481" s="1" t="n">
        <v>44914</v>
      </c>
      <c r="C3481" s="1" t="n">
        <v>45796</v>
      </c>
      <c r="D3481" t="inlineStr">
        <is>
          <t>SKÅNE LÄN</t>
        </is>
      </c>
      <c r="E3481" t="inlineStr">
        <is>
          <t>SJÖBO</t>
        </is>
      </c>
      <c r="F3481" t="inlineStr">
        <is>
          <t>Övriga Aktiebolag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60911-2022</t>
        </is>
      </c>
      <c r="B3482" s="1" t="n">
        <v>44914</v>
      </c>
      <c r="C3482" s="1" t="n">
        <v>45796</v>
      </c>
      <c r="D3482" t="inlineStr">
        <is>
          <t>SKÅNE LÄN</t>
        </is>
      </c>
      <c r="E3482" t="inlineStr">
        <is>
          <t>KLIPPAN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60959-2022</t>
        </is>
      </c>
      <c r="B3483" s="1" t="n">
        <v>44914</v>
      </c>
      <c r="C3483" s="1" t="n">
        <v>45796</v>
      </c>
      <c r="D3483" t="inlineStr">
        <is>
          <t>SKÅNE LÄN</t>
        </is>
      </c>
      <c r="E3483" t="inlineStr">
        <is>
          <t>HÄSSLEHOLM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61096-2022</t>
        </is>
      </c>
      <c r="B3484" s="1" t="n">
        <v>44915</v>
      </c>
      <c r="C3484" s="1" t="n">
        <v>45796</v>
      </c>
      <c r="D3484" t="inlineStr">
        <is>
          <t>SKÅNE LÄN</t>
        </is>
      </c>
      <c r="E3484" t="inlineStr">
        <is>
          <t>ÖSTRA GÖINGE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61170-2022</t>
        </is>
      </c>
      <c r="B3485" s="1" t="n">
        <v>44915</v>
      </c>
      <c r="C3485" s="1" t="n">
        <v>45796</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61186-2022</t>
        </is>
      </c>
      <c r="B3486" s="1" t="n">
        <v>44915</v>
      </c>
      <c r="C3486" s="1" t="n">
        <v>45796</v>
      </c>
      <c r="D3486" t="inlineStr">
        <is>
          <t>SKÅNE LÄN</t>
        </is>
      </c>
      <c r="E3486" t="inlineStr">
        <is>
          <t>HÄSSLEHOLM</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61087-2022</t>
        </is>
      </c>
      <c r="B3487" s="1" t="n">
        <v>44915</v>
      </c>
      <c r="C3487" s="1" t="n">
        <v>45796</v>
      </c>
      <c r="D3487" t="inlineStr">
        <is>
          <t>SKÅNE LÄN</t>
        </is>
      </c>
      <c r="E3487" t="inlineStr">
        <is>
          <t>HÖÖR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61178-2022</t>
        </is>
      </c>
      <c r="B3488" s="1" t="n">
        <v>44915</v>
      </c>
      <c r="C3488" s="1" t="n">
        <v>45796</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61292-2022</t>
        </is>
      </c>
      <c r="B3489" s="1" t="n">
        <v>44915</v>
      </c>
      <c r="C3489" s="1" t="n">
        <v>45796</v>
      </c>
      <c r="D3489" t="inlineStr">
        <is>
          <t>SKÅNE LÄN</t>
        </is>
      </c>
      <c r="E3489" t="inlineStr">
        <is>
          <t>HÄSSLEHOLM</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61158-2022</t>
        </is>
      </c>
      <c r="B3490" s="1" t="n">
        <v>44915</v>
      </c>
      <c r="C3490" s="1" t="n">
        <v>45796</v>
      </c>
      <c r="D3490" t="inlineStr">
        <is>
          <t>SKÅNE LÄN</t>
        </is>
      </c>
      <c r="E3490" t="inlineStr">
        <is>
          <t>HÄSSLEHOLM</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62171-2022</t>
        </is>
      </c>
      <c r="B3491" s="1" t="n">
        <v>44915</v>
      </c>
      <c r="C3491" s="1" t="n">
        <v>45796</v>
      </c>
      <c r="D3491" t="inlineStr">
        <is>
          <t>SKÅNE LÄN</t>
        </is>
      </c>
      <c r="E3491" t="inlineStr">
        <is>
          <t>HÄSSLEHOLM</t>
        </is>
      </c>
      <c r="F3491" t="inlineStr">
        <is>
          <t>Kyrkan</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61185-2022</t>
        </is>
      </c>
      <c r="B3492" s="1" t="n">
        <v>44915</v>
      </c>
      <c r="C3492" s="1" t="n">
        <v>45796</v>
      </c>
      <c r="D3492" t="inlineStr">
        <is>
          <t>SKÅNE LÄN</t>
        </is>
      </c>
      <c r="E3492" t="inlineStr">
        <is>
          <t>HÄSSLEHOLM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62180-2022</t>
        </is>
      </c>
      <c r="B3493" s="1" t="n">
        <v>44915</v>
      </c>
      <c r="C3493" s="1" t="n">
        <v>45796</v>
      </c>
      <c r="D3493" t="inlineStr">
        <is>
          <t>SKÅNE LÄN</t>
        </is>
      </c>
      <c r="E3493" t="inlineStr">
        <is>
          <t>ÖRKELLJUNGA</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62156-2022</t>
        </is>
      </c>
      <c r="B3494" s="1" t="n">
        <v>44915</v>
      </c>
      <c r="C3494" s="1" t="n">
        <v>45796</v>
      </c>
      <c r="D3494" t="inlineStr">
        <is>
          <t>SKÅNE LÄN</t>
        </is>
      </c>
      <c r="E3494" t="inlineStr">
        <is>
          <t>KRISTIANSTAD</t>
        </is>
      </c>
      <c r="F3494" t="inlineStr">
        <is>
          <t>Kyrkan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62181-2022</t>
        </is>
      </c>
      <c r="B3495" s="1" t="n">
        <v>44915</v>
      </c>
      <c r="C3495" s="1" t="n">
        <v>45796</v>
      </c>
      <c r="D3495" t="inlineStr">
        <is>
          <t>SKÅNE LÄN</t>
        </is>
      </c>
      <c r="E3495" t="inlineStr">
        <is>
          <t>ÖRKELLJUNGA</t>
        </is>
      </c>
      <c r="F3495" t="inlineStr">
        <is>
          <t>Kyrkan</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62167-2022</t>
        </is>
      </c>
      <c r="B3496" s="1" t="n">
        <v>44915</v>
      </c>
      <c r="C3496" s="1" t="n">
        <v>45796</v>
      </c>
      <c r="D3496" t="inlineStr">
        <is>
          <t>SKÅNE LÄN</t>
        </is>
      </c>
      <c r="E3496" t="inlineStr">
        <is>
          <t>HÄSSLEHOLM</t>
        </is>
      </c>
      <c r="F3496" t="inlineStr">
        <is>
          <t>Kyrkan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62199-2022</t>
        </is>
      </c>
      <c r="B3497" s="1" t="n">
        <v>44915</v>
      </c>
      <c r="C3497" s="1" t="n">
        <v>45796</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61648-2022</t>
        </is>
      </c>
      <c r="B3498" s="1" t="n">
        <v>44916</v>
      </c>
      <c r="C3498" s="1" t="n">
        <v>45796</v>
      </c>
      <c r="D3498" t="inlineStr">
        <is>
          <t>SKÅNE LÄN</t>
        </is>
      </c>
      <c r="E3498" t="inlineStr">
        <is>
          <t>OSBY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61625-2022</t>
        </is>
      </c>
      <c r="B3499" s="1" t="n">
        <v>44916</v>
      </c>
      <c r="C3499" s="1" t="n">
        <v>45796</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61680-2022</t>
        </is>
      </c>
      <c r="B3500" s="1" t="n">
        <v>44917</v>
      </c>
      <c r="C3500" s="1" t="n">
        <v>45796</v>
      </c>
      <c r="D3500" t="inlineStr">
        <is>
          <t>SKÅNE LÄN</t>
        </is>
      </c>
      <c r="E3500" t="inlineStr">
        <is>
          <t>HÄSSLEHOLM</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61909-2022</t>
        </is>
      </c>
      <c r="B3501" s="1" t="n">
        <v>44917</v>
      </c>
      <c r="C3501" s="1" t="n">
        <v>45796</v>
      </c>
      <c r="D3501" t="inlineStr">
        <is>
          <t>SKÅNE LÄN</t>
        </is>
      </c>
      <c r="E3501" t="inlineStr">
        <is>
          <t>HÄSSLEHOLM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61901-2022</t>
        </is>
      </c>
      <c r="B3502" s="1" t="n">
        <v>44917</v>
      </c>
      <c r="C3502" s="1" t="n">
        <v>45796</v>
      </c>
      <c r="D3502" t="inlineStr">
        <is>
          <t>SKÅNE LÄN</t>
        </is>
      </c>
      <c r="E3502" t="inlineStr">
        <is>
          <t>HÄSSLEHOLM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61972-2022</t>
        </is>
      </c>
      <c r="B3503" s="1" t="n">
        <v>44918</v>
      </c>
      <c r="C3503" s="1" t="n">
        <v>45796</v>
      </c>
      <c r="D3503" t="inlineStr">
        <is>
          <t>SKÅNE LÄN</t>
        </is>
      </c>
      <c r="E3503" t="inlineStr">
        <is>
          <t>PERSTORP</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62044-2022</t>
        </is>
      </c>
      <c r="B3504" s="1" t="n">
        <v>44918</v>
      </c>
      <c r="C3504" s="1" t="n">
        <v>45796</v>
      </c>
      <c r="D3504" t="inlineStr">
        <is>
          <t>SKÅNE LÄN</t>
        </is>
      </c>
      <c r="E3504" t="inlineStr">
        <is>
          <t>HÄSSLEHOLM</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62054-2022</t>
        </is>
      </c>
      <c r="B3505" s="1" t="n">
        <v>44918</v>
      </c>
      <c r="C3505" s="1" t="n">
        <v>45796</v>
      </c>
      <c r="D3505" t="inlineStr">
        <is>
          <t>SKÅNE LÄN</t>
        </is>
      </c>
      <c r="E3505" t="inlineStr">
        <is>
          <t>ÖSTRA GÖINGE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62062-2022</t>
        </is>
      </c>
      <c r="B3506" s="1" t="n">
        <v>44918</v>
      </c>
      <c r="C3506" s="1" t="n">
        <v>45796</v>
      </c>
      <c r="D3506" t="inlineStr">
        <is>
          <t>SKÅNE LÄN</t>
        </is>
      </c>
      <c r="E3506" t="inlineStr">
        <is>
          <t>KRISTIANSTAD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62066-2022</t>
        </is>
      </c>
      <c r="B3507" s="1" t="n">
        <v>44918</v>
      </c>
      <c r="C3507" s="1" t="n">
        <v>45796</v>
      </c>
      <c r="D3507" t="inlineStr">
        <is>
          <t>SKÅNE LÄN</t>
        </is>
      </c>
      <c r="E3507" t="inlineStr">
        <is>
          <t>KRISTIANSTAD</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62064-2022</t>
        </is>
      </c>
      <c r="B3508" s="1" t="n">
        <v>44918</v>
      </c>
      <c r="C3508" s="1" t="n">
        <v>45796</v>
      </c>
      <c r="D3508" t="inlineStr">
        <is>
          <t>SKÅNE LÄN</t>
        </is>
      </c>
      <c r="E3508" t="inlineStr">
        <is>
          <t>KRISTIANSTAD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62041-2022</t>
        </is>
      </c>
      <c r="B3509" s="1" t="n">
        <v>44918</v>
      </c>
      <c r="C3509" s="1" t="n">
        <v>45796</v>
      </c>
      <c r="D3509" t="inlineStr">
        <is>
          <t>SKÅNE LÄN</t>
        </is>
      </c>
      <c r="E3509" t="inlineStr">
        <is>
          <t>HÄSSLEHOLM</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62052-2022</t>
        </is>
      </c>
      <c r="B3510" s="1" t="n">
        <v>44918</v>
      </c>
      <c r="C3510" s="1" t="n">
        <v>45796</v>
      </c>
      <c r="D3510" t="inlineStr">
        <is>
          <t>SKÅNE LÄN</t>
        </is>
      </c>
      <c r="E3510" t="inlineStr">
        <is>
          <t>ÖSTRA GÖINGE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62057-2022</t>
        </is>
      </c>
      <c r="B3511" s="1" t="n">
        <v>44918</v>
      </c>
      <c r="C3511" s="1" t="n">
        <v>45796</v>
      </c>
      <c r="D3511" t="inlineStr">
        <is>
          <t>SKÅNE LÄN</t>
        </is>
      </c>
      <c r="E3511" t="inlineStr">
        <is>
          <t>ÖSTRA GÖINGE</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62063-2022</t>
        </is>
      </c>
      <c r="B3512" s="1" t="n">
        <v>44918</v>
      </c>
      <c r="C3512" s="1" t="n">
        <v>45796</v>
      </c>
      <c r="D3512" t="inlineStr">
        <is>
          <t>SKÅNE LÄN</t>
        </is>
      </c>
      <c r="E3512" t="inlineStr">
        <is>
          <t>KRISTIANSTAD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62116-2022</t>
        </is>
      </c>
      <c r="B3513" s="1" t="n">
        <v>44921</v>
      </c>
      <c r="C3513" s="1" t="n">
        <v>45796</v>
      </c>
      <c r="D3513" t="inlineStr">
        <is>
          <t>SKÅNE LÄN</t>
        </is>
      </c>
      <c r="E3513" t="inlineStr">
        <is>
          <t>OSBY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62117-2022</t>
        </is>
      </c>
      <c r="B3514" s="1" t="n">
        <v>44921</v>
      </c>
      <c r="C3514" s="1" t="n">
        <v>45796</v>
      </c>
      <c r="D3514" t="inlineStr">
        <is>
          <t>SKÅNE LÄN</t>
        </is>
      </c>
      <c r="E3514" t="inlineStr">
        <is>
          <t>OSBY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62234-2022</t>
        </is>
      </c>
      <c r="B3515" s="1" t="n">
        <v>44922</v>
      </c>
      <c r="C3515" s="1" t="n">
        <v>45796</v>
      </c>
      <c r="D3515" t="inlineStr">
        <is>
          <t>SKÅNE LÄN</t>
        </is>
      </c>
      <c r="E3515" t="inlineStr">
        <is>
          <t>HÄSSLEHOLM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62149-2022</t>
        </is>
      </c>
      <c r="B3516" s="1" t="n">
        <v>44922</v>
      </c>
      <c r="C3516" s="1" t="n">
        <v>45796</v>
      </c>
      <c r="D3516" t="inlineStr">
        <is>
          <t>SKÅNE LÄN</t>
        </is>
      </c>
      <c r="E3516" t="inlineStr">
        <is>
          <t>SIMRISHAMN</t>
        </is>
      </c>
      <c r="F3516" t="inlineStr">
        <is>
          <t>Övriga Aktiebolag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62293-2022</t>
        </is>
      </c>
      <c r="B3517" s="1" t="n">
        <v>44923</v>
      </c>
      <c r="C3517" s="1" t="n">
        <v>45796</v>
      </c>
      <c r="D3517" t="inlineStr">
        <is>
          <t>SKÅNE LÄN</t>
        </is>
      </c>
      <c r="E3517" t="inlineStr">
        <is>
          <t>PERSTORP</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62296-2022</t>
        </is>
      </c>
      <c r="B3518" s="1" t="n">
        <v>44923</v>
      </c>
      <c r="C3518" s="1" t="n">
        <v>45796</v>
      </c>
      <c r="D3518" t="inlineStr">
        <is>
          <t>SKÅNE LÄN</t>
        </is>
      </c>
      <c r="E3518" t="inlineStr">
        <is>
          <t>PERSTORP</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62397-2022</t>
        </is>
      </c>
      <c r="B3519" s="1" t="n">
        <v>44923</v>
      </c>
      <c r="C3519" s="1" t="n">
        <v>45796</v>
      </c>
      <c r="D3519" t="inlineStr">
        <is>
          <t>SKÅNE LÄN</t>
        </is>
      </c>
      <c r="E3519" t="inlineStr">
        <is>
          <t>KRISTIANSTAD</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62413-2022</t>
        </is>
      </c>
      <c r="B3520" s="1" t="n">
        <v>44923</v>
      </c>
      <c r="C3520" s="1" t="n">
        <v>45796</v>
      </c>
      <c r="D3520" t="inlineStr">
        <is>
          <t>SKÅNE LÄN</t>
        </is>
      </c>
      <c r="E3520" t="inlineStr">
        <is>
          <t>SIMRISHAMN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62412-2022</t>
        </is>
      </c>
      <c r="B3521" s="1" t="n">
        <v>44924</v>
      </c>
      <c r="C3521" s="1" t="n">
        <v>45796</v>
      </c>
      <c r="D3521" t="inlineStr">
        <is>
          <t>SKÅNE LÄN</t>
        </is>
      </c>
      <c r="E3521" t="inlineStr">
        <is>
          <t>SIMRISHAMN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62403-2022</t>
        </is>
      </c>
      <c r="B3522" s="1" t="n">
        <v>44923</v>
      </c>
      <c r="C3522" s="1" t="n">
        <v>45796</v>
      </c>
      <c r="D3522" t="inlineStr">
        <is>
          <t>SKÅNE LÄN</t>
        </is>
      </c>
      <c r="E3522" t="inlineStr">
        <is>
          <t>SVALÖV</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429-2023</t>
        </is>
      </c>
      <c r="B3523" s="1" t="n">
        <v>44923</v>
      </c>
      <c r="C3523" s="1" t="n">
        <v>45796</v>
      </c>
      <c r="D3523" t="inlineStr">
        <is>
          <t>SKÅNE LÄN</t>
        </is>
      </c>
      <c r="E3523" t="inlineStr">
        <is>
          <t>KRISTIANSTAD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62526-2022</t>
        </is>
      </c>
      <c r="B3524" s="1" t="n">
        <v>44924</v>
      </c>
      <c r="C3524" s="1" t="n">
        <v>45796</v>
      </c>
      <c r="D3524" t="inlineStr">
        <is>
          <t>SKÅNE LÄN</t>
        </is>
      </c>
      <c r="E3524" t="inlineStr">
        <is>
          <t>BROMÖLLA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696-2023</t>
        </is>
      </c>
      <c r="B3525" s="1" t="n">
        <v>44925</v>
      </c>
      <c r="C3525" s="1" t="n">
        <v>45796</v>
      </c>
      <c r="D3525" t="inlineStr">
        <is>
          <t>SKÅNE LÄN</t>
        </is>
      </c>
      <c r="E3525" t="inlineStr">
        <is>
          <t>ESLÖV</t>
        </is>
      </c>
      <c r="F3525" t="inlineStr">
        <is>
          <t>Sveaskog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39-2023</t>
        </is>
      </c>
      <c r="B3526" s="1" t="n">
        <v>44928</v>
      </c>
      <c r="C3526" s="1" t="n">
        <v>45796</v>
      </c>
      <c r="D3526" t="inlineStr">
        <is>
          <t>SKÅNE LÄN</t>
        </is>
      </c>
      <c r="E3526" t="inlineStr">
        <is>
          <t>ÖRKELLJUNGA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119-2023</t>
        </is>
      </c>
      <c r="B3527" s="1" t="n">
        <v>44928</v>
      </c>
      <c r="C3527" s="1" t="n">
        <v>45796</v>
      </c>
      <c r="D3527" t="inlineStr">
        <is>
          <t>SKÅNE LÄN</t>
        </is>
      </c>
      <c r="E3527" t="inlineStr">
        <is>
          <t>HÖRBY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24-2023</t>
        </is>
      </c>
      <c r="B3528" s="1" t="n">
        <v>44928</v>
      </c>
      <c r="C3528" s="1" t="n">
        <v>45796</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217-2023</t>
        </is>
      </c>
      <c r="B3529" s="1" t="n">
        <v>44928</v>
      </c>
      <c r="C3529" s="1" t="n">
        <v>45796</v>
      </c>
      <c r="D3529" t="inlineStr">
        <is>
          <t>SKÅNE LÄN</t>
        </is>
      </c>
      <c r="E3529" t="inlineStr">
        <is>
          <t>KLIPPAN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393-2023</t>
        </is>
      </c>
      <c r="B3530" s="1" t="n">
        <v>44929</v>
      </c>
      <c r="C3530" s="1" t="n">
        <v>45796</v>
      </c>
      <c r="D3530" t="inlineStr">
        <is>
          <t>SKÅNE LÄN</t>
        </is>
      </c>
      <c r="E3530" t="inlineStr">
        <is>
          <t>KLIPPAN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308-2023</t>
        </is>
      </c>
      <c r="B3531" s="1" t="n">
        <v>44929</v>
      </c>
      <c r="C3531" s="1" t="n">
        <v>45796</v>
      </c>
      <c r="D3531" t="inlineStr">
        <is>
          <t>SKÅNE LÄN</t>
        </is>
      </c>
      <c r="E3531" t="inlineStr">
        <is>
          <t>ÄNGELHOLM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365-2023</t>
        </is>
      </c>
      <c r="B3532" s="1" t="n">
        <v>44929</v>
      </c>
      <c r="C3532" s="1" t="n">
        <v>45796</v>
      </c>
      <c r="D3532" t="inlineStr">
        <is>
          <t>SKÅNE LÄN</t>
        </is>
      </c>
      <c r="E3532" t="inlineStr">
        <is>
          <t>ÖSTRA GÖINGE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387-2023</t>
        </is>
      </c>
      <c r="B3533" s="1" t="n">
        <v>44929</v>
      </c>
      <c r="C3533" s="1" t="n">
        <v>45796</v>
      </c>
      <c r="D3533" t="inlineStr">
        <is>
          <t>SKÅNE LÄN</t>
        </is>
      </c>
      <c r="E3533" t="inlineStr">
        <is>
          <t>ÖRKELLJUNGA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427-2023</t>
        </is>
      </c>
      <c r="B3534" s="1" t="n">
        <v>44929</v>
      </c>
      <c r="C3534" s="1" t="n">
        <v>45796</v>
      </c>
      <c r="D3534" t="inlineStr">
        <is>
          <t>SKÅNE LÄN</t>
        </is>
      </c>
      <c r="E3534" t="inlineStr">
        <is>
          <t>ÖSTRA GÖINGE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425-2023</t>
        </is>
      </c>
      <c r="B3535" s="1" t="n">
        <v>44929</v>
      </c>
      <c r="C3535" s="1" t="n">
        <v>45796</v>
      </c>
      <c r="D3535" t="inlineStr">
        <is>
          <t>SKÅNE LÄN</t>
        </is>
      </c>
      <c r="E3535" t="inlineStr">
        <is>
          <t>ÖSTRA GÖINGE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557-2023</t>
        </is>
      </c>
      <c r="B3536" s="1" t="n">
        <v>44930</v>
      </c>
      <c r="C3536" s="1" t="n">
        <v>45796</v>
      </c>
      <c r="D3536" t="inlineStr">
        <is>
          <t>SKÅNE LÄN</t>
        </is>
      </c>
      <c r="E3536" t="inlineStr">
        <is>
          <t>ÖSTRA GÖINGE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593-2023</t>
        </is>
      </c>
      <c r="B3537" s="1" t="n">
        <v>44930</v>
      </c>
      <c r="C3537" s="1" t="n">
        <v>45796</v>
      </c>
      <c r="D3537" t="inlineStr">
        <is>
          <t>SKÅNE LÄN</t>
        </is>
      </c>
      <c r="E3537" t="inlineStr">
        <is>
          <t>KLIPPAN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497-2023</t>
        </is>
      </c>
      <c r="B3538" s="1" t="n">
        <v>44930</v>
      </c>
      <c r="C3538" s="1" t="n">
        <v>45796</v>
      </c>
      <c r="D3538" t="inlineStr">
        <is>
          <t>SKÅNE LÄN</t>
        </is>
      </c>
      <c r="E3538" t="inlineStr">
        <is>
          <t>SVALÖV</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560-2023</t>
        </is>
      </c>
      <c r="B3539" s="1" t="n">
        <v>44930</v>
      </c>
      <c r="C3539" s="1" t="n">
        <v>45796</v>
      </c>
      <c r="D3539" t="inlineStr">
        <is>
          <t>SKÅNE LÄN</t>
        </is>
      </c>
      <c r="E3539" t="inlineStr">
        <is>
          <t>ÖSTRA GÖINGE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595-2023</t>
        </is>
      </c>
      <c r="B3540" s="1" t="n">
        <v>44930</v>
      </c>
      <c r="C3540" s="1" t="n">
        <v>45796</v>
      </c>
      <c r="D3540" t="inlineStr">
        <is>
          <t>SKÅNE LÄN</t>
        </is>
      </c>
      <c r="E3540" t="inlineStr">
        <is>
          <t>ÄNGELHOLM</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635-2023</t>
        </is>
      </c>
      <c r="B3541" s="1" t="n">
        <v>44930</v>
      </c>
      <c r="C3541" s="1" t="n">
        <v>45796</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876-2023</t>
        </is>
      </c>
      <c r="B3542" s="1" t="n">
        <v>44931</v>
      </c>
      <c r="C3542" s="1" t="n">
        <v>45796</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939-2023</t>
        </is>
      </c>
      <c r="B3543" s="1" t="n">
        <v>44933</v>
      </c>
      <c r="C3543" s="1" t="n">
        <v>45796</v>
      </c>
      <c r="D3543" t="inlineStr">
        <is>
          <t>SKÅNE LÄN</t>
        </is>
      </c>
      <c r="E3543" t="inlineStr">
        <is>
          <t>KRISTIANSTAD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941-2023</t>
        </is>
      </c>
      <c r="B3544" s="1" t="n">
        <v>44933</v>
      </c>
      <c r="C3544" s="1" t="n">
        <v>45796</v>
      </c>
      <c r="D3544" t="inlineStr">
        <is>
          <t>SKÅNE LÄN</t>
        </is>
      </c>
      <c r="E3544" t="inlineStr">
        <is>
          <t>KRISTIANSTAD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981-2023</t>
        </is>
      </c>
      <c r="B3545" s="1" t="n">
        <v>44935</v>
      </c>
      <c r="C3545" s="1" t="n">
        <v>45796</v>
      </c>
      <c r="D3545" t="inlineStr">
        <is>
          <t>SKÅNE LÄN</t>
        </is>
      </c>
      <c r="E3545" t="inlineStr">
        <is>
          <t>ÖRKELLJUNGA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1106-2023</t>
        </is>
      </c>
      <c r="B3546" s="1" t="n">
        <v>44935</v>
      </c>
      <c r="C3546" s="1" t="n">
        <v>45796</v>
      </c>
      <c r="D3546" t="inlineStr">
        <is>
          <t>SKÅNE LÄN</t>
        </is>
      </c>
      <c r="E3546" t="inlineStr">
        <is>
          <t>HÖRBY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1222-2023</t>
        </is>
      </c>
      <c r="B3547" s="1" t="n">
        <v>44935</v>
      </c>
      <c r="C3547" s="1" t="n">
        <v>45796</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1169-2023</t>
        </is>
      </c>
      <c r="B3548" s="1" t="n">
        <v>44935</v>
      </c>
      <c r="C3548" s="1" t="n">
        <v>45796</v>
      </c>
      <c r="D3548" t="inlineStr">
        <is>
          <t>SKÅNE LÄN</t>
        </is>
      </c>
      <c r="E3548" t="inlineStr">
        <is>
          <t>ÖSTRA GÖINGE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1280-2023</t>
        </is>
      </c>
      <c r="B3549" s="1" t="n">
        <v>44936</v>
      </c>
      <c r="C3549" s="1" t="n">
        <v>45796</v>
      </c>
      <c r="D3549" t="inlineStr">
        <is>
          <t>SKÅNE LÄN</t>
        </is>
      </c>
      <c r="E3549" t="inlineStr">
        <is>
          <t>KLIPPAN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1397-2023</t>
        </is>
      </c>
      <c r="B3550" s="1" t="n">
        <v>44936</v>
      </c>
      <c r="C3550" s="1" t="n">
        <v>45796</v>
      </c>
      <c r="D3550" t="inlineStr">
        <is>
          <t>SKÅNE LÄN</t>
        </is>
      </c>
      <c r="E3550" t="inlineStr">
        <is>
          <t>ÖRKELLJUNGA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1426-2023</t>
        </is>
      </c>
      <c r="B3551" s="1" t="n">
        <v>44937</v>
      </c>
      <c r="C3551" s="1" t="n">
        <v>45796</v>
      </c>
      <c r="D3551" t="inlineStr">
        <is>
          <t>SKÅNE LÄN</t>
        </is>
      </c>
      <c r="E3551" t="inlineStr">
        <is>
          <t>HÄSSLEHOLM</t>
        </is>
      </c>
      <c r="F3551" t="inlineStr">
        <is>
          <t>Sveaskog</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1505-2023</t>
        </is>
      </c>
      <c r="B3552" s="1" t="n">
        <v>44937</v>
      </c>
      <c r="C3552" s="1" t="n">
        <v>45796</v>
      </c>
      <c r="D3552" t="inlineStr">
        <is>
          <t>SKÅNE LÄN</t>
        </is>
      </c>
      <c r="E3552" t="inlineStr">
        <is>
          <t>SIMRISHAMN</t>
        </is>
      </c>
      <c r="F3552" t="inlineStr">
        <is>
          <t>Övriga Aktiebolag</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1538-2023</t>
        </is>
      </c>
      <c r="B3553" s="1" t="n">
        <v>44937</v>
      </c>
      <c r="C3553" s="1" t="n">
        <v>45796</v>
      </c>
      <c r="D3553" t="inlineStr">
        <is>
          <t>SKÅNE LÄN</t>
        </is>
      </c>
      <c r="E3553" t="inlineStr">
        <is>
          <t>ÖRKELLJUNGA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1560-2023</t>
        </is>
      </c>
      <c r="B3554" s="1" t="n">
        <v>44937</v>
      </c>
      <c r="C3554" s="1" t="n">
        <v>45796</v>
      </c>
      <c r="D3554" t="inlineStr">
        <is>
          <t>SKÅNE LÄN</t>
        </is>
      </c>
      <c r="E3554" t="inlineStr">
        <is>
          <t>HÄSSLEHOLM</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1427-2023</t>
        </is>
      </c>
      <c r="B3555" s="1" t="n">
        <v>44937</v>
      </c>
      <c r="C3555" s="1" t="n">
        <v>45796</v>
      </c>
      <c r="D3555" t="inlineStr">
        <is>
          <t>SKÅNE LÄN</t>
        </is>
      </c>
      <c r="E3555" t="inlineStr">
        <is>
          <t>KRISTIANSTAD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1498-2023</t>
        </is>
      </c>
      <c r="B3556" s="1" t="n">
        <v>44937</v>
      </c>
      <c r="C3556" s="1" t="n">
        <v>45796</v>
      </c>
      <c r="D3556" t="inlineStr">
        <is>
          <t>SKÅNE LÄN</t>
        </is>
      </c>
      <c r="E3556" t="inlineStr">
        <is>
          <t>SJÖBO</t>
        </is>
      </c>
      <c r="F3556" t="inlineStr">
        <is>
          <t>Övriga Aktiebolag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1557-2023</t>
        </is>
      </c>
      <c r="B3557" s="1" t="n">
        <v>44937</v>
      </c>
      <c r="C3557" s="1" t="n">
        <v>45796</v>
      </c>
      <c r="D3557" t="inlineStr">
        <is>
          <t>SKÅNE LÄN</t>
        </is>
      </c>
      <c r="E3557" t="inlineStr">
        <is>
          <t>HÄSSLEHOLM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1562-2023</t>
        </is>
      </c>
      <c r="B3558" s="1" t="n">
        <v>44937</v>
      </c>
      <c r="C3558" s="1" t="n">
        <v>45796</v>
      </c>
      <c r="D3558" t="inlineStr">
        <is>
          <t>SKÅNE LÄN</t>
        </is>
      </c>
      <c r="E3558" t="inlineStr">
        <is>
          <t>HÄSSLEHOLM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1553-2023</t>
        </is>
      </c>
      <c r="B3559" s="1" t="n">
        <v>44937</v>
      </c>
      <c r="C3559" s="1" t="n">
        <v>45796</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1575-2023</t>
        </is>
      </c>
      <c r="B3560" s="1" t="n">
        <v>44937</v>
      </c>
      <c r="C3560" s="1" t="n">
        <v>45796</v>
      </c>
      <c r="D3560" t="inlineStr">
        <is>
          <t>SKÅNE LÄN</t>
        </is>
      </c>
      <c r="E3560" t="inlineStr">
        <is>
          <t>ÖSTRA GÖINGE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1936-2023</t>
        </is>
      </c>
      <c r="B3561" s="1" t="n">
        <v>44937</v>
      </c>
      <c r="C3561" s="1" t="n">
        <v>45796</v>
      </c>
      <c r="D3561" t="inlineStr">
        <is>
          <t>SKÅNE LÄN</t>
        </is>
      </c>
      <c r="E3561" t="inlineStr">
        <is>
          <t>ÖSTRA GÖINGE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1953-2023</t>
        </is>
      </c>
      <c r="B3562" s="1" t="n">
        <v>44937</v>
      </c>
      <c r="C3562" s="1" t="n">
        <v>45796</v>
      </c>
      <c r="D3562" t="inlineStr">
        <is>
          <t>SKÅNE LÄN</t>
        </is>
      </c>
      <c r="E3562" t="inlineStr">
        <is>
          <t>ÖSTRA GÖINGE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1726-2023</t>
        </is>
      </c>
      <c r="B3563" s="1" t="n">
        <v>44938</v>
      </c>
      <c r="C3563" s="1" t="n">
        <v>45796</v>
      </c>
      <c r="D3563" t="inlineStr">
        <is>
          <t>SKÅNE LÄN</t>
        </is>
      </c>
      <c r="E3563" t="inlineStr">
        <is>
          <t>KRISTIANSTAD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2015-2023</t>
        </is>
      </c>
      <c r="B3564" s="1" t="n">
        <v>44939</v>
      </c>
      <c r="C3564" s="1" t="n">
        <v>45796</v>
      </c>
      <c r="D3564" t="inlineStr">
        <is>
          <t>SKÅNE LÄN</t>
        </is>
      </c>
      <c r="E3564" t="inlineStr">
        <is>
          <t>PERSTORP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2081-2023</t>
        </is>
      </c>
      <c r="B3565" s="1" t="n">
        <v>44939</v>
      </c>
      <c r="C3565" s="1" t="n">
        <v>45796</v>
      </c>
      <c r="D3565" t="inlineStr">
        <is>
          <t>SKÅNE LÄN</t>
        </is>
      </c>
      <c r="E3565" t="inlineStr">
        <is>
          <t>ÖRKELLJUNGA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2088-2023</t>
        </is>
      </c>
      <c r="B3566" s="1" t="n">
        <v>44939</v>
      </c>
      <c r="C3566" s="1" t="n">
        <v>45796</v>
      </c>
      <c r="D3566" t="inlineStr">
        <is>
          <t>SKÅNE LÄN</t>
        </is>
      </c>
      <c r="E3566" t="inlineStr">
        <is>
          <t>ÖRKELLJUNGA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1900-2023</t>
        </is>
      </c>
      <c r="B3567" s="1" t="n">
        <v>44939</v>
      </c>
      <c r="C3567" s="1" t="n">
        <v>45796</v>
      </c>
      <c r="D3567" t="inlineStr">
        <is>
          <t>SKÅNE LÄN</t>
        </is>
      </c>
      <c r="E3567" t="inlineStr">
        <is>
          <t>ÖRKELLJUNGA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2092-2023</t>
        </is>
      </c>
      <c r="B3568" s="1" t="n">
        <v>44939</v>
      </c>
      <c r="C3568" s="1" t="n">
        <v>45796</v>
      </c>
      <c r="D3568" t="inlineStr">
        <is>
          <t>SKÅNE LÄN</t>
        </is>
      </c>
      <c r="E3568" t="inlineStr">
        <is>
          <t>ÖRKELLJUNGA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2090-2023</t>
        </is>
      </c>
      <c r="B3569" s="1" t="n">
        <v>44939</v>
      </c>
      <c r="C3569" s="1" t="n">
        <v>45796</v>
      </c>
      <c r="D3569" t="inlineStr">
        <is>
          <t>SKÅNE LÄN</t>
        </is>
      </c>
      <c r="E3569" t="inlineStr">
        <is>
          <t>ÖRKELLJUNGA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2086-2023</t>
        </is>
      </c>
      <c r="B3570" s="1" t="n">
        <v>44939</v>
      </c>
      <c r="C3570" s="1" t="n">
        <v>45796</v>
      </c>
      <c r="D3570" t="inlineStr">
        <is>
          <t>SKÅNE LÄN</t>
        </is>
      </c>
      <c r="E3570" t="inlineStr">
        <is>
          <t>ÖRKELLJUNGA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2145-2023</t>
        </is>
      </c>
      <c r="B3571" s="1" t="n">
        <v>44940</v>
      </c>
      <c r="C3571" s="1" t="n">
        <v>45796</v>
      </c>
      <c r="D3571" t="inlineStr">
        <is>
          <t>SKÅNE LÄN</t>
        </is>
      </c>
      <c r="E3571" t="inlineStr">
        <is>
          <t>HÖRBY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2359-2023</t>
        </is>
      </c>
      <c r="B3572" s="1" t="n">
        <v>44942</v>
      </c>
      <c r="C3572" s="1" t="n">
        <v>45796</v>
      </c>
      <c r="D3572" t="inlineStr">
        <is>
          <t>SKÅNE LÄN</t>
        </is>
      </c>
      <c r="E3572" t="inlineStr">
        <is>
          <t>ÖRKELLJUNGA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2257-2023</t>
        </is>
      </c>
      <c r="B3573" s="1" t="n">
        <v>44942</v>
      </c>
      <c r="C3573" s="1" t="n">
        <v>45796</v>
      </c>
      <c r="D3573" t="inlineStr">
        <is>
          <t>SKÅNE LÄN</t>
        </is>
      </c>
      <c r="E3573" t="inlineStr">
        <is>
          <t>KRISTIANSTAD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2663-2023</t>
        </is>
      </c>
      <c r="B3574" s="1" t="n">
        <v>44942</v>
      </c>
      <c r="C3574" s="1" t="n">
        <v>45796</v>
      </c>
      <c r="D3574" t="inlineStr">
        <is>
          <t>SKÅNE LÄN</t>
        </is>
      </c>
      <c r="E3574" t="inlineStr">
        <is>
          <t>HÄSSLEHOLM</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2449-2023</t>
        </is>
      </c>
      <c r="B3575" s="1" t="n">
        <v>44943</v>
      </c>
      <c r="C3575" s="1" t="n">
        <v>45796</v>
      </c>
      <c r="D3575" t="inlineStr">
        <is>
          <t>SKÅNE LÄN</t>
        </is>
      </c>
      <c r="E3575" t="inlineStr">
        <is>
          <t>SJÖBO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2554-2023</t>
        </is>
      </c>
      <c r="B3576" s="1" t="n">
        <v>44943</v>
      </c>
      <c r="C3576" s="1" t="n">
        <v>45796</v>
      </c>
      <c r="D3576" t="inlineStr">
        <is>
          <t>SKÅNE LÄN</t>
        </is>
      </c>
      <c r="E3576" t="inlineStr">
        <is>
          <t>SIMRISHAMN</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2747-2023</t>
        </is>
      </c>
      <c r="B3577" s="1" t="n">
        <v>44944</v>
      </c>
      <c r="C3577" s="1" t="n">
        <v>45796</v>
      </c>
      <c r="D3577" t="inlineStr">
        <is>
          <t>SKÅNE LÄN</t>
        </is>
      </c>
      <c r="E3577" t="inlineStr">
        <is>
          <t>HÖRBY</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2743-2023</t>
        </is>
      </c>
      <c r="B3578" s="1" t="n">
        <v>44944</v>
      </c>
      <c r="C3578" s="1" t="n">
        <v>45796</v>
      </c>
      <c r="D3578" t="inlineStr">
        <is>
          <t>SKÅNE LÄN</t>
        </is>
      </c>
      <c r="E3578" t="inlineStr">
        <is>
          <t>HÄSSLEHOLM</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2755-2023</t>
        </is>
      </c>
      <c r="B3579" s="1" t="n">
        <v>44944</v>
      </c>
      <c r="C3579" s="1" t="n">
        <v>45796</v>
      </c>
      <c r="D3579" t="inlineStr">
        <is>
          <t>SKÅNE LÄN</t>
        </is>
      </c>
      <c r="E3579" t="inlineStr">
        <is>
          <t>KLIPPAN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2752-2023</t>
        </is>
      </c>
      <c r="B3580" s="1" t="n">
        <v>44944</v>
      </c>
      <c r="C3580" s="1" t="n">
        <v>45796</v>
      </c>
      <c r="D3580" t="inlineStr">
        <is>
          <t>SKÅNE LÄN</t>
        </is>
      </c>
      <c r="E3580" t="inlineStr">
        <is>
          <t>HÖRBY</t>
        </is>
      </c>
      <c r="F3580" t="inlineStr">
        <is>
          <t>Sveaskog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3198-2023</t>
        </is>
      </c>
      <c r="B3581" s="1" t="n">
        <v>44944</v>
      </c>
      <c r="C3581" s="1" t="n">
        <v>45796</v>
      </c>
      <c r="D3581" t="inlineStr">
        <is>
          <t>SKÅNE LÄN</t>
        </is>
      </c>
      <c r="E3581" t="inlineStr">
        <is>
          <t>KLIPPAN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3183-2023</t>
        </is>
      </c>
      <c r="B3582" s="1" t="n">
        <v>44944</v>
      </c>
      <c r="C3582" s="1" t="n">
        <v>45796</v>
      </c>
      <c r="D3582" t="inlineStr">
        <is>
          <t>SKÅNE LÄN</t>
        </is>
      </c>
      <c r="E3582" t="inlineStr">
        <is>
          <t>KLIPPAN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2829-2023</t>
        </is>
      </c>
      <c r="B3583" s="1" t="n">
        <v>44945</v>
      </c>
      <c r="C3583" s="1" t="n">
        <v>45796</v>
      </c>
      <c r="D3583" t="inlineStr">
        <is>
          <t>SKÅNE LÄN</t>
        </is>
      </c>
      <c r="E3583" t="inlineStr">
        <is>
          <t>KRISTIANSTAD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2834-2023</t>
        </is>
      </c>
      <c r="B3584" s="1" t="n">
        <v>44945</v>
      </c>
      <c r="C3584" s="1" t="n">
        <v>45796</v>
      </c>
      <c r="D3584" t="inlineStr">
        <is>
          <t>SKÅNE LÄN</t>
        </is>
      </c>
      <c r="E3584" t="inlineStr">
        <is>
          <t>KRISTIANSTAD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2828-2023</t>
        </is>
      </c>
      <c r="B3585" s="1" t="n">
        <v>44945</v>
      </c>
      <c r="C3585" s="1" t="n">
        <v>45796</v>
      </c>
      <c r="D3585" t="inlineStr">
        <is>
          <t>SKÅNE LÄN</t>
        </is>
      </c>
      <c r="E3585" t="inlineStr">
        <is>
          <t>KRISTIANSTAD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2823-2023</t>
        </is>
      </c>
      <c r="B3586" s="1" t="n">
        <v>44945</v>
      </c>
      <c r="C3586" s="1" t="n">
        <v>45796</v>
      </c>
      <c r="D3586" t="inlineStr">
        <is>
          <t>SKÅNE LÄN</t>
        </is>
      </c>
      <c r="E3586" t="inlineStr">
        <is>
          <t>OSBY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2882-2023</t>
        </is>
      </c>
      <c r="B3587" s="1" t="n">
        <v>44945</v>
      </c>
      <c r="C3587" s="1" t="n">
        <v>45796</v>
      </c>
      <c r="D3587" t="inlineStr">
        <is>
          <t>SKÅNE LÄN</t>
        </is>
      </c>
      <c r="E3587" t="inlineStr">
        <is>
          <t>HÄSSLEHOLM</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2950-2023</t>
        </is>
      </c>
      <c r="B3588" s="1" t="n">
        <v>44945</v>
      </c>
      <c r="C3588" s="1" t="n">
        <v>45796</v>
      </c>
      <c r="D3588" t="inlineStr">
        <is>
          <t>SKÅNE LÄN</t>
        </is>
      </c>
      <c r="E3588" t="inlineStr">
        <is>
          <t>PERSTORP</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3039-2023</t>
        </is>
      </c>
      <c r="B3589" s="1" t="n">
        <v>44946</v>
      </c>
      <c r="C3589" s="1" t="n">
        <v>45796</v>
      </c>
      <c r="D3589" t="inlineStr">
        <is>
          <t>SKÅNE LÄN</t>
        </is>
      </c>
      <c r="E3589" t="inlineStr">
        <is>
          <t>ÖSTRA GÖINGE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3135-2023</t>
        </is>
      </c>
      <c r="B3590" s="1" t="n">
        <v>44946</v>
      </c>
      <c r="C3590" s="1" t="n">
        <v>45796</v>
      </c>
      <c r="D3590" t="inlineStr">
        <is>
          <t>SKÅNE LÄN</t>
        </is>
      </c>
      <c r="E3590" t="inlineStr">
        <is>
          <t>HÄSSLEHOLM</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3123-2023</t>
        </is>
      </c>
      <c r="B3591" s="1" t="n">
        <v>44946</v>
      </c>
      <c r="C3591" s="1" t="n">
        <v>45796</v>
      </c>
      <c r="D3591" t="inlineStr">
        <is>
          <t>SKÅNE LÄN</t>
        </is>
      </c>
      <c r="E3591" t="inlineStr">
        <is>
          <t>HÄSSLEHOLM</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3069-2023</t>
        </is>
      </c>
      <c r="B3592" s="1" t="n">
        <v>44946</v>
      </c>
      <c r="C3592" s="1" t="n">
        <v>45796</v>
      </c>
      <c r="D3592" t="inlineStr">
        <is>
          <t>SKÅNE LÄN</t>
        </is>
      </c>
      <c r="E3592" t="inlineStr">
        <is>
          <t>HÄSSLEHOLM</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3126-2023</t>
        </is>
      </c>
      <c r="B3593" s="1" t="n">
        <v>44946</v>
      </c>
      <c r="C3593" s="1" t="n">
        <v>45796</v>
      </c>
      <c r="D3593" t="inlineStr">
        <is>
          <t>SKÅNE LÄN</t>
        </is>
      </c>
      <c r="E3593" t="inlineStr">
        <is>
          <t>HÄSSLEHOLM</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3158-2023</t>
        </is>
      </c>
      <c r="B3594" s="1" t="n">
        <v>44946</v>
      </c>
      <c r="C3594" s="1" t="n">
        <v>45796</v>
      </c>
      <c r="D3594" t="inlineStr">
        <is>
          <t>SKÅNE LÄN</t>
        </is>
      </c>
      <c r="E3594" t="inlineStr">
        <is>
          <t>ÖSTRA GÖINGE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3157-2023</t>
        </is>
      </c>
      <c r="B3595" s="1" t="n">
        <v>44946</v>
      </c>
      <c r="C3595" s="1" t="n">
        <v>45796</v>
      </c>
      <c r="D3595" t="inlineStr">
        <is>
          <t>SKÅNE LÄN</t>
        </is>
      </c>
      <c r="E3595" t="inlineStr">
        <is>
          <t>ÖSTRA GÖINGE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3132-2023</t>
        </is>
      </c>
      <c r="B3596" s="1" t="n">
        <v>44946</v>
      </c>
      <c r="C3596" s="1" t="n">
        <v>45796</v>
      </c>
      <c r="D3596" t="inlineStr">
        <is>
          <t>SKÅNE LÄN</t>
        </is>
      </c>
      <c r="E3596" t="inlineStr">
        <is>
          <t>HÄSSLEHOLM</t>
        </is>
      </c>
      <c r="G3596" t="n">
        <v>8.699999999999999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3608-2023</t>
        </is>
      </c>
      <c r="B3597" s="1" t="n">
        <v>44946</v>
      </c>
      <c r="C3597" s="1" t="n">
        <v>45796</v>
      </c>
      <c r="D3597" t="inlineStr">
        <is>
          <t>SKÅNE LÄN</t>
        </is>
      </c>
      <c r="E3597" t="inlineStr">
        <is>
          <t>KRISTIANSTAD</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3239-2023</t>
        </is>
      </c>
      <c r="B3598" s="1" t="n">
        <v>44946</v>
      </c>
      <c r="C3598" s="1" t="n">
        <v>45796</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3258-2023</t>
        </is>
      </c>
      <c r="B3599" s="1" t="n">
        <v>44948</v>
      </c>
      <c r="C3599" s="1" t="n">
        <v>45796</v>
      </c>
      <c r="D3599" t="inlineStr">
        <is>
          <t>SKÅNE LÄN</t>
        </is>
      </c>
      <c r="E3599" t="inlineStr">
        <is>
          <t>SJÖBO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3356-2023</t>
        </is>
      </c>
      <c r="B3600" s="1" t="n">
        <v>44949</v>
      </c>
      <c r="C3600" s="1" t="n">
        <v>45796</v>
      </c>
      <c r="D3600" t="inlineStr">
        <is>
          <t>SKÅNE LÄN</t>
        </is>
      </c>
      <c r="E3600" t="inlineStr">
        <is>
          <t>SJÖBO</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3349-2023</t>
        </is>
      </c>
      <c r="B3601" s="1" t="n">
        <v>44949</v>
      </c>
      <c r="C3601" s="1" t="n">
        <v>45796</v>
      </c>
      <c r="D3601" t="inlineStr">
        <is>
          <t>SKÅNE LÄN</t>
        </is>
      </c>
      <c r="E3601" t="inlineStr">
        <is>
          <t>HÄSSLEHOLM</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3325-2023</t>
        </is>
      </c>
      <c r="B3602" s="1" t="n">
        <v>44949</v>
      </c>
      <c r="C3602" s="1" t="n">
        <v>45796</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3364-2023</t>
        </is>
      </c>
      <c r="B3603" s="1" t="n">
        <v>44949</v>
      </c>
      <c r="C3603" s="1" t="n">
        <v>45796</v>
      </c>
      <c r="D3603" t="inlineStr">
        <is>
          <t>SKÅNE LÄN</t>
        </is>
      </c>
      <c r="E3603" t="inlineStr">
        <is>
          <t>HÄSSLEHOLM</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3291-2023</t>
        </is>
      </c>
      <c r="B3604" s="1" t="n">
        <v>44949</v>
      </c>
      <c r="C3604" s="1" t="n">
        <v>45796</v>
      </c>
      <c r="D3604" t="inlineStr">
        <is>
          <t>SKÅNE LÄN</t>
        </is>
      </c>
      <c r="E3604" t="inlineStr">
        <is>
          <t>HÄSSLEHOLM</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3451-2023</t>
        </is>
      </c>
      <c r="B3605" s="1" t="n">
        <v>44949</v>
      </c>
      <c r="C3605" s="1" t="n">
        <v>45796</v>
      </c>
      <c r="D3605" t="inlineStr">
        <is>
          <t>SKÅNE LÄN</t>
        </is>
      </c>
      <c r="E3605" t="inlineStr">
        <is>
          <t>OSBY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3452-2023</t>
        </is>
      </c>
      <c r="B3606" s="1" t="n">
        <v>44949</v>
      </c>
      <c r="C3606" s="1" t="n">
        <v>45796</v>
      </c>
      <c r="D3606" t="inlineStr">
        <is>
          <t>SKÅNE LÄN</t>
        </is>
      </c>
      <c r="E3606" t="inlineStr">
        <is>
          <t>HÄSSLEHOLM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3747-2023</t>
        </is>
      </c>
      <c r="B3607" s="1" t="n">
        <v>44949</v>
      </c>
      <c r="C3607" s="1" t="n">
        <v>45796</v>
      </c>
      <c r="D3607" t="inlineStr">
        <is>
          <t>SKÅNE LÄN</t>
        </is>
      </c>
      <c r="E3607" t="inlineStr">
        <is>
          <t>ÖSTRA GÖINGE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3531-2023</t>
        </is>
      </c>
      <c r="B3608" s="1" t="n">
        <v>44950</v>
      </c>
      <c r="C3608" s="1" t="n">
        <v>45796</v>
      </c>
      <c r="D3608" t="inlineStr">
        <is>
          <t>SKÅNE LÄN</t>
        </is>
      </c>
      <c r="E3608" t="inlineStr">
        <is>
          <t>HÄSSLEHOLM</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3671-2023</t>
        </is>
      </c>
      <c r="B3609" s="1" t="n">
        <v>44950</v>
      </c>
      <c r="C3609" s="1" t="n">
        <v>45796</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3633-2023</t>
        </is>
      </c>
      <c r="B3610" s="1" t="n">
        <v>44950</v>
      </c>
      <c r="C3610" s="1" t="n">
        <v>45796</v>
      </c>
      <c r="D3610" t="inlineStr">
        <is>
          <t>SKÅNE LÄN</t>
        </is>
      </c>
      <c r="E3610" t="inlineStr">
        <is>
          <t>ÄNGELHOLM</t>
        </is>
      </c>
      <c r="G3610" t="n">
        <v>9.5</v>
      </c>
      <c r="H3610" t="n">
        <v>0</v>
      </c>
      <c r="I3610" t="n">
        <v>0</v>
      </c>
      <c r="J3610" t="n">
        <v>0</v>
      </c>
      <c r="K3610" t="n">
        <v>0</v>
      </c>
      <c r="L3610" t="n">
        <v>0</v>
      </c>
      <c r="M3610" t="n">
        <v>0</v>
      </c>
      <c r="N3610" t="n">
        <v>0</v>
      </c>
      <c r="O3610" t="n">
        <v>0</v>
      </c>
      <c r="P3610" t="n">
        <v>0</v>
      </c>
      <c r="Q3610" t="n">
        <v>0</v>
      </c>
      <c r="R3610" s="2" t="inlineStr"/>
    </row>
    <row r="3611" ht="15" customHeight="1">
      <c r="A3611" t="inlineStr">
        <is>
          <t>A 3668-2023</t>
        </is>
      </c>
      <c r="B3611" s="1" t="n">
        <v>44950</v>
      </c>
      <c r="C3611" s="1" t="n">
        <v>45796</v>
      </c>
      <c r="D3611" t="inlineStr">
        <is>
          <t>SKÅNE LÄN</t>
        </is>
      </c>
      <c r="E3611" t="inlineStr">
        <is>
          <t>OSBY</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3855-2023</t>
        </is>
      </c>
      <c r="B3612" s="1" t="n">
        <v>44951</v>
      </c>
      <c r="C3612" s="1" t="n">
        <v>45796</v>
      </c>
      <c r="D3612" t="inlineStr">
        <is>
          <t>SKÅNE LÄN</t>
        </is>
      </c>
      <c r="E3612" t="inlineStr">
        <is>
          <t>HÄSSLEHOLM</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3875-2023</t>
        </is>
      </c>
      <c r="B3613" s="1" t="n">
        <v>44951</v>
      </c>
      <c r="C3613" s="1" t="n">
        <v>45796</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3864-2023</t>
        </is>
      </c>
      <c r="B3614" s="1" t="n">
        <v>44951</v>
      </c>
      <c r="C3614" s="1" t="n">
        <v>45796</v>
      </c>
      <c r="D3614" t="inlineStr">
        <is>
          <t>SKÅNE LÄN</t>
        </is>
      </c>
      <c r="E3614" t="inlineStr">
        <is>
          <t>ÖRKELLJUNGA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3874-2023</t>
        </is>
      </c>
      <c r="B3615" s="1" t="n">
        <v>44951</v>
      </c>
      <c r="C3615" s="1" t="n">
        <v>45796</v>
      </c>
      <c r="D3615" t="inlineStr">
        <is>
          <t>SKÅNE LÄN</t>
        </is>
      </c>
      <c r="E3615" t="inlineStr">
        <is>
          <t>OSBY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4109-2023</t>
        </is>
      </c>
      <c r="B3616" s="1" t="n">
        <v>44952</v>
      </c>
      <c r="C3616" s="1" t="n">
        <v>45796</v>
      </c>
      <c r="D3616" t="inlineStr">
        <is>
          <t>SKÅNE LÄN</t>
        </is>
      </c>
      <c r="E3616" t="inlineStr">
        <is>
          <t>ÄNGELHOLM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3926-2023</t>
        </is>
      </c>
      <c r="B3617" s="1" t="n">
        <v>44952</v>
      </c>
      <c r="C3617" s="1" t="n">
        <v>45796</v>
      </c>
      <c r="D3617" t="inlineStr">
        <is>
          <t>SKÅNE LÄN</t>
        </is>
      </c>
      <c r="E3617" t="inlineStr">
        <is>
          <t>ÖRKELLJUNGA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3932-2023</t>
        </is>
      </c>
      <c r="B3618" s="1" t="n">
        <v>44952</v>
      </c>
      <c r="C3618" s="1" t="n">
        <v>45796</v>
      </c>
      <c r="D3618" t="inlineStr">
        <is>
          <t>SKÅNE LÄN</t>
        </is>
      </c>
      <c r="E3618" t="inlineStr">
        <is>
          <t>ÖRKELLJUNGA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4655-2023</t>
        </is>
      </c>
      <c r="B3619" s="1" t="n">
        <v>44952</v>
      </c>
      <c r="C3619" s="1" t="n">
        <v>45796</v>
      </c>
      <c r="D3619" t="inlineStr">
        <is>
          <t>SKÅNE LÄN</t>
        </is>
      </c>
      <c r="E3619" t="inlineStr">
        <is>
          <t>KLIPPAN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4042-2023</t>
        </is>
      </c>
      <c r="B3620" s="1" t="n">
        <v>44952</v>
      </c>
      <c r="C3620" s="1" t="n">
        <v>45796</v>
      </c>
      <c r="D3620" t="inlineStr">
        <is>
          <t>SKÅNE LÄN</t>
        </is>
      </c>
      <c r="E3620" t="inlineStr">
        <is>
          <t>HÄSSLEHOLM</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4060-2023</t>
        </is>
      </c>
      <c r="B3621" s="1" t="n">
        <v>44952</v>
      </c>
      <c r="C3621" s="1" t="n">
        <v>45796</v>
      </c>
      <c r="D3621" t="inlineStr">
        <is>
          <t>SKÅNE LÄN</t>
        </is>
      </c>
      <c r="E3621" t="inlineStr">
        <is>
          <t>KLIPPAN</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4677-2023</t>
        </is>
      </c>
      <c r="B3622" s="1" t="n">
        <v>44952</v>
      </c>
      <c r="C3622" s="1" t="n">
        <v>45796</v>
      </c>
      <c r="D3622" t="inlineStr">
        <is>
          <t>SKÅNE LÄN</t>
        </is>
      </c>
      <c r="E3622" t="inlineStr">
        <is>
          <t>TOMELILLA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4159-2023</t>
        </is>
      </c>
      <c r="B3623" s="1" t="n">
        <v>44953</v>
      </c>
      <c r="C3623" s="1" t="n">
        <v>45796</v>
      </c>
      <c r="D3623" t="inlineStr">
        <is>
          <t>SKÅNE LÄN</t>
        </is>
      </c>
      <c r="E3623" t="inlineStr">
        <is>
          <t>ÅSTORP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4189-2023</t>
        </is>
      </c>
      <c r="B3624" s="1" t="n">
        <v>44953</v>
      </c>
      <c r="C3624" s="1" t="n">
        <v>45796</v>
      </c>
      <c r="D3624" t="inlineStr">
        <is>
          <t>SKÅNE LÄN</t>
        </is>
      </c>
      <c r="E3624" t="inlineStr">
        <is>
          <t>KRISTIANSTAD</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4140-2023</t>
        </is>
      </c>
      <c r="B3625" s="1" t="n">
        <v>44953</v>
      </c>
      <c r="C3625" s="1" t="n">
        <v>45796</v>
      </c>
      <c r="D3625" t="inlineStr">
        <is>
          <t>SKÅNE LÄN</t>
        </is>
      </c>
      <c r="E3625" t="inlineStr">
        <is>
          <t>HÄSSLEHOLM</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4156-2023</t>
        </is>
      </c>
      <c r="B3626" s="1" t="n">
        <v>44953</v>
      </c>
      <c r="C3626" s="1" t="n">
        <v>45796</v>
      </c>
      <c r="D3626" t="inlineStr">
        <is>
          <t>SKÅNE LÄN</t>
        </is>
      </c>
      <c r="E3626" t="inlineStr">
        <is>
          <t>ÅSTORP</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4187-2023</t>
        </is>
      </c>
      <c r="B3627" s="1" t="n">
        <v>44953</v>
      </c>
      <c r="C3627" s="1" t="n">
        <v>45796</v>
      </c>
      <c r="D3627" t="inlineStr">
        <is>
          <t>SKÅNE LÄN</t>
        </is>
      </c>
      <c r="E3627" t="inlineStr">
        <is>
          <t>HÄSSLEHOLM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4191-2023</t>
        </is>
      </c>
      <c r="B3628" s="1" t="n">
        <v>44953</v>
      </c>
      <c r="C3628" s="1" t="n">
        <v>45796</v>
      </c>
      <c r="D3628" t="inlineStr">
        <is>
          <t>SKÅNE LÄN</t>
        </is>
      </c>
      <c r="E3628" t="inlineStr">
        <is>
          <t>ÖSTRA GÖINGE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4287-2023</t>
        </is>
      </c>
      <c r="B3629" s="1" t="n">
        <v>44953</v>
      </c>
      <c r="C3629" s="1" t="n">
        <v>45796</v>
      </c>
      <c r="D3629" t="inlineStr">
        <is>
          <t>SKÅNE LÄN</t>
        </is>
      </c>
      <c r="E3629" t="inlineStr">
        <is>
          <t>ÖSTRA GÖINGE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4382-2023</t>
        </is>
      </c>
      <c r="B3630" s="1" t="n">
        <v>44955</v>
      </c>
      <c r="C3630" s="1" t="n">
        <v>45796</v>
      </c>
      <c r="D3630" t="inlineStr">
        <is>
          <t>SKÅNE LÄN</t>
        </is>
      </c>
      <c r="E3630" t="inlineStr">
        <is>
          <t>HÄSSLEHOLM</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4594-2023</t>
        </is>
      </c>
      <c r="B3631" s="1" t="n">
        <v>44956</v>
      </c>
      <c r="C3631" s="1" t="n">
        <v>45796</v>
      </c>
      <c r="D3631" t="inlineStr">
        <is>
          <t>SKÅNE LÄN</t>
        </is>
      </c>
      <c r="E3631" t="inlineStr">
        <is>
          <t>ÖSTRA GÖINGE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4787-2023</t>
        </is>
      </c>
      <c r="B3632" s="1" t="n">
        <v>44957</v>
      </c>
      <c r="C3632" s="1" t="n">
        <v>45796</v>
      </c>
      <c r="D3632" t="inlineStr">
        <is>
          <t>SKÅNE LÄN</t>
        </is>
      </c>
      <c r="E3632" t="inlineStr">
        <is>
          <t>HÄSSLEHOLM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4798-2023</t>
        </is>
      </c>
      <c r="B3633" s="1" t="n">
        <v>44957</v>
      </c>
      <c r="C3633" s="1" t="n">
        <v>45796</v>
      </c>
      <c r="D3633" t="inlineStr">
        <is>
          <t>SKÅNE LÄN</t>
        </is>
      </c>
      <c r="E3633" t="inlineStr">
        <is>
          <t>OSBY</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4822-2023</t>
        </is>
      </c>
      <c r="B3634" s="1" t="n">
        <v>44957</v>
      </c>
      <c r="C3634" s="1" t="n">
        <v>45796</v>
      </c>
      <c r="D3634" t="inlineStr">
        <is>
          <t>SKÅNE LÄN</t>
        </is>
      </c>
      <c r="E3634" t="inlineStr">
        <is>
          <t>BÅSTAD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4767-2023</t>
        </is>
      </c>
      <c r="B3635" s="1" t="n">
        <v>44957</v>
      </c>
      <c r="C3635" s="1" t="n">
        <v>45796</v>
      </c>
      <c r="D3635" t="inlineStr">
        <is>
          <t>SKÅNE LÄN</t>
        </is>
      </c>
      <c r="E3635" t="inlineStr">
        <is>
          <t>OSBY</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4774-2023</t>
        </is>
      </c>
      <c r="B3636" s="1" t="n">
        <v>44957</v>
      </c>
      <c r="C3636" s="1" t="n">
        <v>45796</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4788-2023</t>
        </is>
      </c>
      <c r="B3637" s="1" t="n">
        <v>44957</v>
      </c>
      <c r="C3637" s="1" t="n">
        <v>45796</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4838-2023</t>
        </is>
      </c>
      <c r="B3638" s="1" t="n">
        <v>44957</v>
      </c>
      <c r="C3638" s="1" t="n">
        <v>45796</v>
      </c>
      <c r="D3638" t="inlineStr">
        <is>
          <t>SKÅNE LÄN</t>
        </is>
      </c>
      <c r="E3638" t="inlineStr">
        <is>
          <t>SVALÖV</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5751-2023</t>
        </is>
      </c>
      <c r="B3639" s="1" t="n">
        <v>44958</v>
      </c>
      <c r="C3639" s="1" t="n">
        <v>45796</v>
      </c>
      <c r="D3639" t="inlineStr">
        <is>
          <t>SKÅNE LÄN</t>
        </is>
      </c>
      <c r="E3639" t="inlineStr">
        <is>
          <t>HÖRBY</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5034-2023</t>
        </is>
      </c>
      <c r="B3640" s="1" t="n">
        <v>44958</v>
      </c>
      <c r="C3640" s="1" t="n">
        <v>45796</v>
      </c>
      <c r="D3640" t="inlineStr">
        <is>
          <t>SKÅNE LÄN</t>
        </is>
      </c>
      <c r="E3640" t="inlineStr">
        <is>
          <t>OSBY</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5116-2023</t>
        </is>
      </c>
      <c r="B3641" s="1" t="n">
        <v>44958</v>
      </c>
      <c r="C3641" s="1" t="n">
        <v>45796</v>
      </c>
      <c r="D3641" t="inlineStr">
        <is>
          <t>SKÅNE LÄN</t>
        </is>
      </c>
      <c r="E3641" t="inlineStr">
        <is>
          <t>HÄSSLEHOLM</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5131-2023</t>
        </is>
      </c>
      <c r="B3642" s="1" t="n">
        <v>44958</v>
      </c>
      <c r="C3642" s="1" t="n">
        <v>45796</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5136-2023</t>
        </is>
      </c>
      <c r="B3643" s="1" t="n">
        <v>44958</v>
      </c>
      <c r="C3643" s="1" t="n">
        <v>45796</v>
      </c>
      <c r="D3643" t="inlineStr">
        <is>
          <t>SKÅNE LÄN</t>
        </is>
      </c>
      <c r="E3643" t="inlineStr">
        <is>
          <t>ÖSTRA GÖINGE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5754-2023</t>
        </is>
      </c>
      <c r="B3644" s="1" t="n">
        <v>44958</v>
      </c>
      <c r="C3644" s="1" t="n">
        <v>45796</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5132-2023</t>
        </is>
      </c>
      <c r="B3645" s="1" t="n">
        <v>44958</v>
      </c>
      <c r="C3645" s="1" t="n">
        <v>45796</v>
      </c>
      <c r="D3645" t="inlineStr">
        <is>
          <t>SKÅNE LÄN</t>
        </is>
      </c>
      <c r="E3645" t="inlineStr">
        <is>
          <t>ÖSTRA GÖINGE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5869-2023</t>
        </is>
      </c>
      <c r="B3646" s="1" t="n">
        <v>44958</v>
      </c>
      <c r="C3646" s="1" t="n">
        <v>45796</v>
      </c>
      <c r="D3646" t="inlineStr">
        <is>
          <t>SKÅNE LÄN</t>
        </is>
      </c>
      <c r="E3646" t="inlineStr">
        <is>
          <t>ESLÖV</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5036-2023</t>
        </is>
      </c>
      <c r="B3647" s="1" t="n">
        <v>44958</v>
      </c>
      <c r="C3647" s="1" t="n">
        <v>45796</v>
      </c>
      <c r="D3647" t="inlineStr">
        <is>
          <t>SKÅNE LÄN</t>
        </is>
      </c>
      <c r="E3647" t="inlineStr">
        <is>
          <t>HÄSSLEHOLM</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5128-2023</t>
        </is>
      </c>
      <c r="B3648" s="1" t="n">
        <v>44958</v>
      </c>
      <c r="C3648" s="1" t="n">
        <v>45796</v>
      </c>
      <c r="D3648" t="inlineStr">
        <is>
          <t>SKÅNE LÄN</t>
        </is>
      </c>
      <c r="E3648" t="inlineStr">
        <is>
          <t>ÖSTRA GÖINGE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5134-2023</t>
        </is>
      </c>
      <c r="B3649" s="1" t="n">
        <v>44958</v>
      </c>
      <c r="C3649" s="1" t="n">
        <v>45796</v>
      </c>
      <c r="D3649" t="inlineStr">
        <is>
          <t>SKÅNE LÄN</t>
        </is>
      </c>
      <c r="E3649" t="inlineStr">
        <is>
          <t>ÖSTRA GÖINGE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5138-2023</t>
        </is>
      </c>
      <c r="B3650" s="1" t="n">
        <v>44958</v>
      </c>
      <c r="C3650" s="1" t="n">
        <v>45796</v>
      </c>
      <c r="D3650" t="inlineStr">
        <is>
          <t>SKÅNE LÄN</t>
        </is>
      </c>
      <c r="E3650" t="inlineStr">
        <is>
          <t>ÖSTRA GÖINGE</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5130-2023</t>
        </is>
      </c>
      <c r="B3651" s="1" t="n">
        <v>44958</v>
      </c>
      <c r="C3651" s="1" t="n">
        <v>45796</v>
      </c>
      <c r="D3651" t="inlineStr">
        <is>
          <t>SKÅNE LÄN</t>
        </is>
      </c>
      <c r="E3651" t="inlineStr">
        <is>
          <t>ÖSTRA GÖINGE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5285-2023</t>
        </is>
      </c>
      <c r="B3652" s="1" t="n">
        <v>44959</v>
      </c>
      <c r="C3652" s="1" t="n">
        <v>45796</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5282-2023</t>
        </is>
      </c>
      <c r="B3653" s="1" t="n">
        <v>44959</v>
      </c>
      <c r="C3653" s="1" t="n">
        <v>45796</v>
      </c>
      <c r="D3653" t="inlineStr">
        <is>
          <t>SKÅNE LÄN</t>
        </is>
      </c>
      <c r="E3653" t="inlineStr">
        <is>
          <t>HÄSSLEHOLM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5316-2023</t>
        </is>
      </c>
      <c r="B3654" s="1" t="n">
        <v>44959</v>
      </c>
      <c r="C3654" s="1" t="n">
        <v>45796</v>
      </c>
      <c r="D3654" t="inlineStr">
        <is>
          <t>SKÅNE LÄN</t>
        </is>
      </c>
      <c r="E3654" t="inlineStr">
        <is>
          <t>HÄSSLEHOLM</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5284-2023</t>
        </is>
      </c>
      <c r="B3655" s="1" t="n">
        <v>44959</v>
      </c>
      <c r="C3655" s="1" t="n">
        <v>45796</v>
      </c>
      <c r="D3655" t="inlineStr">
        <is>
          <t>SKÅNE LÄN</t>
        </is>
      </c>
      <c r="E3655" t="inlineStr">
        <is>
          <t>HÄSSLEHOLM</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5306-2023</t>
        </is>
      </c>
      <c r="B3656" s="1" t="n">
        <v>44959</v>
      </c>
      <c r="C3656" s="1" t="n">
        <v>45796</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5971-2023</t>
        </is>
      </c>
      <c r="B3657" s="1" t="n">
        <v>44959</v>
      </c>
      <c r="C3657" s="1" t="n">
        <v>45796</v>
      </c>
      <c r="D3657" t="inlineStr">
        <is>
          <t>SKÅNE LÄN</t>
        </is>
      </c>
      <c r="E3657" t="inlineStr">
        <is>
          <t>HÄSSLEHOLM</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6081-2023</t>
        </is>
      </c>
      <c r="B3658" s="1" t="n">
        <v>44959</v>
      </c>
      <c r="C3658" s="1" t="n">
        <v>45796</v>
      </c>
      <c r="D3658" t="inlineStr">
        <is>
          <t>SKÅNE LÄN</t>
        </is>
      </c>
      <c r="E3658" t="inlineStr">
        <is>
          <t>HÖRBY</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5502-2023</t>
        </is>
      </c>
      <c r="B3659" s="1" t="n">
        <v>44960</v>
      </c>
      <c r="C3659" s="1" t="n">
        <v>45796</v>
      </c>
      <c r="D3659" t="inlineStr">
        <is>
          <t>SKÅNE LÄN</t>
        </is>
      </c>
      <c r="E3659" t="inlineStr">
        <is>
          <t>HÄSSLEHOLM</t>
        </is>
      </c>
      <c r="F3659" t="inlineStr">
        <is>
          <t>Övriga Aktiebolag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6545-2023</t>
        </is>
      </c>
      <c r="B3660" s="1" t="n">
        <v>44960</v>
      </c>
      <c r="C3660" s="1" t="n">
        <v>45796</v>
      </c>
      <c r="D3660" t="inlineStr">
        <is>
          <t>SKÅNE LÄN</t>
        </is>
      </c>
      <c r="E3660" t="inlineStr">
        <is>
          <t>ESLÖV</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5723-2023</t>
        </is>
      </c>
      <c r="B3661" s="1" t="n">
        <v>44961</v>
      </c>
      <c r="C3661" s="1" t="n">
        <v>45796</v>
      </c>
      <c r="D3661" t="inlineStr">
        <is>
          <t>SKÅNE LÄN</t>
        </is>
      </c>
      <c r="E3661" t="inlineStr">
        <is>
          <t>KRISTIANSTAD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5734-2023</t>
        </is>
      </c>
      <c r="B3662" s="1" t="n">
        <v>44962</v>
      </c>
      <c r="C3662" s="1" t="n">
        <v>45796</v>
      </c>
      <c r="D3662" t="inlineStr">
        <is>
          <t>SKÅNE LÄN</t>
        </is>
      </c>
      <c r="E3662" t="inlineStr">
        <is>
          <t>HÖRBY</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5874-2023</t>
        </is>
      </c>
      <c r="B3663" s="1" t="n">
        <v>44963</v>
      </c>
      <c r="C3663" s="1" t="n">
        <v>45796</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5891-2023</t>
        </is>
      </c>
      <c r="B3664" s="1" t="n">
        <v>44963</v>
      </c>
      <c r="C3664" s="1" t="n">
        <v>45796</v>
      </c>
      <c r="D3664" t="inlineStr">
        <is>
          <t>SKÅNE LÄN</t>
        </is>
      </c>
      <c r="E3664" t="inlineStr">
        <is>
          <t>HÄSSLEHOLM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5890-2023</t>
        </is>
      </c>
      <c r="B3665" s="1" t="n">
        <v>44963</v>
      </c>
      <c r="C3665" s="1" t="n">
        <v>45796</v>
      </c>
      <c r="D3665" t="inlineStr">
        <is>
          <t>SKÅNE LÄN</t>
        </is>
      </c>
      <c r="E3665" t="inlineStr">
        <is>
          <t>HÄSSLEHOLM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5939-2023</t>
        </is>
      </c>
      <c r="B3666" s="1" t="n">
        <v>44963</v>
      </c>
      <c r="C3666" s="1" t="n">
        <v>45796</v>
      </c>
      <c r="D3666" t="inlineStr">
        <is>
          <t>SKÅNE LÄN</t>
        </is>
      </c>
      <c r="E3666" t="inlineStr">
        <is>
          <t>KRISTIANSTAD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5894-2023</t>
        </is>
      </c>
      <c r="B3667" s="1" t="n">
        <v>44963</v>
      </c>
      <c r="C3667" s="1" t="n">
        <v>45796</v>
      </c>
      <c r="D3667" t="inlineStr">
        <is>
          <t>SKÅNE LÄN</t>
        </is>
      </c>
      <c r="E3667" t="inlineStr">
        <is>
          <t>HÄSSLEHOLM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5927-2023</t>
        </is>
      </c>
      <c r="B3668" s="1" t="n">
        <v>44963</v>
      </c>
      <c r="C3668" s="1" t="n">
        <v>45796</v>
      </c>
      <c r="D3668" t="inlineStr">
        <is>
          <t>SKÅNE LÄN</t>
        </is>
      </c>
      <c r="E3668" t="inlineStr">
        <is>
          <t>ÖRKELLJUNGA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5974-2023</t>
        </is>
      </c>
      <c r="B3669" s="1" t="n">
        <v>44964</v>
      </c>
      <c r="C3669" s="1" t="n">
        <v>45796</v>
      </c>
      <c r="D3669" t="inlineStr">
        <is>
          <t>SKÅNE LÄN</t>
        </is>
      </c>
      <c r="E3669" t="inlineStr">
        <is>
          <t>KRISTIANSTAD</t>
        </is>
      </c>
      <c r="F3669" t="inlineStr">
        <is>
          <t>Sveaskog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6089-2023</t>
        </is>
      </c>
      <c r="B3670" s="1" t="n">
        <v>44964</v>
      </c>
      <c r="C3670" s="1" t="n">
        <v>45796</v>
      </c>
      <c r="D3670" t="inlineStr">
        <is>
          <t>SKÅNE LÄN</t>
        </is>
      </c>
      <c r="E3670" t="inlineStr">
        <is>
          <t>ÖSTRA GÖINGE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5975-2023</t>
        </is>
      </c>
      <c r="B3671" s="1" t="n">
        <v>44964</v>
      </c>
      <c r="C3671" s="1" t="n">
        <v>45796</v>
      </c>
      <c r="D3671" t="inlineStr">
        <is>
          <t>SKÅNE LÄN</t>
        </is>
      </c>
      <c r="E3671" t="inlineStr">
        <is>
          <t>KRISTIANSTAD</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6094-2023</t>
        </is>
      </c>
      <c r="B3672" s="1" t="n">
        <v>44964</v>
      </c>
      <c r="C3672" s="1" t="n">
        <v>45796</v>
      </c>
      <c r="D3672" t="inlineStr">
        <is>
          <t>SKÅNE LÄN</t>
        </is>
      </c>
      <c r="E3672" t="inlineStr">
        <is>
          <t>ÖSTRA GÖINGE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6164-2023</t>
        </is>
      </c>
      <c r="B3673" s="1" t="n">
        <v>44964</v>
      </c>
      <c r="C3673" s="1" t="n">
        <v>45796</v>
      </c>
      <c r="D3673" t="inlineStr">
        <is>
          <t>SKÅNE LÄN</t>
        </is>
      </c>
      <c r="E3673" t="inlineStr">
        <is>
          <t>HÄSSLEHOLM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6314-2023</t>
        </is>
      </c>
      <c r="B3674" s="1" t="n">
        <v>44965</v>
      </c>
      <c r="C3674" s="1" t="n">
        <v>45796</v>
      </c>
      <c r="D3674" t="inlineStr">
        <is>
          <t>SKÅNE LÄN</t>
        </is>
      </c>
      <c r="E3674" t="inlineStr">
        <is>
          <t>ÖSTRA GÖINGE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6248-2023</t>
        </is>
      </c>
      <c r="B3675" s="1" t="n">
        <v>44965</v>
      </c>
      <c r="C3675" s="1" t="n">
        <v>45796</v>
      </c>
      <c r="D3675" t="inlineStr">
        <is>
          <t>SKÅNE LÄN</t>
        </is>
      </c>
      <c r="E3675" t="inlineStr">
        <is>
          <t>KLIPPAN</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6416-2023</t>
        </is>
      </c>
      <c r="B3676" s="1" t="n">
        <v>44965</v>
      </c>
      <c r="C3676" s="1" t="n">
        <v>45796</v>
      </c>
      <c r="D3676" t="inlineStr">
        <is>
          <t>SKÅNE LÄN</t>
        </is>
      </c>
      <c r="E3676" t="inlineStr">
        <is>
          <t>HÄSSLEHOLM</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6249-2023</t>
        </is>
      </c>
      <c r="B3677" s="1" t="n">
        <v>44965</v>
      </c>
      <c r="C3677" s="1" t="n">
        <v>45796</v>
      </c>
      <c r="D3677" t="inlineStr">
        <is>
          <t>SKÅNE LÄN</t>
        </is>
      </c>
      <c r="E3677" t="inlineStr">
        <is>
          <t>KLIPPAN</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6410-2023</t>
        </is>
      </c>
      <c r="B3678" s="1" t="n">
        <v>44965</v>
      </c>
      <c r="C3678" s="1" t="n">
        <v>45796</v>
      </c>
      <c r="D3678" t="inlineStr">
        <is>
          <t>SKÅNE LÄN</t>
        </is>
      </c>
      <c r="E3678" t="inlineStr">
        <is>
          <t>ÖRKELLJUNGA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7079-2023</t>
        </is>
      </c>
      <c r="B3679" s="1" t="n">
        <v>44965</v>
      </c>
      <c r="C3679" s="1" t="n">
        <v>45796</v>
      </c>
      <c r="D3679" t="inlineStr">
        <is>
          <t>SKÅNE LÄN</t>
        </is>
      </c>
      <c r="E3679" t="inlineStr">
        <is>
          <t>OSBY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7086-2023</t>
        </is>
      </c>
      <c r="B3680" s="1" t="n">
        <v>44965</v>
      </c>
      <c r="C3680" s="1" t="n">
        <v>45796</v>
      </c>
      <c r="D3680" t="inlineStr">
        <is>
          <t>SKÅNE LÄN</t>
        </is>
      </c>
      <c r="E3680" t="inlineStr">
        <is>
          <t>OSBY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6698-2023</t>
        </is>
      </c>
      <c r="B3681" s="1" t="n">
        <v>44966</v>
      </c>
      <c r="C3681" s="1" t="n">
        <v>45796</v>
      </c>
      <c r="D3681" t="inlineStr">
        <is>
          <t>SKÅNE LÄN</t>
        </is>
      </c>
      <c r="E3681" t="inlineStr">
        <is>
          <t>OSBY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6836-2023</t>
        </is>
      </c>
      <c r="B3682" s="1" t="n">
        <v>44967</v>
      </c>
      <c r="C3682" s="1" t="n">
        <v>45796</v>
      </c>
      <c r="D3682" t="inlineStr">
        <is>
          <t>SKÅNE LÄN</t>
        </is>
      </c>
      <c r="E3682" t="inlineStr">
        <is>
          <t>HÄSSLEHOLM</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6845-2023</t>
        </is>
      </c>
      <c r="B3683" s="1" t="n">
        <v>44967</v>
      </c>
      <c r="C3683" s="1" t="n">
        <v>45796</v>
      </c>
      <c r="D3683" t="inlineStr">
        <is>
          <t>SKÅNE LÄN</t>
        </is>
      </c>
      <c r="E3683" t="inlineStr">
        <is>
          <t>HÄSSLEHOLM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6842-2023</t>
        </is>
      </c>
      <c r="B3684" s="1" t="n">
        <v>44967</v>
      </c>
      <c r="C3684" s="1" t="n">
        <v>45796</v>
      </c>
      <c r="D3684" t="inlineStr">
        <is>
          <t>SKÅNE LÄN</t>
        </is>
      </c>
      <c r="E3684" t="inlineStr">
        <is>
          <t>HÄSSLEHOLM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6848-2023</t>
        </is>
      </c>
      <c r="B3685" s="1" t="n">
        <v>44967</v>
      </c>
      <c r="C3685" s="1" t="n">
        <v>45796</v>
      </c>
      <c r="D3685" t="inlineStr">
        <is>
          <t>SKÅNE LÄN</t>
        </is>
      </c>
      <c r="E3685" t="inlineStr">
        <is>
          <t>KRISTIANSTAD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6854-2023</t>
        </is>
      </c>
      <c r="B3686" s="1" t="n">
        <v>44967</v>
      </c>
      <c r="C3686" s="1" t="n">
        <v>45796</v>
      </c>
      <c r="D3686" t="inlineStr">
        <is>
          <t>SKÅNE LÄN</t>
        </is>
      </c>
      <c r="E3686" t="inlineStr">
        <is>
          <t>OSBY</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6830-2023</t>
        </is>
      </c>
      <c r="B3687" s="1" t="n">
        <v>44967</v>
      </c>
      <c r="C3687" s="1" t="n">
        <v>45796</v>
      </c>
      <c r="D3687" t="inlineStr">
        <is>
          <t>SKÅNE LÄN</t>
        </is>
      </c>
      <c r="E3687" t="inlineStr">
        <is>
          <t>HÄSSLEHOLM</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6835-2023</t>
        </is>
      </c>
      <c r="B3688" s="1" t="n">
        <v>44967</v>
      </c>
      <c r="C3688" s="1" t="n">
        <v>45796</v>
      </c>
      <c r="D3688" t="inlineStr">
        <is>
          <t>SKÅNE LÄN</t>
        </is>
      </c>
      <c r="E3688" t="inlineStr">
        <is>
          <t>HÄSSLEHOLM</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7094-2023</t>
        </is>
      </c>
      <c r="B3689" s="1" t="n">
        <v>44970</v>
      </c>
      <c r="C3689" s="1" t="n">
        <v>45796</v>
      </c>
      <c r="D3689" t="inlineStr">
        <is>
          <t>SKÅNE LÄN</t>
        </is>
      </c>
      <c r="E3689" t="inlineStr">
        <is>
          <t>HÄSSLEHOLM</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7306-2023</t>
        </is>
      </c>
      <c r="B3690" s="1" t="n">
        <v>44970</v>
      </c>
      <c r="C3690" s="1" t="n">
        <v>45796</v>
      </c>
      <c r="D3690" t="inlineStr">
        <is>
          <t>SKÅNE LÄN</t>
        </is>
      </c>
      <c r="E3690" t="inlineStr">
        <is>
          <t>HÖÖR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7340-2023</t>
        </is>
      </c>
      <c r="B3691" s="1" t="n">
        <v>44971</v>
      </c>
      <c r="C3691" s="1" t="n">
        <v>45796</v>
      </c>
      <c r="D3691" t="inlineStr">
        <is>
          <t>SKÅNE LÄN</t>
        </is>
      </c>
      <c r="E3691" t="inlineStr">
        <is>
          <t>SIMRISHAMN</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7494-2023</t>
        </is>
      </c>
      <c r="B3692" s="1" t="n">
        <v>44971</v>
      </c>
      <c r="C3692" s="1" t="n">
        <v>45796</v>
      </c>
      <c r="D3692" t="inlineStr">
        <is>
          <t>SKÅNE LÄN</t>
        </is>
      </c>
      <c r="E3692" t="inlineStr">
        <is>
          <t>HÄSSLEHOLM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7481-2023</t>
        </is>
      </c>
      <c r="B3693" s="1" t="n">
        <v>44971</v>
      </c>
      <c r="C3693" s="1" t="n">
        <v>45796</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8204-2023</t>
        </is>
      </c>
      <c r="B3694" s="1" t="n">
        <v>44971</v>
      </c>
      <c r="C3694" s="1" t="n">
        <v>45796</v>
      </c>
      <c r="D3694" t="inlineStr">
        <is>
          <t>SKÅNE LÄN</t>
        </is>
      </c>
      <c r="E3694" t="inlineStr">
        <is>
          <t>ÖRKELLJUNGA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8378-2023</t>
        </is>
      </c>
      <c r="B3695" s="1" t="n">
        <v>44971</v>
      </c>
      <c r="C3695" s="1" t="n">
        <v>45796</v>
      </c>
      <c r="D3695" t="inlineStr">
        <is>
          <t>SKÅNE LÄN</t>
        </is>
      </c>
      <c r="E3695" t="inlineStr">
        <is>
          <t>HÄSSLEHOLM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8208-2023</t>
        </is>
      </c>
      <c r="B3696" s="1" t="n">
        <v>44971</v>
      </c>
      <c r="C3696" s="1" t="n">
        <v>45796</v>
      </c>
      <c r="D3696" t="inlineStr">
        <is>
          <t>SKÅNE LÄN</t>
        </is>
      </c>
      <c r="E3696" t="inlineStr">
        <is>
          <t>KRISTIANSTAD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7565-2023</t>
        </is>
      </c>
      <c r="B3697" s="1" t="n">
        <v>44972</v>
      </c>
      <c r="C3697" s="1" t="n">
        <v>45796</v>
      </c>
      <c r="D3697" t="inlineStr">
        <is>
          <t>SKÅNE LÄN</t>
        </is>
      </c>
      <c r="E3697" t="inlineStr">
        <is>
          <t>KRISTIANSTAD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7581-2023</t>
        </is>
      </c>
      <c r="B3698" s="1" t="n">
        <v>44972</v>
      </c>
      <c r="C3698" s="1" t="n">
        <v>45796</v>
      </c>
      <c r="D3698" t="inlineStr">
        <is>
          <t>SKÅNE LÄN</t>
        </is>
      </c>
      <c r="E3698" t="inlineStr">
        <is>
          <t>HÄSSLEHOLM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7762-2023</t>
        </is>
      </c>
      <c r="B3699" s="1" t="n">
        <v>44973</v>
      </c>
      <c r="C3699" s="1" t="n">
        <v>45796</v>
      </c>
      <c r="D3699" t="inlineStr">
        <is>
          <t>SKÅNE LÄN</t>
        </is>
      </c>
      <c r="E3699" t="inlineStr">
        <is>
          <t>ÄNGELHOLM</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7811-2023</t>
        </is>
      </c>
      <c r="B3700" s="1" t="n">
        <v>44973</v>
      </c>
      <c r="C3700" s="1" t="n">
        <v>45796</v>
      </c>
      <c r="D3700" t="inlineStr">
        <is>
          <t>SKÅNE LÄN</t>
        </is>
      </c>
      <c r="E3700" t="inlineStr">
        <is>
          <t>ÄNGELHOLM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7994-2023</t>
        </is>
      </c>
      <c r="B3701" s="1" t="n">
        <v>44973</v>
      </c>
      <c r="C3701" s="1" t="n">
        <v>45796</v>
      </c>
      <c r="D3701" t="inlineStr">
        <is>
          <t>SKÅNE LÄN</t>
        </is>
      </c>
      <c r="E3701" t="inlineStr">
        <is>
          <t>ÄNGELHOLM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7978-2023</t>
        </is>
      </c>
      <c r="B3702" s="1" t="n">
        <v>44973</v>
      </c>
      <c r="C3702" s="1" t="n">
        <v>45796</v>
      </c>
      <c r="D3702" t="inlineStr">
        <is>
          <t>SKÅNE LÄN</t>
        </is>
      </c>
      <c r="E3702" t="inlineStr">
        <is>
          <t>ÖRKELLJUNGA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8295-2023</t>
        </is>
      </c>
      <c r="B3703" s="1" t="n">
        <v>44974</v>
      </c>
      <c r="C3703" s="1" t="n">
        <v>45796</v>
      </c>
      <c r="D3703" t="inlineStr">
        <is>
          <t>SKÅNE LÄN</t>
        </is>
      </c>
      <c r="E3703" t="inlineStr">
        <is>
          <t>HÖÖR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8246-2023</t>
        </is>
      </c>
      <c r="B3704" s="1" t="n">
        <v>44974</v>
      </c>
      <c r="C3704" s="1" t="n">
        <v>45796</v>
      </c>
      <c r="D3704" t="inlineStr">
        <is>
          <t>SKÅNE LÄN</t>
        </is>
      </c>
      <c r="E3704" t="inlineStr">
        <is>
          <t>HÄSSLEHOLM</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8244-2023</t>
        </is>
      </c>
      <c r="B3705" s="1" t="n">
        <v>44974</v>
      </c>
      <c r="C3705" s="1" t="n">
        <v>45796</v>
      </c>
      <c r="D3705" t="inlineStr">
        <is>
          <t>SKÅNE LÄN</t>
        </is>
      </c>
      <c r="E3705" t="inlineStr">
        <is>
          <t>HÄSSLEHOLM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8249-2023</t>
        </is>
      </c>
      <c r="B3706" s="1" t="n">
        <v>44974</v>
      </c>
      <c r="C3706" s="1" t="n">
        <v>45796</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8250-2023</t>
        </is>
      </c>
      <c r="B3707" s="1" t="n">
        <v>44974</v>
      </c>
      <c r="C3707" s="1" t="n">
        <v>45796</v>
      </c>
      <c r="D3707" t="inlineStr">
        <is>
          <t>SKÅNE LÄN</t>
        </is>
      </c>
      <c r="E3707" t="inlineStr">
        <is>
          <t>HÄSSLEHOLM</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8924-2023</t>
        </is>
      </c>
      <c r="B3708" s="1" t="n">
        <v>44974</v>
      </c>
      <c r="C3708" s="1" t="n">
        <v>45796</v>
      </c>
      <c r="D3708" t="inlineStr">
        <is>
          <t>SKÅNE LÄN</t>
        </is>
      </c>
      <c r="E3708" t="inlineStr">
        <is>
          <t>SVALÖV</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8925-2023</t>
        </is>
      </c>
      <c r="B3709" s="1" t="n">
        <v>44974</v>
      </c>
      <c r="C3709" s="1" t="n">
        <v>45796</v>
      </c>
      <c r="D3709" t="inlineStr">
        <is>
          <t>SKÅNE LÄN</t>
        </is>
      </c>
      <c r="E3709" t="inlineStr">
        <is>
          <t>SVALÖV</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8367-2023</t>
        </is>
      </c>
      <c r="B3710" s="1" t="n">
        <v>44977</v>
      </c>
      <c r="C3710" s="1" t="n">
        <v>45796</v>
      </c>
      <c r="D3710" t="inlineStr">
        <is>
          <t>SKÅNE LÄN</t>
        </is>
      </c>
      <c r="E3710" t="inlineStr">
        <is>
          <t>ÖSTRA GÖINGE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8500-2023</t>
        </is>
      </c>
      <c r="B3711" s="1" t="n">
        <v>44977</v>
      </c>
      <c r="C3711" s="1" t="n">
        <v>45796</v>
      </c>
      <c r="D3711" t="inlineStr">
        <is>
          <t>SKÅNE LÄN</t>
        </is>
      </c>
      <c r="E3711" t="inlineStr">
        <is>
          <t>KLIPPAN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8380-2023</t>
        </is>
      </c>
      <c r="B3712" s="1" t="n">
        <v>44977</v>
      </c>
      <c r="C3712" s="1" t="n">
        <v>45796</v>
      </c>
      <c r="D3712" t="inlineStr">
        <is>
          <t>SKÅNE LÄN</t>
        </is>
      </c>
      <c r="E3712" t="inlineStr">
        <is>
          <t>ÖSTRA GÖINGE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8562-2023</t>
        </is>
      </c>
      <c r="B3713" s="1" t="n">
        <v>44977</v>
      </c>
      <c r="C3713" s="1" t="n">
        <v>45796</v>
      </c>
      <c r="D3713" t="inlineStr">
        <is>
          <t>SKÅNE LÄN</t>
        </is>
      </c>
      <c r="E3713" t="inlineStr">
        <is>
          <t>PERSTORP</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8568-2023</t>
        </is>
      </c>
      <c r="B3714" s="1" t="n">
        <v>44977</v>
      </c>
      <c r="C3714" s="1" t="n">
        <v>45796</v>
      </c>
      <c r="D3714" t="inlineStr">
        <is>
          <t>SKÅNE LÄN</t>
        </is>
      </c>
      <c r="E3714" t="inlineStr">
        <is>
          <t>SJÖBO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8565-2023</t>
        </is>
      </c>
      <c r="B3715" s="1" t="n">
        <v>44977</v>
      </c>
      <c r="C3715" s="1" t="n">
        <v>45796</v>
      </c>
      <c r="D3715" t="inlineStr">
        <is>
          <t>SKÅNE LÄN</t>
        </is>
      </c>
      <c r="E3715" t="inlineStr">
        <is>
          <t>PERSTORP</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8601-2023</t>
        </is>
      </c>
      <c r="B3716" s="1" t="n">
        <v>44977</v>
      </c>
      <c r="C3716" s="1" t="n">
        <v>45796</v>
      </c>
      <c r="D3716" t="inlineStr">
        <is>
          <t>SKÅNE LÄN</t>
        </is>
      </c>
      <c r="E3716" t="inlineStr">
        <is>
          <t>LUND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8619-2023</t>
        </is>
      </c>
      <c r="B3717" s="1" t="n">
        <v>44977</v>
      </c>
      <c r="C3717" s="1" t="n">
        <v>45796</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8803-2023</t>
        </is>
      </c>
      <c r="B3718" s="1" t="n">
        <v>44978</v>
      </c>
      <c r="C3718" s="1" t="n">
        <v>45796</v>
      </c>
      <c r="D3718" t="inlineStr">
        <is>
          <t>SKÅNE LÄN</t>
        </is>
      </c>
      <c r="E3718" t="inlineStr">
        <is>
          <t>HÄSSLEHOLM</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8712-2023</t>
        </is>
      </c>
      <c r="B3719" s="1" t="n">
        <v>44978</v>
      </c>
      <c r="C3719" s="1" t="n">
        <v>45796</v>
      </c>
      <c r="D3719" t="inlineStr">
        <is>
          <t>SKÅNE LÄN</t>
        </is>
      </c>
      <c r="E3719" t="inlineStr">
        <is>
          <t>KLIPPAN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8721-2023</t>
        </is>
      </c>
      <c r="B3720" s="1" t="n">
        <v>44978</v>
      </c>
      <c r="C3720" s="1" t="n">
        <v>45796</v>
      </c>
      <c r="D3720" t="inlineStr">
        <is>
          <t>SKÅNE LÄN</t>
        </is>
      </c>
      <c r="E3720" t="inlineStr">
        <is>
          <t>SIMRISHAMN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8807-2023</t>
        </is>
      </c>
      <c r="B3721" s="1" t="n">
        <v>44978</v>
      </c>
      <c r="C3721" s="1" t="n">
        <v>45796</v>
      </c>
      <c r="D3721" t="inlineStr">
        <is>
          <t>SKÅNE LÄN</t>
        </is>
      </c>
      <c r="E3721" t="inlineStr">
        <is>
          <t>HÄSSLEHOLM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9670-2023</t>
        </is>
      </c>
      <c r="B3722" s="1" t="n">
        <v>44978</v>
      </c>
      <c r="C3722" s="1" t="n">
        <v>45796</v>
      </c>
      <c r="D3722" t="inlineStr">
        <is>
          <t>SKÅNE LÄN</t>
        </is>
      </c>
      <c r="E3722" t="inlineStr">
        <is>
          <t>OSBY</t>
        </is>
      </c>
      <c r="F3722" t="inlineStr">
        <is>
          <t>Naturvårdsverket</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8793-2023</t>
        </is>
      </c>
      <c r="B3723" s="1" t="n">
        <v>44978</v>
      </c>
      <c r="C3723" s="1" t="n">
        <v>45796</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9308-2023</t>
        </is>
      </c>
      <c r="B3724" s="1" t="n">
        <v>44980</v>
      </c>
      <c r="C3724" s="1" t="n">
        <v>45796</v>
      </c>
      <c r="D3724" t="inlineStr">
        <is>
          <t>SKÅNE LÄN</t>
        </is>
      </c>
      <c r="E3724" t="inlineStr">
        <is>
          <t>HÄSSLEHOLM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10123-2023</t>
        </is>
      </c>
      <c r="B3725" s="1" t="n">
        <v>44980</v>
      </c>
      <c r="C3725" s="1" t="n">
        <v>45796</v>
      </c>
      <c r="D3725" t="inlineStr">
        <is>
          <t>SKÅNE LÄN</t>
        </is>
      </c>
      <c r="E3725" t="inlineStr">
        <is>
          <t>ESLÖV</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9368-2023</t>
        </is>
      </c>
      <c r="B3726" s="1" t="n">
        <v>44981</v>
      </c>
      <c r="C3726" s="1" t="n">
        <v>45796</v>
      </c>
      <c r="D3726" t="inlineStr">
        <is>
          <t>SKÅNE LÄN</t>
        </is>
      </c>
      <c r="E3726" t="inlineStr">
        <is>
          <t>PERSTORP</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9375-2023</t>
        </is>
      </c>
      <c r="B3727" s="1" t="n">
        <v>44981</v>
      </c>
      <c r="C3727" s="1" t="n">
        <v>45796</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9487-2023</t>
        </is>
      </c>
      <c r="B3728" s="1" t="n">
        <v>44981</v>
      </c>
      <c r="C3728" s="1" t="n">
        <v>45796</v>
      </c>
      <c r="D3728" t="inlineStr">
        <is>
          <t>SKÅNE LÄN</t>
        </is>
      </c>
      <c r="E3728" t="inlineStr">
        <is>
          <t>ESLÖV</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9482-2023</t>
        </is>
      </c>
      <c r="B3729" s="1" t="n">
        <v>44981</v>
      </c>
      <c r="C3729" s="1" t="n">
        <v>45796</v>
      </c>
      <c r="D3729" t="inlineStr">
        <is>
          <t>SKÅNE LÄN</t>
        </is>
      </c>
      <c r="E3729" t="inlineStr">
        <is>
          <t>ESLÖV</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9485-2023</t>
        </is>
      </c>
      <c r="B3730" s="1" t="n">
        <v>44981</v>
      </c>
      <c r="C3730" s="1" t="n">
        <v>45796</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9484-2023</t>
        </is>
      </c>
      <c r="B3731" s="1" t="n">
        <v>44981</v>
      </c>
      <c r="C3731" s="1" t="n">
        <v>45796</v>
      </c>
      <c r="D3731" t="inlineStr">
        <is>
          <t>SKÅNE LÄN</t>
        </is>
      </c>
      <c r="E3731" t="inlineStr">
        <is>
          <t>ESLÖV</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9537-2023</t>
        </is>
      </c>
      <c r="B3732" s="1" t="n">
        <v>44981</v>
      </c>
      <c r="C3732" s="1" t="n">
        <v>45796</v>
      </c>
      <c r="D3732" t="inlineStr">
        <is>
          <t>SKÅNE LÄN</t>
        </is>
      </c>
      <c r="E3732" t="inlineStr">
        <is>
          <t>ÖSTRA GÖINGE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10452-2023</t>
        </is>
      </c>
      <c r="B3733" s="1" t="n">
        <v>44981</v>
      </c>
      <c r="C3733" s="1" t="n">
        <v>45796</v>
      </c>
      <c r="D3733" t="inlineStr">
        <is>
          <t>SKÅNE LÄN</t>
        </is>
      </c>
      <c r="E3733" t="inlineStr">
        <is>
          <t>HÖÖR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9538-2023</t>
        </is>
      </c>
      <c r="B3734" s="1" t="n">
        <v>44981</v>
      </c>
      <c r="C3734" s="1" t="n">
        <v>45796</v>
      </c>
      <c r="D3734" t="inlineStr">
        <is>
          <t>SKÅNE LÄN</t>
        </is>
      </c>
      <c r="E3734" t="inlineStr">
        <is>
          <t>ÖSTRA GÖINGE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9502-2023</t>
        </is>
      </c>
      <c r="B3735" s="1" t="n">
        <v>44981</v>
      </c>
      <c r="C3735" s="1" t="n">
        <v>45796</v>
      </c>
      <c r="D3735" t="inlineStr">
        <is>
          <t>SKÅNE LÄN</t>
        </is>
      </c>
      <c r="E3735" t="inlineStr">
        <is>
          <t>HÄSSLEHOLM</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9684-2023</t>
        </is>
      </c>
      <c r="B3736" s="1" t="n">
        <v>44984</v>
      </c>
      <c r="C3736" s="1" t="n">
        <v>45796</v>
      </c>
      <c r="D3736" t="inlineStr">
        <is>
          <t>SKÅNE LÄN</t>
        </is>
      </c>
      <c r="E3736" t="inlineStr">
        <is>
          <t>KRISTIANSTAD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9691-2023</t>
        </is>
      </c>
      <c r="B3737" s="1" t="n">
        <v>44984</v>
      </c>
      <c r="C3737" s="1" t="n">
        <v>45796</v>
      </c>
      <c r="D3737" t="inlineStr">
        <is>
          <t>SKÅNE LÄN</t>
        </is>
      </c>
      <c r="E3737" t="inlineStr">
        <is>
          <t>ÖRKELLJUNGA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9696-2023</t>
        </is>
      </c>
      <c r="B3738" s="1" t="n">
        <v>44984</v>
      </c>
      <c r="C3738" s="1" t="n">
        <v>45796</v>
      </c>
      <c r="D3738" t="inlineStr">
        <is>
          <t>SKÅNE LÄN</t>
        </is>
      </c>
      <c r="E3738" t="inlineStr">
        <is>
          <t>ÖRKELLJUNGA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9701-2023</t>
        </is>
      </c>
      <c r="B3739" s="1" t="n">
        <v>44984</v>
      </c>
      <c r="C3739" s="1" t="n">
        <v>45796</v>
      </c>
      <c r="D3739" t="inlineStr">
        <is>
          <t>SKÅNE LÄN</t>
        </is>
      </c>
      <c r="E3739" t="inlineStr">
        <is>
          <t>HÖÖR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9686-2023</t>
        </is>
      </c>
      <c r="B3740" s="1" t="n">
        <v>44984</v>
      </c>
      <c r="C3740" s="1" t="n">
        <v>45796</v>
      </c>
      <c r="D3740" t="inlineStr">
        <is>
          <t>SKÅNE LÄN</t>
        </is>
      </c>
      <c r="E3740" t="inlineStr">
        <is>
          <t>ESLÖV</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9695-2023</t>
        </is>
      </c>
      <c r="B3741" s="1" t="n">
        <v>44984</v>
      </c>
      <c r="C3741" s="1" t="n">
        <v>45796</v>
      </c>
      <c r="D3741" t="inlineStr">
        <is>
          <t>SKÅNE LÄN</t>
        </is>
      </c>
      <c r="E3741" t="inlineStr">
        <is>
          <t>ÖRKELLJUNGA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9692-2023</t>
        </is>
      </c>
      <c r="B3742" s="1" t="n">
        <v>44984</v>
      </c>
      <c r="C3742" s="1" t="n">
        <v>45796</v>
      </c>
      <c r="D3742" t="inlineStr">
        <is>
          <t>SKÅNE LÄN</t>
        </is>
      </c>
      <c r="E3742" t="inlineStr">
        <is>
          <t>HÄSSLEHOLM</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9697-2023</t>
        </is>
      </c>
      <c r="B3743" s="1" t="n">
        <v>44984</v>
      </c>
      <c r="C3743" s="1" t="n">
        <v>45796</v>
      </c>
      <c r="D3743" t="inlineStr">
        <is>
          <t>SKÅNE LÄN</t>
        </is>
      </c>
      <c r="E3743" t="inlineStr">
        <is>
          <t>HÄSSLEHOLM</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9709-2023</t>
        </is>
      </c>
      <c r="B3744" s="1" t="n">
        <v>44984</v>
      </c>
      <c r="C3744" s="1" t="n">
        <v>45796</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9794-2023</t>
        </is>
      </c>
      <c r="B3745" s="1" t="n">
        <v>44984</v>
      </c>
      <c r="C3745" s="1" t="n">
        <v>45796</v>
      </c>
      <c r="D3745" t="inlineStr">
        <is>
          <t>SKÅNE LÄN</t>
        </is>
      </c>
      <c r="E3745" t="inlineStr">
        <is>
          <t>KRISTIANSTAD</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10748-2023</t>
        </is>
      </c>
      <c r="B3746" s="1" t="n">
        <v>44984</v>
      </c>
      <c r="C3746" s="1" t="n">
        <v>45796</v>
      </c>
      <c r="D3746" t="inlineStr">
        <is>
          <t>SKÅNE LÄN</t>
        </is>
      </c>
      <c r="E3746" t="inlineStr">
        <is>
          <t>KRISTIANSTAD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9908-2023</t>
        </is>
      </c>
      <c r="B3747" s="1" t="n">
        <v>44985</v>
      </c>
      <c r="C3747" s="1" t="n">
        <v>45796</v>
      </c>
      <c r="D3747" t="inlineStr">
        <is>
          <t>SKÅNE LÄN</t>
        </is>
      </c>
      <c r="E3747" t="inlineStr">
        <is>
          <t>BROMÖLLA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10058-2023</t>
        </is>
      </c>
      <c r="B3748" s="1" t="n">
        <v>44985</v>
      </c>
      <c r="C3748" s="1" t="n">
        <v>45796</v>
      </c>
      <c r="D3748" t="inlineStr">
        <is>
          <t>SKÅNE LÄN</t>
        </is>
      </c>
      <c r="E3748" t="inlineStr">
        <is>
          <t>KRISTIANSTAD</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10897-2023</t>
        </is>
      </c>
      <c r="B3749" s="1" t="n">
        <v>44985</v>
      </c>
      <c r="C3749" s="1" t="n">
        <v>45796</v>
      </c>
      <c r="D3749" t="inlineStr">
        <is>
          <t>SKÅNE LÄN</t>
        </is>
      </c>
      <c r="E3749" t="inlineStr">
        <is>
          <t>HÄSSLEHOLM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10209-2023</t>
        </is>
      </c>
      <c r="B3750" s="1" t="n">
        <v>44986</v>
      </c>
      <c r="C3750" s="1" t="n">
        <v>45796</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10207-2023</t>
        </is>
      </c>
      <c r="B3751" s="1" t="n">
        <v>44986</v>
      </c>
      <c r="C3751" s="1" t="n">
        <v>45796</v>
      </c>
      <c r="D3751" t="inlineStr">
        <is>
          <t>SKÅNE LÄN</t>
        </is>
      </c>
      <c r="E3751" t="inlineStr">
        <is>
          <t>HÖÖR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10220-2023</t>
        </is>
      </c>
      <c r="B3752" s="1" t="n">
        <v>44986</v>
      </c>
      <c r="C3752" s="1" t="n">
        <v>45796</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10272-2023</t>
        </is>
      </c>
      <c r="B3753" s="1" t="n">
        <v>44986</v>
      </c>
      <c r="C3753" s="1" t="n">
        <v>45796</v>
      </c>
      <c r="D3753" t="inlineStr">
        <is>
          <t>SKÅNE LÄN</t>
        </is>
      </c>
      <c r="E3753" t="inlineStr">
        <is>
          <t>TOMELILLA</t>
        </is>
      </c>
      <c r="F3753" t="inlineStr">
        <is>
          <t>Övriga Aktiebolag</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10277-2023</t>
        </is>
      </c>
      <c r="B3754" s="1" t="n">
        <v>44986</v>
      </c>
      <c r="C3754" s="1" t="n">
        <v>45796</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10221-2023</t>
        </is>
      </c>
      <c r="B3755" s="1" t="n">
        <v>44986</v>
      </c>
      <c r="C3755" s="1" t="n">
        <v>45796</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10270-2023</t>
        </is>
      </c>
      <c r="B3756" s="1" t="n">
        <v>44986</v>
      </c>
      <c r="C3756" s="1" t="n">
        <v>45796</v>
      </c>
      <c r="D3756" t="inlineStr">
        <is>
          <t>SKÅNE LÄN</t>
        </is>
      </c>
      <c r="E3756" t="inlineStr">
        <is>
          <t>HÄSSLEHOLM</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10290-2023</t>
        </is>
      </c>
      <c r="B3757" s="1" t="n">
        <v>44986</v>
      </c>
      <c r="C3757" s="1" t="n">
        <v>45796</v>
      </c>
      <c r="D3757" t="inlineStr">
        <is>
          <t>SKÅNE LÄN</t>
        </is>
      </c>
      <c r="E3757" t="inlineStr">
        <is>
          <t>HÄSSLEHOLM</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11101-2023</t>
        </is>
      </c>
      <c r="B3758" s="1" t="n">
        <v>44986</v>
      </c>
      <c r="C3758" s="1" t="n">
        <v>45796</v>
      </c>
      <c r="D3758" t="inlineStr">
        <is>
          <t>SKÅNE LÄN</t>
        </is>
      </c>
      <c r="E3758" t="inlineStr">
        <is>
          <t>SVALÖV</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10217-2023</t>
        </is>
      </c>
      <c r="B3759" s="1" t="n">
        <v>44986</v>
      </c>
      <c r="C3759" s="1" t="n">
        <v>45796</v>
      </c>
      <c r="D3759" t="inlineStr">
        <is>
          <t>SKÅNE LÄN</t>
        </is>
      </c>
      <c r="E3759" t="inlineStr">
        <is>
          <t>BJUV</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11121-2023</t>
        </is>
      </c>
      <c r="B3760" s="1" t="n">
        <v>44986</v>
      </c>
      <c r="C3760" s="1" t="n">
        <v>45796</v>
      </c>
      <c r="D3760" t="inlineStr">
        <is>
          <t>SKÅNE LÄN</t>
        </is>
      </c>
      <c r="E3760" t="inlineStr">
        <is>
          <t>HÄSSLEHOLM</t>
        </is>
      </c>
      <c r="F3760" t="inlineStr">
        <is>
          <t>Kommuner</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11116-2023</t>
        </is>
      </c>
      <c r="B3761" s="1" t="n">
        <v>44986</v>
      </c>
      <c r="C3761" s="1" t="n">
        <v>45796</v>
      </c>
      <c r="D3761" t="inlineStr">
        <is>
          <t>SKÅNE LÄN</t>
        </is>
      </c>
      <c r="E3761" t="inlineStr">
        <is>
          <t>HÄSSLEHOLM</t>
        </is>
      </c>
      <c r="F3761" t="inlineStr">
        <is>
          <t>Kommuner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10389-2023</t>
        </is>
      </c>
      <c r="B3762" s="1" t="n">
        <v>44987</v>
      </c>
      <c r="C3762" s="1" t="n">
        <v>45796</v>
      </c>
      <c r="D3762" t="inlineStr">
        <is>
          <t>SKÅNE LÄN</t>
        </is>
      </c>
      <c r="E3762" t="inlineStr">
        <is>
          <t>HÄSSLEHOLM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11177-2023</t>
        </is>
      </c>
      <c r="B3763" s="1" t="n">
        <v>44987</v>
      </c>
      <c r="C3763" s="1" t="n">
        <v>45796</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10580-2023</t>
        </is>
      </c>
      <c r="B3764" s="1" t="n">
        <v>44988</v>
      </c>
      <c r="C3764" s="1" t="n">
        <v>45796</v>
      </c>
      <c r="D3764" t="inlineStr">
        <is>
          <t>SKÅNE LÄN</t>
        </is>
      </c>
      <c r="E3764" t="inlineStr">
        <is>
          <t>KRISTIANSTAD</t>
        </is>
      </c>
      <c r="F3764" t="inlineStr">
        <is>
          <t>Övriga Aktiebolag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10660-2023</t>
        </is>
      </c>
      <c r="B3765" s="1" t="n">
        <v>44988</v>
      </c>
      <c r="C3765" s="1" t="n">
        <v>45796</v>
      </c>
      <c r="D3765" t="inlineStr">
        <is>
          <t>SKÅNE LÄN</t>
        </is>
      </c>
      <c r="E3765" t="inlineStr">
        <is>
          <t>HÄSSLEHOLM</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10616-2023</t>
        </is>
      </c>
      <c r="B3766" s="1" t="n">
        <v>44988</v>
      </c>
      <c r="C3766" s="1" t="n">
        <v>45796</v>
      </c>
      <c r="D3766" t="inlineStr">
        <is>
          <t>SKÅNE LÄN</t>
        </is>
      </c>
      <c r="E3766" t="inlineStr">
        <is>
          <t>ÖSTRA GÖINGE</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10695-2023</t>
        </is>
      </c>
      <c r="B3767" s="1" t="n">
        <v>44988</v>
      </c>
      <c r="C3767" s="1" t="n">
        <v>45796</v>
      </c>
      <c r="D3767" t="inlineStr">
        <is>
          <t>SKÅNE LÄN</t>
        </is>
      </c>
      <c r="E3767" t="inlineStr">
        <is>
          <t>KLIPPAN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10709-2023</t>
        </is>
      </c>
      <c r="B3768" s="1" t="n">
        <v>44988</v>
      </c>
      <c r="C3768" s="1" t="n">
        <v>45796</v>
      </c>
      <c r="D3768" t="inlineStr">
        <is>
          <t>SKÅNE LÄN</t>
        </is>
      </c>
      <c r="E3768" t="inlineStr">
        <is>
          <t>ÖRKELLJUNGA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10824-2023</t>
        </is>
      </c>
      <c r="B3769" s="1" t="n">
        <v>44990</v>
      </c>
      <c r="C3769" s="1" t="n">
        <v>45796</v>
      </c>
      <c r="D3769" t="inlineStr">
        <is>
          <t>SKÅNE LÄN</t>
        </is>
      </c>
      <c r="E3769" t="inlineStr">
        <is>
          <t>ÖRKELLJUNGA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11002-2023</t>
        </is>
      </c>
      <c r="B3770" s="1" t="n">
        <v>44991</v>
      </c>
      <c r="C3770" s="1" t="n">
        <v>45796</v>
      </c>
      <c r="D3770" t="inlineStr">
        <is>
          <t>SKÅNE LÄN</t>
        </is>
      </c>
      <c r="E3770" t="inlineStr">
        <is>
          <t>TOMELILLA</t>
        </is>
      </c>
      <c r="F3770" t="inlineStr">
        <is>
          <t>Övriga Aktiebolag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10892-2023</t>
        </is>
      </c>
      <c r="B3771" s="1" t="n">
        <v>44991</v>
      </c>
      <c r="C3771" s="1" t="n">
        <v>45796</v>
      </c>
      <c r="D3771" t="inlineStr">
        <is>
          <t>SKÅNE LÄN</t>
        </is>
      </c>
      <c r="E3771" t="inlineStr">
        <is>
          <t>HÖÖR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10988-2023</t>
        </is>
      </c>
      <c r="B3772" s="1" t="n">
        <v>44991</v>
      </c>
      <c r="C3772" s="1" t="n">
        <v>45796</v>
      </c>
      <c r="D3772" t="inlineStr">
        <is>
          <t>SKÅNE LÄN</t>
        </is>
      </c>
      <c r="E3772" t="inlineStr">
        <is>
          <t>KRISTIANSTAD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10971-2023</t>
        </is>
      </c>
      <c r="B3773" s="1" t="n">
        <v>44991</v>
      </c>
      <c r="C3773" s="1" t="n">
        <v>45796</v>
      </c>
      <c r="D3773" t="inlineStr">
        <is>
          <t>SKÅNE LÄN</t>
        </is>
      </c>
      <c r="E3773" t="inlineStr">
        <is>
          <t>KRISTIANSTAD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11497-2023</t>
        </is>
      </c>
      <c r="B3774" s="1" t="n">
        <v>44991</v>
      </c>
      <c r="C3774" s="1" t="n">
        <v>45796</v>
      </c>
      <c r="D3774" t="inlineStr">
        <is>
          <t>SKÅNE LÄN</t>
        </is>
      </c>
      <c r="E3774" t="inlineStr">
        <is>
          <t>KLIPPAN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11491-2023</t>
        </is>
      </c>
      <c r="B3775" s="1" t="n">
        <v>44991</v>
      </c>
      <c r="C3775" s="1" t="n">
        <v>45796</v>
      </c>
      <c r="D3775" t="inlineStr">
        <is>
          <t>SKÅNE LÄN</t>
        </is>
      </c>
      <c r="E3775" t="inlineStr">
        <is>
          <t>SVALÖV</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11204-2023</t>
        </is>
      </c>
      <c r="B3776" s="1" t="n">
        <v>44992</v>
      </c>
      <c r="C3776" s="1" t="n">
        <v>45796</v>
      </c>
      <c r="D3776" t="inlineStr">
        <is>
          <t>SKÅNE LÄN</t>
        </is>
      </c>
      <c r="E3776" t="inlineStr">
        <is>
          <t>ESLÖV</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11217-2023</t>
        </is>
      </c>
      <c r="B3777" s="1" t="n">
        <v>44992</v>
      </c>
      <c r="C3777" s="1" t="n">
        <v>45796</v>
      </c>
      <c r="D3777" t="inlineStr">
        <is>
          <t>SKÅNE LÄN</t>
        </is>
      </c>
      <c r="E3777" t="inlineStr">
        <is>
          <t>HÄSSLEHOLM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11237-2023</t>
        </is>
      </c>
      <c r="B3778" s="1" t="n">
        <v>44992</v>
      </c>
      <c r="C3778" s="1" t="n">
        <v>45796</v>
      </c>
      <c r="D3778" t="inlineStr">
        <is>
          <t>SKÅNE LÄN</t>
        </is>
      </c>
      <c r="E3778" t="inlineStr">
        <is>
          <t>HÄSSLEHOLM</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11272-2023</t>
        </is>
      </c>
      <c r="B3779" s="1" t="n">
        <v>44992</v>
      </c>
      <c r="C3779" s="1" t="n">
        <v>45796</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11150-2023</t>
        </is>
      </c>
      <c r="B3780" s="1" t="n">
        <v>44992</v>
      </c>
      <c r="C3780" s="1" t="n">
        <v>45796</v>
      </c>
      <c r="D3780" t="inlineStr">
        <is>
          <t>SKÅNE LÄN</t>
        </is>
      </c>
      <c r="E3780" t="inlineStr">
        <is>
          <t>KRISTIANSTAD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11240-2023</t>
        </is>
      </c>
      <c r="B3781" s="1" t="n">
        <v>44992</v>
      </c>
      <c r="C3781" s="1" t="n">
        <v>45796</v>
      </c>
      <c r="D3781" t="inlineStr">
        <is>
          <t>SKÅNE LÄN</t>
        </is>
      </c>
      <c r="E3781" t="inlineStr">
        <is>
          <t>HÄSSLEHOLM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11274-2023</t>
        </is>
      </c>
      <c r="B3782" s="1" t="n">
        <v>44992</v>
      </c>
      <c r="C3782" s="1" t="n">
        <v>45796</v>
      </c>
      <c r="D3782" t="inlineStr">
        <is>
          <t>SKÅNE LÄN</t>
        </is>
      </c>
      <c r="E3782" t="inlineStr">
        <is>
          <t>KRISTIANSTAD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11681-2023</t>
        </is>
      </c>
      <c r="B3783" s="1" t="n">
        <v>44992</v>
      </c>
      <c r="C3783" s="1" t="n">
        <v>45796</v>
      </c>
      <c r="D3783" t="inlineStr">
        <is>
          <t>SKÅNE LÄN</t>
        </is>
      </c>
      <c r="E3783" t="inlineStr">
        <is>
          <t>HÄSSLEHOLM</t>
        </is>
      </c>
      <c r="F3783" t="inlineStr">
        <is>
          <t>Övriga Aktiebolag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11705-2023</t>
        </is>
      </c>
      <c r="B3784" s="1" t="n">
        <v>44992</v>
      </c>
      <c r="C3784" s="1" t="n">
        <v>45796</v>
      </c>
      <c r="D3784" t="inlineStr">
        <is>
          <t>SKÅNE LÄN</t>
        </is>
      </c>
      <c r="E3784" t="inlineStr">
        <is>
          <t>KLIPPAN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11722-2023</t>
        </is>
      </c>
      <c r="B3785" s="1" t="n">
        <v>44992</v>
      </c>
      <c r="C3785" s="1" t="n">
        <v>45796</v>
      </c>
      <c r="D3785" t="inlineStr">
        <is>
          <t>SKÅNE LÄN</t>
        </is>
      </c>
      <c r="E3785" t="inlineStr">
        <is>
          <t>ÖSTRA GÖINGE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11663-2023</t>
        </is>
      </c>
      <c r="B3786" s="1" t="n">
        <v>44992</v>
      </c>
      <c r="C3786" s="1" t="n">
        <v>45796</v>
      </c>
      <c r="D3786" t="inlineStr">
        <is>
          <t>SKÅNE LÄN</t>
        </is>
      </c>
      <c r="E3786" t="inlineStr">
        <is>
          <t>PERSTORP</t>
        </is>
      </c>
      <c r="F3786" t="inlineStr">
        <is>
          <t>Övriga Aktiebolag</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11669-2023</t>
        </is>
      </c>
      <c r="B3787" s="1" t="n">
        <v>44992</v>
      </c>
      <c r="C3787" s="1" t="n">
        <v>45796</v>
      </c>
      <c r="D3787" t="inlineStr">
        <is>
          <t>SKÅNE LÄN</t>
        </is>
      </c>
      <c r="E3787" t="inlineStr">
        <is>
          <t>PERSTORP</t>
        </is>
      </c>
      <c r="F3787" t="inlineStr">
        <is>
          <t>Övriga Aktiebolag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11701-2023</t>
        </is>
      </c>
      <c r="B3788" s="1" t="n">
        <v>44992</v>
      </c>
      <c r="C3788" s="1" t="n">
        <v>45796</v>
      </c>
      <c r="D3788" t="inlineStr">
        <is>
          <t>SKÅNE LÄN</t>
        </is>
      </c>
      <c r="E3788" t="inlineStr">
        <is>
          <t>PERSTORP</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11715-2023</t>
        </is>
      </c>
      <c r="B3789" s="1" t="n">
        <v>44992</v>
      </c>
      <c r="C3789" s="1" t="n">
        <v>45796</v>
      </c>
      <c r="D3789" t="inlineStr">
        <is>
          <t>SKÅNE LÄN</t>
        </is>
      </c>
      <c r="E3789" t="inlineStr">
        <is>
          <t>HÄSSLEHOLM</t>
        </is>
      </c>
      <c r="F3789" t="inlineStr">
        <is>
          <t>Övriga Aktiebolag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11676-2023</t>
        </is>
      </c>
      <c r="B3790" s="1" t="n">
        <v>44992</v>
      </c>
      <c r="C3790" s="1" t="n">
        <v>45796</v>
      </c>
      <c r="D3790" t="inlineStr">
        <is>
          <t>SKÅNE LÄN</t>
        </is>
      </c>
      <c r="E3790" t="inlineStr">
        <is>
          <t>KLIPPAN</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11335-2023</t>
        </is>
      </c>
      <c r="B3791" s="1" t="n">
        <v>44993</v>
      </c>
      <c r="C3791" s="1" t="n">
        <v>45796</v>
      </c>
      <c r="D3791" t="inlineStr">
        <is>
          <t>SKÅNE LÄN</t>
        </is>
      </c>
      <c r="E3791" t="inlineStr">
        <is>
          <t>KLIPPAN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11454-2023</t>
        </is>
      </c>
      <c r="B3792" s="1" t="n">
        <v>44993</v>
      </c>
      <c r="C3792" s="1" t="n">
        <v>45796</v>
      </c>
      <c r="D3792" t="inlineStr">
        <is>
          <t>SKÅNE LÄN</t>
        </is>
      </c>
      <c r="E3792" t="inlineStr">
        <is>
          <t>BROMÖLLA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11505-2023</t>
        </is>
      </c>
      <c r="B3793" s="1" t="n">
        <v>44993</v>
      </c>
      <c r="C3793" s="1" t="n">
        <v>45796</v>
      </c>
      <c r="D3793" t="inlineStr">
        <is>
          <t>SKÅNE LÄN</t>
        </is>
      </c>
      <c r="E3793" t="inlineStr">
        <is>
          <t>KRISTIANSTAD</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11515-2023</t>
        </is>
      </c>
      <c r="B3794" s="1" t="n">
        <v>44993</v>
      </c>
      <c r="C3794" s="1" t="n">
        <v>45796</v>
      </c>
      <c r="D3794" t="inlineStr">
        <is>
          <t>SKÅNE LÄN</t>
        </is>
      </c>
      <c r="E3794" t="inlineStr">
        <is>
          <t>OSBY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11922-2023</t>
        </is>
      </c>
      <c r="B3795" s="1" t="n">
        <v>44993</v>
      </c>
      <c r="C3795" s="1" t="n">
        <v>45796</v>
      </c>
      <c r="D3795" t="inlineStr">
        <is>
          <t>SKÅNE LÄN</t>
        </is>
      </c>
      <c r="E3795" t="inlineStr">
        <is>
          <t>SVALÖV</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11605-2023</t>
        </is>
      </c>
      <c r="B3796" s="1" t="n">
        <v>44994</v>
      </c>
      <c r="C3796" s="1" t="n">
        <v>45796</v>
      </c>
      <c r="D3796" t="inlineStr">
        <is>
          <t>SKÅNE LÄN</t>
        </is>
      </c>
      <c r="E3796" t="inlineStr">
        <is>
          <t>ÖRKELLJUNGA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11773-2023</t>
        </is>
      </c>
      <c r="B3797" s="1" t="n">
        <v>44994</v>
      </c>
      <c r="C3797" s="1" t="n">
        <v>45796</v>
      </c>
      <c r="D3797" t="inlineStr">
        <is>
          <t>SKÅNE LÄN</t>
        </is>
      </c>
      <c r="E3797" t="inlineStr">
        <is>
          <t>OSBY</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11780-2023</t>
        </is>
      </c>
      <c r="B3798" s="1" t="n">
        <v>44994</v>
      </c>
      <c r="C3798" s="1" t="n">
        <v>45796</v>
      </c>
      <c r="D3798" t="inlineStr">
        <is>
          <t>SKÅNE LÄN</t>
        </is>
      </c>
      <c r="E3798" t="inlineStr">
        <is>
          <t>OSBY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11836-2023</t>
        </is>
      </c>
      <c r="B3799" s="1" t="n">
        <v>44994</v>
      </c>
      <c r="C3799" s="1" t="n">
        <v>45796</v>
      </c>
      <c r="D3799" t="inlineStr">
        <is>
          <t>SKÅNE LÄN</t>
        </is>
      </c>
      <c r="E3799" t="inlineStr">
        <is>
          <t>PERSTORP</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11837-2023</t>
        </is>
      </c>
      <c r="B3800" s="1" t="n">
        <v>44995</v>
      </c>
      <c r="C3800" s="1" t="n">
        <v>45796</v>
      </c>
      <c r="D3800" t="inlineStr">
        <is>
          <t>SKÅNE LÄN</t>
        </is>
      </c>
      <c r="E3800" t="inlineStr">
        <is>
          <t>OSBY</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11840-2023</t>
        </is>
      </c>
      <c r="B3801" s="1" t="n">
        <v>44995</v>
      </c>
      <c r="C3801" s="1" t="n">
        <v>45796</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12021-2023</t>
        </is>
      </c>
      <c r="B3802" s="1" t="n">
        <v>44995</v>
      </c>
      <c r="C3802" s="1" t="n">
        <v>45796</v>
      </c>
      <c r="D3802" t="inlineStr">
        <is>
          <t>SKÅNE LÄN</t>
        </is>
      </c>
      <c r="E3802" t="inlineStr">
        <is>
          <t>ÖSTRA GÖINGE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11970-2023</t>
        </is>
      </c>
      <c r="B3803" s="1" t="n">
        <v>44995</v>
      </c>
      <c r="C3803" s="1" t="n">
        <v>45796</v>
      </c>
      <c r="D3803" t="inlineStr">
        <is>
          <t>SKÅNE LÄN</t>
        </is>
      </c>
      <c r="E3803" t="inlineStr">
        <is>
          <t>KRISTIANSTAD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11997-2023</t>
        </is>
      </c>
      <c r="B3804" s="1" t="n">
        <v>44995</v>
      </c>
      <c r="C3804" s="1" t="n">
        <v>45796</v>
      </c>
      <c r="D3804" t="inlineStr">
        <is>
          <t>SKÅNE LÄN</t>
        </is>
      </c>
      <c r="E3804" t="inlineStr">
        <is>
          <t>KRISTIANSTAD</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12070-2023</t>
        </is>
      </c>
      <c r="B3805" s="1" t="n">
        <v>44997</v>
      </c>
      <c r="C3805" s="1" t="n">
        <v>45796</v>
      </c>
      <c r="D3805" t="inlineStr">
        <is>
          <t>SKÅNE LÄN</t>
        </is>
      </c>
      <c r="E3805" t="inlineStr">
        <is>
          <t>OSBY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12317-2023</t>
        </is>
      </c>
      <c r="B3806" s="1" t="n">
        <v>44997</v>
      </c>
      <c r="C3806" s="1" t="n">
        <v>45796</v>
      </c>
      <c r="D3806" t="inlineStr">
        <is>
          <t>SKÅNE LÄN</t>
        </is>
      </c>
      <c r="E3806" t="inlineStr">
        <is>
          <t>KRISTIANSTAD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12068-2023</t>
        </is>
      </c>
      <c r="B3807" s="1" t="n">
        <v>44997</v>
      </c>
      <c r="C3807" s="1" t="n">
        <v>45796</v>
      </c>
      <c r="D3807" t="inlineStr">
        <is>
          <t>SKÅNE LÄN</t>
        </is>
      </c>
      <c r="E3807" t="inlineStr">
        <is>
          <t>OSBY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12180-2023</t>
        </is>
      </c>
      <c r="B3808" s="1" t="n">
        <v>44998</v>
      </c>
      <c r="C3808" s="1" t="n">
        <v>45796</v>
      </c>
      <c r="D3808" t="inlineStr">
        <is>
          <t>SKÅNE LÄN</t>
        </is>
      </c>
      <c r="E3808" t="inlineStr">
        <is>
          <t>TOMELILLA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12235-2023</t>
        </is>
      </c>
      <c r="B3809" s="1" t="n">
        <v>44998</v>
      </c>
      <c r="C3809" s="1" t="n">
        <v>45796</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12162-2023</t>
        </is>
      </c>
      <c r="B3810" s="1" t="n">
        <v>44998</v>
      </c>
      <c r="C3810" s="1" t="n">
        <v>45796</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12181-2023</t>
        </is>
      </c>
      <c r="B3811" s="1" t="n">
        <v>44998</v>
      </c>
      <c r="C3811" s="1" t="n">
        <v>45796</v>
      </c>
      <c r="D3811" t="inlineStr">
        <is>
          <t>SKÅNE LÄN</t>
        </is>
      </c>
      <c r="E3811" t="inlineStr">
        <is>
          <t>TOMELILLA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12310-2023</t>
        </is>
      </c>
      <c r="B3812" s="1" t="n">
        <v>44999</v>
      </c>
      <c r="C3812" s="1" t="n">
        <v>45796</v>
      </c>
      <c r="D3812" t="inlineStr">
        <is>
          <t>SKÅNE LÄN</t>
        </is>
      </c>
      <c r="E3812" t="inlineStr">
        <is>
          <t>TOMELILLA</t>
        </is>
      </c>
      <c r="F3812" t="inlineStr">
        <is>
          <t>Sveaskog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12346-2023</t>
        </is>
      </c>
      <c r="B3813" s="1" t="n">
        <v>44999</v>
      </c>
      <c r="C3813" s="1" t="n">
        <v>45796</v>
      </c>
      <c r="D3813" t="inlineStr">
        <is>
          <t>SKÅNE LÄN</t>
        </is>
      </c>
      <c r="E3813" t="inlineStr">
        <is>
          <t>HÄSSLEHOLM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12354-2023</t>
        </is>
      </c>
      <c r="B3814" s="1" t="n">
        <v>44999</v>
      </c>
      <c r="C3814" s="1" t="n">
        <v>45796</v>
      </c>
      <c r="D3814" t="inlineStr">
        <is>
          <t>SKÅNE LÄN</t>
        </is>
      </c>
      <c r="E3814" t="inlineStr">
        <is>
          <t>TOMELILLA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12344-2023</t>
        </is>
      </c>
      <c r="B3815" s="1" t="n">
        <v>44999</v>
      </c>
      <c r="C3815" s="1" t="n">
        <v>45796</v>
      </c>
      <c r="D3815" t="inlineStr">
        <is>
          <t>SKÅNE LÄN</t>
        </is>
      </c>
      <c r="E3815" t="inlineStr">
        <is>
          <t>HÄSSLEHOLM</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12472-2023</t>
        </is>
      </c>
      <c r="B3816" s="1" t="n">
        <v>44999</v>
      </c>
      <c r="C3816" s="1" t="n">
        <v>45796</v>
      </c>
      <c r="D3816" t="inlineStr">
        <is>
          <t>SKÅNE LÄN</t>
        </is>
      </c>
      <c r="E3816" t="inlineStr">
        <is>
          <t>BROMÖLLA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12483-2023</t>
        </is>
      </c>
      <c r="B3817" s="1" t="n">
        <v>44999</v>
      </c>
      <c r="C3817" s="1" t="n">
        <v>45796</v>
      </c>
      <c r="D3817" t="inlineStr">
        <is>
          <t>SKÅNE LÄN</t>
        </is>
      </c>
      <c r="E3817" t="inlineStr">
        <is>
          <t>ÖRKELLJUNGA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12469-2023</t>
        </is>
      </c>
      <c r="B3818" s="1" t="n">
        <v>44999</v>
      </c>
      <c r="C3818" s="1" t="n">
        <v>45796</v>
      </c>
      <c r="D3818" t="inlineStr">
        <is>
          <t>SKÅNE LÄN</t>
        </is>
      </c>
      <c r="E3818" t="inlineStr">
        <is>
          <t>HÄSSLEHOLM</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12570-2023</t>
        </is>
      </c>
      <c r="B3819" s="1" t="n">
        <v>44999</v>
      </c>
      <c r="C3819" s="1" t="n">
        <v>45796</v>
      </c>
      <c r="D3819" t="inlineStr">
        <is>
          <t>SKÅNE LÄN</t>
        </is>
      </c>
      <c r="E3819" t="inlineStr">
        <is>
          <t>HÄSSLEHOLM</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12623-2023</t>
        </is>
      </c>
      <c r="B3820" s="1" t="n">
        <v>44999</v>
      </c>
      <c r="C3820" s="1" t="n">
        <v>45796</v>
      </c>
      <c r="D3820" t="inlineStr">
        <is>
          <t>SKÅNE LÄN</t>
        </is>
      </c>
      <c r="E3820" t="inlineStr">
        <is>
          <t>SVALÖV</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12615-2023</t>
        </is>
      </c>
      <c r="B3821" s="1" t="n">
        <v>45000</v>
      </c>
      <c r="C3821" s="1" t="n">
        <v>45796</v>
      </c>
      <c r="D3821" t="inlineStr">
        <is>
          <t>SKÅNE LÄN</t>
        </is>
      </c>
      <c r="E3821" t="inlineStr">
        <is>
          <t>KRISTIANSTAD</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12558-2023</t>
        </is>
      </c>
      <c r="B3822" s="1" t="n">
        <v>45000</v>
      </c>
      <c r="C3822" s="1" t="n">
        <v>45796</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12721-2023</t>
        </is>
      </c>
      <c r="B3823" s="1" t="n">
        <v>45000</v>
      </c>
      <c r="C3823" s="1" t="n">
        <v>45796</v>
      </c>
      <c r="D3823" t="inlineStr">
        <is>
          <t>SKÅNE LÄN</t>
        </is>
      </c>
      <c r="E3823" t="inlineStr">
        <is>
          <t>BROMÖLLA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12725-2023</t>
        </is>
      </c>
      <c r="B3824" s="1" t="n">
        <v>45000</v>
      </c>
      <c r="C3824" s="1" t="n">
        <v>45796</v>
      </c>
      <c r="D3824" t="inlineStr">
        <is>
          <t>SKÅNE LÄN</t>
        </is>
      </c>
      <c r="E3824" t="inlineStr">
        <is>
          <t>KLIPPAN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12718-2023</t>
        </is>
      </c>
      <c r="B3825" s="1" t="n">
        <v>45000</v>
      </c>
      <c r="C3825" s="1" t="n">
        <v>45796</v>
      </c>
      <c r="D3825" t="inlineStr">
        <is>
          <t>SKÅNE LÄN</t>
        </is>
      </c>
      <c r="E3825" t="inlineStr">
        <is>
          <t>BROMÖLLA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12839-2023</t>
        </is>
      </c>
      <c r="B3826" s="1" t="n">
        <v>45000</v>
      </c>
      <c r="C3826" s="1" t="n">
        <v>45796</v>
      </c>
      <c r="D3826" t="inlineStr">
        <is>
          <t>SKÅNE LÄN</t>
        </is>
      </c>
      <c r="E3826" t="inlineStr">
        <is>
          <t>HÄSSLEHOLM</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12842-2023</t>
        </is>
      </c>
      <c r="B3827" s="1" t="n">
        <v>45001</v>
      </c>
      <c r="C3827" s="1" t="n">
        <v>45796</v>
      </c>
      <c r="D3827" t="inlineStr">
        <is>
          <t>SKÅNE LÄN</t>
        </is>
      </c>
      <c r="E3827" t="inlineStr">
        <is>
          <t>HÖÖR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12833-2023</t>
        </is>
      </c>
      <c r="B3828" s="1" t="n">
        <v>45001</v>
      </c>
      <c r="C3828" s="1" t="n">
        <v>45796</v>
      </c>
      <c r="D3828" t="inlineStr">
        <is>
          <t>SKÅNE LÄN</t>
        </is>
      </c>
      <c r="E3828" t="inlineStr">
        <is>
          <t>HÖÖR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12855-2023</t>
        </is>
      </c>
      <c r="B3829" s="1" t="n">
        <v>45001</v>
      </c>
      <c r="C3829" s="1" t="n">
        <v>45796</v>
      </c>
      <c r="D3829" t="inlineStr">
        <is>
          <t>SKÅNE LÄN</t>
        </is>
      </c>
      <c r="E3829" t="inlineStr">
        <is>
          <t>HÖÖR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12843-2023</t>
        </is>
      </c>
      <c r="B3830" s="1" t="n">
        <v>45001</v>
      </c>
      <c r="C3830" s="1" t="n">
        <v>45796</v>
      </c>
      <c r="D3830" t="inlineStr">
        <is>
          <t>SKÅNE LÄN</t>
        </is>
      </c>
      <c r="E3830" t="inlineStr">
        <is>
          <t>HÄSSLEHOLM</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12903-2023</t>
        </is>
      </c>
      <c r="B3831" s="1" t="n">
        <v>45001</v>
      </c>
      <c r="C3831" s="1" t="n">
        <v>45796</v>
      </c>
      <c r="D3831" t="inlineStr">
        <is>
          <t>SKÅNE LÄN</t>
        </is>
      </c>
      <c r="E3831" t="inlineStr">
        <is>
          <t>OSBY</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13087-2023</t>
        </is>
      </c>
      <c r="B3832" s="1" t="n">
        <v>45001</v>
      </c>
      <c r="C3832" s="1" t="n">
        <v>45796</v>
      </c>
      <c r="D3832" t="inlineStr">
        <is>
          <t>SKÅNE LÄN</t>
        </is>
      </c>
      <c r="E3832" t="inlineStr">
        <is>
          <t>HÄSSLEHOLM</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13068-2023</t>
        </is>
      </c>
      <c r="B3833" s="1" t="n">
        <v>45002</v>
      </c>
      <c r="C3833" s="1" t="n">
        <v>45796</v>
      </c>
      <c r="D3833" t="inlineStr">
        <is>
          <t>SKÅNE LÄN</t>
        </is>
      </c>
      <c r="E3833" t="inlineStr">
        <is>
          <t>ÖRKELLJUNGA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13143-2023</t>
        </is>
      </c>
      <c r="B3834" s="1" t="n">
        <v>45002</v>
      </c>
      <c r="C3834" s="1" t="n">
        <v>45796</v>
      </c>
      <c r="D3834" t="inlineStr">
        <is>
          <t>SKÅNE LÄN</t>
        </is>
      </c>
      <c r="E3834" t="inlineStr">
        <is>
          <t>OSBY</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13070-2023</t>
        </is>
      </c>
      <c r="B3835" s="1" t="n">
        <v>45002</v>
      </c>
      <c r="C3835" s="1" t="n">
        <v>45796</v>
      </c>
      <c r="D3835" t="inlineStr">
        <is>
          <t>SKÅNE LÄN</t>
        </is>
      </c>
      <c r="E3835" t="inlineStr">
        <is>
          <t>KRISTIANSTAD</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13138-2023</t>
        </is>
      </c>
      <c r="B3836" s="1" t="n">
        <v>45002</v>
      </c>
      <c r="C3836" s="1" t="n">
        <v>45796</v>
      </c>
      <c r="D3836" t="inlineStr">
        <is>
          <t>SKÅNE LÄN</t>
        </is>
      </c>
      <c r="E3836" t="inlineStr">
        <is>
          <t>OSBY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13211-2023</t>
        </is>
      </c>
      <c r="B3837" s="1" t="n">
        <v>45002</v>
      </c>
      <c r="C3837" s="1" t="n">
        <v>45796</v>
      </c>
      <c r="D3837" t="inlineStr">
        <is>
          <t>SKÅNE LÄN</t>
        </is>
      </c>
      <c r="E3837" t="inlineStr">
        <is>
          <t>KRISTIANSTAD</t>
        </is>
      </c>
      <c r="F3837" t="inlineStr">
        <is>
          <t>Kyrkan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13267-2023</t>
        </is>
      </c>
      <c r="B3838" s="1" t="n">
        <v>45003</v>
      </c>
      <c r="C3838" s="1" t="n">
        <v>45796</v>
      </c>
      <c r="D3838" t="inlineStr">
        <is>
          <t>SKÅNE LÄN</t>
        </is>
      </c>
      <c r="E3838" t="inlineStr">
        <is>
          <t>PERSTORP</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13291-2023</t>
        </is>
      </c>
      <c r="B3839" s="1" t="n">
        <v>45004</v>
      </c>
      <c r="C3839" s="1" t="n">
        <v>45796</v>
      </c>
      <c r="D3839" t="inlineStr">
        <is>
          <t>SKÅNE LÄN</t>
        </is>
      </c>
      <c r="E3839" t="inlineStr">
        <is>
          <t>HÖÖR</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13316-2023</t>
        </is>
      </c>
      <c r="B3840" s="1" t="n">
        <v>45005</v>
      </c>
      <c r="C3840" s="1" t="n">
        <v>45796</v>
      </c>
      <c r="D3840" t="inlineStr">
        <is>
          <t>SKÅNE LÄN</t>
        </is>
      </c>
      <c r="E3840" t="inlineStr">
        <is>
          <t>HÄSSLEHOLM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13344-2023</t>
        </is>
      </c>
      <c r="B3841" s="1" t="n">
        <v>45005</v>
      </c>
      <c r="C3841" s="1" t="n">
        <v>45796</v>
      </c>
      <c r="D3841" t="inlineStr">
        <is>
          <t>SKÅNE LÄN</t>
        </is>
      </c>
      <c r="E3841" t="inlineStr">
        <is>
          <t>SVEDALA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13429-2023</t>
        </is>
      </c>
      <c r="B3842" s="1" t="n">
        <v>45005</v>
      </c>
      <c r="C3842" s="1" t="n">
        <v>45796</v>
      </c>
      <c r="D3842" t="inlineStr">
        <is>
          <t>SKÅNE LÄN</t>
        </is>
      </c>
      <c r="E3842" t="inlineStr">
        <is>
          <t>HÖÖR</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13432-2023</t>
        </is>
      </c>
      <c r="B3843" s="1" t="n">
        <v>45005</v>
      </c>
      <c r="C3843" s="1" t="n">
        <v>45796</v>
      </c>
      <c r="D3843" t="inlineStr">
        <is>
          <t>SKÅNE LÄN</t>
        </is>
      </c>
      <c r="E3843" t="inlineStr">
        <is>
          <t>HÖÖR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13437-2023</t>
        </is>
      </c>
      <c r="B3844" s="1" t="n">
        <v>45005</v>
      </c>
      <c r="C3844" s="1" t="n">
        <v>45796</v>
      </c>
      <c r="D3844" t="inlineStr">
        <is>
          <t>SKÅNE LÄN</t>
        </is>
      </c>
      <c r="E3844" t="inlineStr">
        <is>
          <t>HÖÖR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13363-2023</t>
        </is>
      </c>
      <c r="B3845" s="1" t="n">
        <v>45005</v>
      </c>
      <c r="C3845" s="1" t="n">
        <v>45796</v>
      </c>
      <c r="D3845" t="inlineStr">
        <is>
          <t>SKÅNE LÄN</t>
        </is>
      </c>
      <c r="E3845" t="inlineStr">
        <is>
          <t>KLIPPAN</t>
        </is>
      </c>
      <c r="F3845" t="inlineStr">
        <is>
          <t>Övriga Aktiebolag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13420-2023</t>
        </is>
      </c>
      <c r="B3846" s="1" t="n">
        <v>45005</v>
      </c>
      <c r="C3846" s="1" t="n">
        <v>45796</v>
      </c>
      <c r="D3846" t="inlineStr">
        <is>
          <t>SKÅNE LÄN</t>
        </is>
      </c>
      <c r="E3846" t="inlineStr">
        <is>
          <t>KLIPPAN</t>
        </is>
      </c>
      <c r="F3846" t="inlineStr">
        <is>
          <t>Övriga Aktiebolag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13358-2023</t>
        </is>
      </c>
      <c r="B3847" s="1" t="n">
        <v>45005</v>
      </c>
      <c r="C3847" s="1" t="n">
        <v>45796</v>
      </c>
      <c r="D3847" t="inlineStr">
        <is>
          <t>SKÅNE LÄN</t>
        </is>
      </c>
      <c r="E3847" t="inlineStr">
        <is>
          <t>HÄSSLEHOLM</t>
        </is>
      </c>
      <c r="F3847" t="inlineStr">
        <is>
          <t>Övriga Aktiebolag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13410-2023</t>
        </is>
      </c>
      <c r="B3848" s="1" t="n">
        <v>45005</v>
      </c>
      <c r="C3848" s="1" t="n">
        <v>45796</v>
      </c>
      <c r="D3848" t="inlineStr">
        <is>
          <t>SKÅNE LÄN</t>
        </is>
      </c>
      <c r="E3848" t="inlineStr">
        <is>
          <t>PERSTORP</t>
        </is>
      </c>
      <c r="F3848" t="inlineStr">
        <is>
          <t>Övriga Aktiebolag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13651-2023</t>
        </is>
      </c>
      <c r="B3849" s="1" t="n">
        <v>45006</v>
      </c>
      <c r="C3849" s="1" t="n">
        <v>45796</v>
      </c>
      <c r="D3849" t="inlineStr">
        <is>
          <t>SKÅNE LÄN</t>
        </is>
      </c>
      <c r="E3849" t="inlineStr">
        <is>
          <t>HELSINGBORG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13637-2023</t>
        </is>
      </c>
      <c r="B3850" s="1" t="n">
        <v>45006</v>
      </c>
      <c r="C3850" s="1" t="n">
        <v>45796</v>
      </c>
      <c r="D3850" t="inlineStr">
        <is>
          <t>SKÅNE LÄN</t>
        </is>
      </c>
      <c r="E3850" t="inlineStr">
        <is>
          <t>HELSINGBORG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13673-2023</t>
        </is>
      </c>
      <c r="B3851" s="1" t="n">
        <v>45006</v>
      </c>
      <c r="C3851" s="1" t="n">
        <v>45796</v>
      </c>
      <c r="D3851" t="inlineStr">
        <is>
          <t>SKÅNE LÄN</t>
        </is>
      </c>
      <c r="E3851" t="inlineStr">
        <is>
          <t>HÄSSLEHOLM</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13754-2023</t>
        </is>
      </c>
      <c r="B3852" s="1" t="n">
        <v>45007</v>
      </c>
      <c r="C3852" s="1" t="n">
        <v>45796</v>
      </c>
      <c r="D3852" t="inlineStr">
        <is>
          <t>SKÅNE LÄN</t>
        </is>
      </c>
      <c r="E3852" t="inlineStr">
        <is>
          <t>SJÖBO</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13820-2023</t>
        </is>
      </c>
      <c r="B3853" s="1" t="n">
        <v>45007</v>
      </c>
      <c r="C3853" s="1" t="n">
        <v>45796</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13932-2023</t>
        </is>
      </c>
      <c r="B3854" s="1" t="n">
        <v>45008</v>
      </c>
      <c r="C3854" s="1" t="n">
        <v>45796</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14008-2023</t>
        </is>
      </c>
      <c r="B3855" s="1" t="n">
        <v>45008</v>
      </c>
      <c r="C3855" s="1" t="n">
        <v>45796</v>
      </c>
      <c r="D3855" t="inlineStr">
        <is>
          <t>SKÅNE LÄN</t>
        </is>
      </c>
      <c r="E3855" t="inlineStr">
        <is>
          <t>HÄSSLEHOLM</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13961-2023</t>
        </is>
      </c>
      <c r="B3856" s="1" t="n">
        <v>45008</v>
      </c>
      <c r="C3856" s="1" t="n">
        <v>45796</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13998-2023</t>
        </is>
      </c>
      <c r="B3857" s="1" t="n">
        <v>45008</v>
      </c>
      <c r="C3857" s="1" t="n">
        <v>45796</v>
      </c>
      <c r="D3857" t="inlineStr">
        <is>
          <t>SKÅNE LÄN</t>
        </is>
      </c>
      <c r="E3857" t="inlineStr">
        <is>
          <t>HÄSSLEHOLM</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13954-2023</t>
        </is>
      </c>
      <c r="B3858" s="1" t="n">
        <v>45008</v>
      </c>
      <c r="C3858" s="1" t="n">
        <v>45796</v>
      </c>
      <c r="D3858" t="inlineStr">
        <is>
          <t>SKÅNE LÄN</t>
        </is>
      </c>
      <c r="E3858" t="inlineStr">
        <is>
          <t>HÄSSLEHOLM</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14002-2023</t>
        </is>
      </c>
      <c r="B3859" s="1" t="n">
        <v>45008</v>
      </c>
      <c r="C3859" s="1" t="n">
        <v>45796</v>
      </c>
      <c r="D3859" t="inlineStr">
        <is>
          <t>SKÅNE LÄN</t>
        </is>
      </c>
      <c r="E3859" t="inlineStr">
        <is>
          <t>HÄSSLEHOLM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13992-2023</t>
        </is>
      </c>
      <c r="B3860" s="1" t="n">
        <v>45008</v>
      </c>
      <c r="C3860" s="1" t="n">
        <v>45796</v>
      </c>
      <c r="D3860" t="inlineStr">
        <is>
          <t>SKÅNE LÄN</t>
        </is>
      </c>
      <c r="E3860" t="inlineStr">
        <is>
          <t>HÄSSLEHOLM</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14145-2023</t>
        </is>
      </c>
      <c r="B3861" s="1" t="n">
        <v>45009</v>
      </c>
      <c r="C3861" s="1" t="n">
        <v>45796</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14105-2023</t>
        </is>
      </c>
      <c r="B3862" s="1" t="n">
        <v>45009</v>
      </c>
      <c r="C3862" s="1" t="n">
        <v>45796</v>
      </c>
      <c r="D3862" t="inlineStr">
        <is>
          <t>SKÅNE LÄN</t>
        </is>
      </c>
      <c r="E3862" t="inlineStr">
        <is>
          <t>KRISTIANSTAD</t>
        </is>
      </c>
      <c r="F3862" t="inlineStr">
        <is>
          <t>Övriga Aktiebolag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14152-2023</t>
        </is>
      </c>
      <c r="B3863" s="1" t="n">
        <v>45009</v>
      </c>
      <c r="C3863" s="1" t="n">
        <v>45796</v>
      </c>
      <c r="D3863" t="inlineStr">
        <is>
          <t>SKÅNE LÄN</t>
        </is>
      </c>
      <c r="E3863" t="inlineStr">
        <is>
          <t>TOMELILLA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14203-2023</t>
        </is>
      </c>
      <c r="B3864" s="1" t="n">
        <v>45009</v>
      </c>
      <c r="C3864" s="1" t="n">
        <v>45796</v>
      </c>
      <c r="D3864" t="inlineStr">
        <is>
          <t>SKÅNE LÄN</t>
        </is>
      </c>
      <c r="E3864" t="inlineStr">
        <is>
          <t>KRISTIANSTAD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14214-2023</t>
        </is>
      </c>
      <c r="B3865" s="1" t="n">
        <v>45009</v>
      </c>
      <c r="C3865" s="1" t="n">
        <v>45796</v>
      </c>
      <c r="D3865" t="inlineStr">
        <is>
          <t>SKÅNE LÄN</t>
        </is>
      </c>
      <c r="E3865" t="inlineStr">
        <is>
          <t>KRISTIANSTAD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14143-2023</t>
        </is>
      </c>
      <c r="B3866" s="1" t="n">
        <v>45009</v>
      </c>
      <c r="C3866" s="1" t="n">
        <v>45796</v>
      </c>
      <c r="D3866" t="inlineStr">
        <is>
          <t>SKÅNE LÄN</t>
        </is>
      </c>
      <c r="E3866" t="inlineStr">
        <is>
          <t>OSBY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14148-2023</t>
        </is>
      </c>
      <c r="B3867" s="1" t="n">
        <v>45009</v>
      </c>
      <c r="C3867" s="1" t="n">
        <v>45796</v>
      </c>
      <c r="D3867" t="inlineStr">
        <is>
          <t>SKÅNE LÄN</t>
        </is>
      </c>
      <c r="E3867" t="inlineStr">
        <is>
          <t>OSBY</t>
        </is>
      </c>
      <c r="G3867" t="n">
        <v>15.7</v>
      </c>
      <c r="H3867" t="n">
        <v>0</v>
      </c>
      <c r="I3867" t="n">
        <v>0</v>
      </c>
      <c r="J3867" t="n">
        <v>0</v>
      </c>
      <c r="K3867" t="n">
        <v>0</v>
      </c>
      <c r="L3867" t="n">
        <v>0</v>
      </c>
      <c r="M3867" t="n">
        <v>0</v>
      </c>
      <c r="N3867" t="n">
        <v>0</v>
      </c>
      <c r="O3867" t="n">
        <v>0</v>
      </c>
      <c r="P3867" t="n">
        <v>0</v>
      </c>
      <c r="Q3867" t="n">
        <v>0</v>
      </c>
      <c r="R3867" s="2" t="inlineStr"/>
    </row>
    <row r="3868" ht="15" customHeight="1">
      <c r="A3868" t="inlineStr">
        <is>
          <t>A 14154-2023</t>
        </is>
      </c>
      <c r="B3868" s="1" t="n">
        <v>45009</v>
      </c>
      <c r="C3868" s="1" t="n">
        <v>45796</v>
      </c>
      <c r="D3868" t="inlineStr">
        <is>
          <t>SKÅNE LÄN</t>
        </is>
      </c>
      <c r="E3868" t="inlineStr">
        <is>
          <t>TOMELILLA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14223-2023</t>
        </is>
      </c>
      <c r="B3869" s="1" t="n">
        <v>45009</v>
      </c>
      <c r="C3869" s="1" t="n">
        <v>45796</v>
      </c>
      <c r="D3869" t="inlineStr">
        <is>
          <t>SKÅNE LÄN</t>
        </is>
      </c>
      <c r="E3869" t="inlineStr">
        <is>
          <t>KRISTIANSTAD</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14232-2023</t>
        </is>
      </c>
      <c r="B3870" s="1" t="n">
        <v>45009</v>
      </c>
      <c r="C3870" s="1" t="n">
        <v>45796</v>
      </c>
      <c r="D3870" t="inlineStr">
        <is>
          <t>SKÅNE LÄN</t>
        </is>
      </c>
      <c r="E3870" t="inlineStr">
        <is>
          <t>KRISTIANSTAD</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14239-2023</t>
        </is>
      </c>
      <c r="B3871" s="1" t="n">
        <v>45009</v>
      </c>
      <c r="C3871" s="1" t="n">
        <v>45796</v>
      </c>
      <c r="D3871" t="inlineStr">
        <is>
          <t>SKÅNE LÄN</t>
        </is>
      </c>
      <c r="E3871" t="inlineStr">
        <is>
          <t>KRISTIANSTAD</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14254-2023</t>
        </is>
      </c>
      <c r="B3872" s="1" t="n">
        <v>45009</v>
      </c>
      <c r="C3872" s="1" t="n">
        <v>45796</v>
      </c>
      <c r="D3872" t="inlineStr">
        <is>
          <t>SKÅNE LÄN</t>
        </is>
      </c>
      <c r="E3872" t="inlineStr">
        <is>
          <t>ÖRKELLJUNGA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14302-2023</t>
        </is>
      </c>
      <c r="B3873" s="1" t="n">
        <v>45011</v>
      </c>
      <c r="C3873" s="1" t="n">
        <v>45796</v>
      </c>
      <c r="D3873" t="inlineStr">
        <is>
          <t>SKÅNE LÄN</t>
        </is>
      </c>
      <c r="E3873" t="inlineStr">
        <is>
          <t>ÖSTRA GÖINGE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14310-2023</t>
        </is>
      </c>
      <c r="B3874" s="1" t="n">
        <v>45011</v>
      </c>
      <c r="C3874" s="1" t="n">
        <v>45796</v>
      </c>
      <c r="D3874" t="inlineStr">
        <is>
          <t>SKÅNE LÄN</t>
        </is>
      </c>
      <c r="E3874" t="inlineStr">
        <is>
          <t>OSBY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14308-2023</t>
        </is>
      </c>
      <c r="B3875" s="1" t="n">
        <v>45011</v>
      </c>
      <c r="C3875" s="1" t="n">
        <v>45796</v>
      </c>
      <c r="D3875" t="inlineStr">
        <is>
          <t>SKÅNE LÄN</t>
        </is>
      </c>
      <c r="E3875" t="inlineStr">
        <is>
          <t>OSBY</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14307-2023</t>
        </is>
      </c>
      <c r="B3876" s="1" t="n">
        <v>45011</v>
      </c>
      <c r="C3876" s="1" t="n">
        <v>45796</v>
      </c>
      <c r="D3876" t="inlineStr">
        <is>
          <t>SKÅNE LÄN</t>
        </is>
      </c>
      <c r="E3876" t="inlineStr">
        <is>
          <t>OSBY</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14305-2023</t>
        </is>
      </c>
      <c r="B3877" s="1" t="n">
        <v>45011</v>
      </c>
      <c r="C3877" s="1" t="n">
        <v>45796</v>
      </c>
      <c r="D3877" t="inlineStr">
        <is>
          <t>SKÅNE LÄN</t>
        </is>
      </c>
      <c r="E3877" t="inlineStr">
        <is>
          <t>ÖRKELLJUNGA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14400-2023</t>
        </is>
      </c>
      <c r="B3878" s="1" t="n">
        <v>45012</v>
      </c>
      <c r="C3878" s="1" t="n">
        <v>45796</v>
      </c>
      <c r="D3878" t="inlineStr">
        <is>
          <t>SKÅNE LÄN</t>
        </is>
      </c>
      <c r="E3878" t="inlineStr">
        <is>
          <t>ÄNGELHOLM</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14430-2023</t>
        </is>
      </c>
      <c r="B3879" s="1" t="n">
        <v>45012</v>
      </c>
      <c r="C3879" s="1" t="n">
        <v>45796</v>
      </c>
      <c r="D3879" t="inlineStr">
        <is>
          <t>SKÅNE LÄN</t>
        </is>
      </c>
      <c r="E3879" t="inlineStr">
        <is>
          <t>ÖRKELLJUNGA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14442-2023</t>
        </is>
      </c>
      <c r="B3880" s="1" t="n">
        <v>45012</v>
      </c>
      <c r="C3880" s="1" t="n">
        <v>45796</v>
      </c>
      <c r="D3880" t="inlineStr">
        <is>
          <t>SKÅNE LÄN</t>
        </is>
      </c>
      <c r="E3880" t="inlineStr">
        <is>
          <t>KRISTIANSTAD</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14444-2023</t>
        </is>
      </c>
      <c r="B3881" s="1" t="n">
        <v>45012</v>
      </c>
      <c r="C3881" s="1" t="n">
        <v>45796</v>
      </c>
      <c r="D3881" t="inlineStr">
        <is>
          <t>SKÅNE LÄN</t>
        </is>
      </c>
      <c r="E3881" t="inlineStr">
        <is>
          <t>KLIPPAN</t>
        </is>
      </c>
      <c r="F3881" t="inlineStr">
        <is>
          <t>Sveaskog</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14512-2023</t>
        </is>
      </c>
      <c r="B3882" s="1" t="n">
        <v>45012</v>
      </c>
      <c r="C3882" s="1" t="n">
        <v>45796</v>
      </c>
      <c r="D3882" t="inlineStr">
        <is>
          <t>SKÅNE LÄN</t>
        </is>
      </c>
      <c r="E3882" t="inlineStr">
        <is>
          <t>KLIPPAN</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14516-2023</t>
        </is>
      </c>
      <c r="B3883" s="1" t="n">
        <v>45012</v>
      </c>
      <c r="C3883" s="1" t="n">
        <v>45796</v>
      </c>
      <c r="D3883" t="inlineStr">
        <is>
          <t>SKÅNE LÄN</t>
        </is>
      </c>
      <c r="E3883" t="inlineStr">
        <is>
          <t>ÅSTORP</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14515-2023</t>
        </is>
      </c>
      <c r="B3884" s="1" t="n">
        <v>45012</v>
      </c>
      <c r="C3884" s="1" t="n">
        <v>45796</v>
      </c>
      <c r="D3884" t="inlineStr">
        <is>
          <t>SKÅNE LÄN</t>
        </is>
      </c>
      <c r="E3884" t="inlineStr">
        <is>
          <t>HÖÖR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14441-2023</t>
        </is>
      </c>
      <c r="B3885" s="1" t="n">
        <v>45012</v>
      </c>
      <c r="C3885" s="1" t="n">
        <v>45796</v>
      </c>
      <c r="D3885" t="inlineStr">
        <is>
          <t>SKÅNE LÄN</t>
        </is>
      </c>
      <c r="E3885" t="inlineStr">
        <is>
          <t>KRISTIANSTAD</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14495-2023</t>
        </is>
      </c>
      <c r="B3886" s="1" t="n">
        <v>45012</v>
      </c>
      <c r="C3886" s="1" t="n">
        <v>45796</v>
      </c>
      <c r="D3886" t="inlineStr">
        <is>
          <t>SKÅNE LÄN</t>
        </is>
      </c>
      <c r="E3886" t="inlineStr">
        <is>
          <t>OSBY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14513-2023</t>
        </is>
      </c>
      <c r="B3887" s="1" t="n">
        <v>45012</v>
      </c>
      <c r="C3887" s="1" t="n">
        <v>45796</v>
      </c>
      <c r="D3887" t="inlineStr">
        <is>
          <t>SKÅNE LÄN</t>
        </is>
      </c>
      <c r="E3887" t="inlineStr">
        <is>
          <t>KLIPPAN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14517-2023</t>
        </is>
      </c>
      <c r="B3888" s="1" t="n">
        <v>45012</v>
      </c>
      <c r="C3888" s="1" t="n">
        <v>45796</v>
      </c>
      <c r="D3888" t="inlineStr">
        <is>
          <t>SKÅNE LÄN</t>
        </is>
      </c>
      <c r="E3888" t="inlineStr">
        <is>
          <t>ÅSTORP</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14514-2023</t>
        </is>
      </c>
      <c r="B3889" s="1" t="n">
        <v>45012</v>
      </c>
      <c r="C3889" s="1" t="n">
        <v>45796</v>
      </c>
      <c r="D3889" t="inlineStr">
        <is>
          <t>SKÅNE LÄN</t>
        </is>
      </c>
      <c r="E3889" t="inlineStr">
        <is>
          <t>HÖÖR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14633-2023</t>
        </is>
      </c>
      <c r="B3890" s="1" t="n">
        <v>45013</v>
      </c>
      <c r="C3890" s="1" t="n">
        <v>45796</v>
      </c>
      <c r="D3890" t="inlineStr">
        <is>
          <t>SKÅNE LÄN</t>
        </is>
      </c>
      <c r="E3890" t="inlineStr">
        <is>
          <t>HÄSSLEHOLM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14614-2023</t>
        </is>
      </c>
      <c r="B3891" s="1" t="n">
        <v>45013</v>
      </c>
      <c r="C3891" s="1" t="n">
        <v>45796</v>
      </c>
      <c r="D3891" t="inlineStr">
        <is>
          <t>SKÅNE LÄN</t>
        </is>
      </c>
      <c r="E3891" t="inlineStr">
        <is>
          <t>KLIPPAN</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14562-2023</t>
        </is>
      </c>
      <c r="B3892" s="1" t="n">
        <v>45013</v>
      </c>
      <c r="C3892" s="1" t="n">
        <v>45796</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14612-2023</t>
        </is>
      </c>
      <c r="B3893" s="1" t="n">
        <v>45013</v>
      </c>
      <c r="C3893" s="1" t="n">
        <v>45796</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14634-2023</t>
        </is>
      </c>
      <c r="B3894" s="1" t="n">
        <v>45013</v>
      </c>
      <c r="C3894" s="1" t="n">
        <v>45796</v>
      </c>
      <c r="D3894" t="inlineStr">
        <is>
          <t>SKÅNE LÄN</t>
        </is>
      </c>
      <c r="E3894" t="inlineStr">
        <is>
          <t>OSBY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14666-2023</t>
        </is>
      </c>
      <c r="B3895" s="1" t="n">
        <v>45013</v>
      </c>
      <c r="C3895" s="1" t="n">
        <v>45796</v>
      </c>
      <c r="D3895" t="inlineStr">
        <is>
          <t>SKÅNE LÄN</t>
        </is>
      </c>
      <c r="E3895" t="inlineStr">
        <is>
          <t>HÄSSLEHOLM</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14615-2023</t>
        </is>
      </c>
      <c r="B3896" s="1" t="n">
        <v>45013</v>
      </c>
      <c r="C3896" s="1" t="n">
        <v>45796</v>
      </c>
      <c r="D3896" t="inlineStr">
        <is>
          <t>SKÅNE LÄN</t>
        </is>
      </c>
      <c r="E3896" t="inlineStr">
        <is>
          <t>HÄSSLEHOLM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14619-2023</t>
        </is>
      </c>
      <c r="B3897" s="1" t="n">
        <v>45013</v>
      </c>
      <c r="C3897" s="1" t="n">
        <v>45796</v>
      </c>
      <c r="D3897" t="inlineStr">
        <is>
          <t>SKÅNE LÄN</t>
        </is>
      </c>
      <c r="E3897" t="inlineStr">
        <is>
          <t>KLIPPAN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14747-2023</t>
        </is>
      </c>
      <c r="B3898" s="1" t="n">
        <v>45014</v>
      </c>
      <c r="C3898" s="1" t="n">
        <v>45796</v>
      </c>
      <c r="D3898" t="inlineStr">
        <is>
          <t>SKÅNE LÄN</t>
        </is>
      </c>
      <c r="E3898" t="inlineStr">
        <is>
          <t>SJÖBO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14682-2023</t>
        </is>
      </c>
      <c r="B3899" s="1" t="n">
        <v>45014</v>
      </c>
      <c r="C3899" s="1" t="n">
        <v>45796</v>
      </c>
      <c r="D3899" t="inlineStr">
        <is>
          <t>SKÅNE LÄN</t>
        </is>
      </c>
      <c r="E3899" t="inlineStr">
        <is>
          <t>KRISTIANSTAD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14700-2023</t>
        </is>
      </c>
      <c r="B3900" s="1" t="n">
        <v>45014</v>
      </c>
      <c r="C3900" s="1" t="n">
        <v>45796</v>
      </c>
      <c r="D3900" t="inlineStr">
        <is>
          <t>SKÅNE LÄN</t>
        </is>
      </c>
      <c r="E3900" t="inlineStr">
        <is>
          <t>HÄSSLEHOLM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14837-2023</t>
        </is>
      </c>
      <c r="B3901" s="1" t="n">
        <v>45014</v>
      </c>
      <c r="C3901" s="1" t="n">
        <v>45796</v>
      </c>
      <c r="D3901" t="inlineStr">
        <is>
          <t>SKÅNE LÄN</t>
        </is>
      </c>
      <c r="E3901" t="inlineStr">
        <is>
          <t>KRISTIANSTAD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14939-2023</t>
        </is>
      </c>
      <c r="B3902" s="1" t="n">
        <v>45014</v>
      </c>
      <c r="C3902" s="1" t="n">
        <v>45796</v>
      </c>
      <c r="D3902" t="inlineStr">
        <is>
          <t>SKÅNE LÄN</t>
        </is>
      </c>
      <c r="E3902" t="inlineStr">
        <is>
          <t>HÄSSLEHOLM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15041-2023</t>
        </is>
      </c>
      <c r="B3903" s="1" t="n">
        <v>45015</v>
      </c>
      <c r="C3903" s="1" t="n">
        <v>45796</v>
      </c>
      <c r="D3903" t="inlineStr">
        <is>
          <t>SKÅNE LÄN</t>
        </is>
      </c>
      <c r="E3903" t="inlineStr">
        <is>
          <t>OSBY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15053-2023</t>
        </is>
      </c>
      <c r="B3904" s="1" t="n">
        <v>45015</v>
      </c>
      <c r="C3904" s="1" t="n">
        <v>45796</v>
      </c>
      <c r="D3904" t="inlineStr">
        <is>
          <t>SKÅNE LÄN</t>
        </is>
      </c>
      <c r="E3904" t="inlineStr">
        <is>
          <t>HÄSSLEHOLM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15051-2023</t>
        </is>
      </c>
      <c r="B3905" s="1" t="n">
        <v>45015</v>
      </c>
      <c r="C3905" s="1" t="n">
        <v>45796</v>
      </c>
      <c r="D3905" t="inlineStr">
        <is>
          <t>SKÅNE LÄN</t>
        </is>
      </c>
      <c r="E3905" t="inlineStr">
        <is>
          <t>HÖRBY</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15055-2023</t>
        </is>
      </c>
      <c r="B3906" s="1" t="n">
        <v>45015</v>
      </c>
      <c r="C3906" s="1" t="n">
        <v>45796</v>
      </c>
      <c r="D3906" t="inlineStr">
        <is>
          <t>SKÅNE LÄN</t>
        </is>
      </c>
      <c r="E3906" t="inlineStr">
        <is>
          <t>HÄSSLEHOLM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15059-2023</t>
        </is>
      </c>
      <c r="B3907" s="1" t="n">
        <v>45015</v>
      </c>
      <c r="C3907" s="1" t="n">
        <v>45796</v>
      </c>
      <c r="D3907" t="inlineStr">
        <is>
          <t>SKÅNE LÄN</t>
        </is>
      </c>
      <c r="E3907" t="inlineStr">
        <is>
          <t>OSBY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15111-2023</t>
        </is>
      </c>
      <c r="B3908" s="1" t="n">
        <v>45015</v>
      </c>
      <c r="C3908" s="1" t="n">
        <v>45796</v>
      </c>
      <c r="D3908" t="inlineStr">
        <is>
          <t>SKÅNE LÄN</t>
        </is>
      </c>
      <c r="E3908" t="inlineStr">
        <is>
          <t>KRISTIANSTAD</t>
        </is>
      </c>
      <c r="F3908" t="inlineStr">
        <is>
          <t>Kyrkan</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15152-2023</t>
        </is>
      </c>
      <c r="B3909" s="1" t="n">
        <v>45015</v>
      </c>
      <c r="C3909" s="1" t="n">
        <v>45796</v>
      </c>
      <c r="D3909" t="inlineStr">
        <is>
          <t>SKÅNE LÄN</t>
        </is>
      </c>
      <c r="E3909" t="inlineStr">
        <is>
          <t>OSBY</t>
        </is>
      </c>
      <c r="F3909" t="inlineStr">
        <is>
          <t>Naturvårdsverket</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15057-2023</t>
        </is>
      </c>
      <c r="B3910" s="1" t="n">
        <v>45015</v>
      </c>
      <c r="C3910" s="1" t="n">
        <v>45796</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15143-2023</t>
        </is>
      </c>
      <c r="B3911" s="1" t="n">
        <v>45015</v>
      </c>
      <c r="C3911" s="1" t="n">
        <v>45796</v>
      </c>
      <c r="D3911" t="inlineStr">
        <is>
          <t>SKÅNE LÄN</t>
        </is>
      </c>
      <c r="E3911" t="inlineStr">
        <is>
          <t>OSBY</t>
        </is>
      </c>
      <c r="F3911" t="inlineStr">
        <is>
          <t>Naturvårdsverket</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15105-2023</t>
        </is>
      </c>
      <c r="B3912" s="1" t="n">
        <v>45015</v>
      </c>
      <c r="C3912" s="1" t="n">
        <v>45796</v>
      </c>
      <c r="D3912" t="inlineStr">
        <is>
          <t>SKÅNE LÄN</t>
        </is>
      </c>
      <c r="E3912" t="inlineStr">
        <is>
          <t>KRISTIANSTAD</t>
        </is>
      </c>
      <c r="F3912" t="inlineStr">
        <is>
          <t>Kyrkan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15149-2023</t>
        </is>
      </c>
      <c r="B3913" s="1" t="n">
        <v>45015</v>
      </c>
      <c r="C3913" s="1" t="n">
        <v>45796</v>
      </c>
      <c r="D3913" t="inlineStr">
        <is>
          <t>SKÅNE LÄN</t>
        </is>
      </c>
      <c r="E3913" t="inlineStr">
        <is>
          <t>OSBY</t>
        </is>
      </c>
      <c r="F3913" t="inlineStr">
        <is>
          <t>Naturvårdsverket</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15060-2023</t>
        </is>
      </c>
      <c r="B3914" s="1" t="n">
        <v>45015</v>
      </c>
      <c r="C3914" s="1" t="n">
        <v>45796</v>
      </c>
      <c r="D3914" t="inlineStr">
        <is>
          <t>SKÅNE LÄN</t>
        </is>
      </c>
      <c r="E3914" t="inlineStr">
        <is>
          <t>HÄSSLEHOLM</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15104-2023</t>
        </is>
      </c>
      <c r="B3915" s="1" t="n">
        <v>45016</v>
      </c>
      <c r="C3915" s="1" t="n">
        <v>45796</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15133-2023</t>
        </is>
      </c>
      <c r="B3916" s="1" t="n">
        <v>45016</v>
      </c>
      <c r="C3916" s="1" t="n">
        <v>45796</v>
      </c>
      <c r="D3916" t="inlineStr">
        <is>
          <t>SKÅNE LÄN</t>
        </is>
      </c>
      <c r="E3916" t="inlineStr">
        <is>
          <t>HÄSSLEHOLM</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15161-2023</t>
        </is>
      </c>
      <c r="B3917" s="1" t="n">
        <v>45016</v>
      </c>
      <c r="C3917" s="1" t="n">
        <v>45796</v>
      </c>
      <c r="D3917" t="inlineStr">
        <is>
          <t>SKÅNE LÄN</t>
        </is>
      </c>
      <c r="E3917" t="inlineStr">
        <is>
          <t>SVALÖV</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15157-2023</t>
        </is>
      </c>
      <c r="B3918" s="1" t="n">
        <v>45016</v>
      </c>
      <c r="C3918" s="1" t="n">
        <v>45796</v>
      </c>
      <c r="D3918" t="inlineStr">
        <is>
          <t>SKÅNE LÄN</t>
        </is>
      </c>
      <c r="E3918" t="inlineStr">
        <is>
          <t>SVALÖV</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15154-2023</t>
        </is>
      </c>
      <c r="B3919" s="1" t="n">
        <v>45016</v>
      </c>
      <c r="C3919" s="1" t="n">
        <v>45796</v>
      </c>
      <c r="D3919" t="inlineStr">
        <is>
          <t>SKÅNE LÄN</t>
        </is>
      </c>
      <c r="E3919" t="inlineStr">
        <is>
          <t>ÄNGELHOLM</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15174-2023</t>
        </is>
      </c>
      <c r="B3920" s="1" t="n">
        <v>45016</v>
      </c>
      <c r="C3920" s="1" t="n">
        <v>45796</v>
      </c>
      <c r="D3920" t="inlineStr">
        <is>
          <t>SKÅNE LÄN</t>
        </is>
      </c>
      <c r="E3920" t="inlineStr">
        <is>
          <t>KRISTIANSTAD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15227-2023</t>
        </is>
      </c>
      <c r="B3921" s="1" t="n">
        <v>45016</v>
      </c>
      <c r="C3921" s="1" t="n">
        <v>45796</v>
      </c>
      <c r="D3921" t="inlineStr">
        <is>
          <t>SKÅNE LÄN</t>
        </is>
      </c>
      <c r="E3921" t="inlineStr">
        <is>
          <t>KRISTIANSTAD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15525-2023</t>
        </is>
      </c>
      <c r="B3922" s="1" t="n">
        <v>45016</v>
      </c>
      <c r="C3922" s="1" t="n">
        <v>45796</v>
      </c>
      <c r="D3922" t="inlineStr">
        <is>
          <t>SKÅNE LÄN</t>
        </is>
      </c>
      <c r="E3922" t="inlineStr">
        <is>
          <t>OSBY</t>
        </is>
      </c>
      <c r="F3922" t="inlineStr">
        <is>
          <t>Naturvårdsverket</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15546-2023</t>
        </is>
      </c>
      <c r="B3923" s="1" t="n">
        <v>45018</v>
      </c>
      <c r="C3923" s="1" t="n">
        <v>45796</v>
      </c>
      <c r="D3923" t="inlineStr">
        <is>
          <t>SKÅNE LÄN</t>
        </is>
      </c>
      <c r="E3923" t="inlineStr">
        <is>
          <t>HÄSSLEHOLM</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15322-2023</t>
        </is>
      </c>
      <c r="B3924" s="1" t="n">
        <v>45019</v>
      </c>
      <c r="C3924" s="1" t="n">
        <v>45796</v>
      </c>
      <c r="D3924" t="inlineStr">
        <is>
          <t>SKÅNE LÄN</t>
        </is>
      </c>
      <c r="E3924" t="inlineStr">
        <is>
          <t>KRISTIANSTAD</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15354-2023</t>
        </is>
      </c>
      <c r="B3925" s="1" t="n">
        <v>45019</v>
      </c>
      <c r="C3925" s="1" t="n">
        <v>45796</v>
      </c>
      <c r="D3925" t="inlineStr">
        <is>
          <t>SKÅNE LÄN</t>
        </is>
      </c>
      <c r="E3925" t="inlineStr">
        <is>
          <t>PERSTORP</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15359-2023</t>
        </is>
      </c>
      <c r="B3926" s="1" t="n">
        <v>45019</v>
      </c>
      <c r="C3926" s="1" t="n">
        <v>45796</v>
      </c>
      <c r="D3926" t="inlineStr">
        <is>
          <t>SKÅNE LÄN</t>
        </is>
      </c>
      <c r="E3926" t="inlineStr">
        <is>
          <t>OSBY</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15344-2023</t>
        </is>
      </c>
      <c r="B3927" s="1" t="n">
        <v>45019</v>
      </c>
      <c r="C3927" s="1" t="n">
        <v>45796</v>
      </c>
      <c r="D3927" t="inlineStr">
        <is>
          <t>SKÅNE LÄN</t>
        </is>
      </c>
      <c r="E3927" t="inlineStr">
        <is>
          <t>ÖRKELLJUNGA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15357-2023</t>
        </is>
      </c>
      <c r="B3928" s="1" t="n">
        <v>45019</v>
      </c>
      <c r="C3928" s="1" t="n">
        <v>45796</v>
      </c>
      <c r="D3928" t="inlineStr">
        <is>
          <t>SKÅNE LÄN</t>
        </is>
      </c>
      <c r="E3928" t="inlineStr">
        <is>
          <t>ESLÖV</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15474-2023</t>
        </is>
      </c>
      <c r="B3929" s="1" t="n">
        <v>45020</v>
      </c>
      <c r="C3929" s="1" t="n">
        <v>45796</v>
      </c>
      <c r="D3929" t="inlineStr">
        <is>
          <t>SKÅNE LÄN</t>
        </is>
      </c>
      <c r="E3929" t="inlineStr">
        <is>
          <t>ÅSTORP</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15508-2023</t>
        </is>
      </c>
      <c r="B3930" s="1" t="n">
        <v>45020</v>
      </c>
      <c r="C3930" s="1" t="n">
        <v>45796</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15514-2023</t>
        </is>
      </c>
      <c r="B3931" s="1" t="n">
        <v>45020</v>
      </c>
      <c r="C3931" s="1" t="n">
        <v>45796</v>
      </c>
      <c r="D3931" t="inlineStr">
        <is>
          <t>SKÅNE LÄN</t>
        </is>
      </c>
      <c r="E3931" t="inlineStr">
        <is>
          <t>TOMELILLA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15444-2023</t>
        </is>
      </c>
      <c r="B3932" s="1" t="n">
        <v>45020</v>
      </c>
      <c r="C3932" s="1" t="n">
        <v>45796</v>
      </c>
      <c r="D3932" t="inlineStr">
        <is>
          <t>SKÅNE LÄN</t>
        </is>
      </c>
      <c r="E3932" t="inlineStr">
        <is>
          <t>OSBY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15492-2023</t>
        </is>
      </c>
      <c r="B3933" s="1" t="n">
        <v>45020</v>
      </c>
      <c r="C3933" s="1" t="n">
        <v>45796</v>
      </c>
      <c r="D3933" t="inlineStr">
        <is>
          <t>SKÅNE LÄN</t>
        </is>
      </c>
      <c r="E3933" t="inlineStr">
        <is>
          <t>KRISTIANSTAD</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15507-2023</t>
        </is>
      </c>
      <c r="B3934" s="1" t="n">
        <v>45020</v>
      </c>
      <c r="C3934" s="1" t="n">
        <v>45796</v>
      </c>
      <c r="D3934" t="inlineStr">
        <is>
          <t>SKÅNE LÄN</t>
        </is>
      </c>
      <c r="E3934" t="inlineStr">
        <is>
          <t>KRISTIANSTAD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15603-2023</t>
        </is>
      </c>
      <c r="B3935" s="1" t="n">
        <v>45020</v>
      </c>
      <c r="C3935" s="1" t="n">
        <v>45796</v>
      </c>
      <c r="D3935" t="inlineStr">
        <is>
          <t>SKÅNE LÄN</t>
        </is>
      </c>
      <c r="E3935" t="inlineStr">
        <is>
          <t>HÄSSLEHOLM</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15688-2023</t>
        </is>
      </c>
      <c r="B3936" s="1" t="n">
        <v>45021</v>
      </c>
      <c r="C3936" s="1" t="n">
        <v>45796</v>
      </c>
      <c r="D3936" t="inlineStr">
        <is>
          <t>SKÅNE LÄN</t>
        </is>
      </c>
      <c r="E3936" t="inlineStr">
        <is>
          <t>ÖSTRA GÖINGE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15698-2023</t>
        </is>
      </c>
      <c r="B3937" s="1" t="n">
        <v>45021</v>
      </c>
      <c r="C3937" s="1" t="n">
        <v>45796</v>
      </c>
      <c r="D3937" t="inlineStr">
        <is>
          <t>SKÅNE LÄN</t>
        </is>
      </c>
      <c r="E3937" t="inlineStr">
        <is>
          <t>HÄSSLEHOLM</t>
        </is>
      </c>
      <c r="F3937" t="inlineStr">
        <is>
          <t>Kommuner</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15701-2023</t>
        </is>
      </c>
      <c r="B3938" s="1" t="n">
        <v>45021</v>
      </c>
      <c r="C3938" s="1" t="n">
        <v>45796</v>
      </c>
      <c r="D3938" t="inlineStr">
        <is>
          <t>SKÅNE LÄN</t>
        </is>
      </c>
      <c r="E3938" t="inlineStr">
        <is>
          <t>HÄSSLEHOLM</t>
        </is>
      </c>
      <c r="F3938" t="inlineStr">
        <is>
          <t>Kommuner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15957-2023</t>
        </is>
      </c>
      <c r="B3939" s="1" t="n">
        <v>45022</v>
      </c>
      <c r="C3939" s="1" t="n">
        <v>45796</v>
      </c>
      <c r="D3939" t="inlineStr">
        <is>
          <t>SKÅNE LÄN</t>
        </is>
      </c>
      <c r="E3939" t="inlineStr">
        <is>
          <t>KRISTIANSTAD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16287-2023</t>
        </is>
      </c>
      <c r="B3940" s="1" t="n">
        <v>45022</v>
      </c>
      <c r="C3940" s="1" t="n">
        <v>45796</v>
      </c>
      <c r="D3940" t="inlineStr">
        <is>
          <t>SKÅNE LÄN</t>
        </is>
      </c>
      <c r="E3940" t="inlineStr">
        <is>
          <t>ÖSTRA GÖINGE</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16419-2023</t>
        </is>
      </c>
      <c r="B3941" s="1" t="n">
        <v>45022</v>
      </c>
      <c r="C3941" s="1" t="n">
        <v>45796</v>
      </c>
      <c r="D3941" t="inlineStr">
        <is>
          <t>SKÅNE LÄN</t>
        </is>
      </c>
      <c r="E3941" t="inlineStr">
        <is>
          <t>ÄNGELHOLM</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16261-2023</t>
        </is>
      </c>
      <c r="B3942" s="1" t="n">
        <v>45022</v>
      </c>
      <c r="C3942" s="1" t="n">
        <v>45796</v>
      </c>
      <c r="D3942" t="inlineStr">
        <is>
          <t>SKÅNE LÄN</t>
        </is>
      </c>
      <c r="E3942" t="inlineStr">
        <is>
          <t>ÖSTRA GÖINGE</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15990-2023</t>
        </is>
      </c>
      <c r="B3943" s="1" t="n">
        <v>45023</v>
      </c>
      <c r="C3943" s="1" t="n">
        <v>45796</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15997-2023</t>
        </is>
      </c>
      <c r="B3944" s="1" t="n">
        <v>45024</v>
      </c>
      <c r="C3944" s="1" t="n">
        <v>45796</v>
      </c>
      <c r="D3944" t="inlineStr">
        <is>
          <t>SKÅNE LÄN</t>
        </is>
      </c>
      <c r="E3944" t="inlineStr">
        <is>
          <t>ÖSTRA GÖINGE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16017-2023</t>
        </is>
      </c>
      <c r="B3945" s="1" t="n">
        <v>45026</v>
      </c>
      <c r="C3945" s="1" t="n">
        <v>45796</v>
      </c>
      <c r="D3945" t="inlineStr">
        <is>
          <t>SKÅNE LÄN</t>
        </is>
      </c>
      <c r="E3945" t="inlineStr">
        <is>
          <t>HÄSSLEHOLM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16056-2023</t>
        </is>
      </c>
      <c r="B3946" s="1" t="n">
        <v>45027</v>
      </c>
      <c r="C3946" s="1" t="n">
        <v>45796</v>
      </c>
      <c r="D3946" t="inlineStr">
        <is>
          <t>SKÅNE LÄN</t>
        </is>
      </c>
      <c r="E3946" t="inlineStr">
        <is>
          <t>KLIPPAN</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16084-2023</t>
        </is>
      </c>
      <c r="B3947" s="1" t="n">
        <v>45027</v>
      </c>
      <c r="C3947" s="1" t="n">
        <v>45796</v>
      </c>
      <c r="D3947" t="inlineStr">
        <is>
          <t>SKÅNE LÄN</t>
        </is>
      </c>
      <c r="E3947" t="inlineStr">
        <is>
          <t>OSBY</t>
        </is>
      </c>
      <c r="F3947" t="inlineStr">
        <is>
          <t>Kommuner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16131-2023</t>
        </is>
      </c>
      <c r="B3948" s="1" t="n">
        <v>45027</v>
      </c>
      <c r="C3948" s="1" t="n">
        <v>45796</v>
      </c>
      <c r="D3948" t="inlineStr">
        <is>
          <t>SKÅNE LÄN</t>
        </is>
      </c>
      <c r="E3948" t="inlineStr">
        <is>
          <t>KRISTIANSTAD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16304-2023</t>
        </is>
      </c>
      <c r="B3949" s="1" t="n">
        <v>45028</v>
      </c>
      <c r="C3949" s="1" t="n">
        <v>45796</v>
      </c>
      <c r="D3949" t="inlineStr">
        <is>
          <t>SKÅNE LÄN</t>
        </is>
      </c>
      <c r="E3949" t="inlineStr">
        <is>
          <t>KRISTIANSTAD</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16395-2023</t>
        </is>
      </c>
      <c r="B3950" s="1" t="n">
        <v>45029</v>
      </c>
      <c r="C3950" s="1" t="n">
        <v>45796</v>
      </c>
      <c r="D3950" t="inlineStr">
        <is>
          <t>SKÅNE LÄN</t>
        </is>
      </c>
      <c r="E3950" t="inlineStr">
        <is>
          <t>PERSTORP</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16429-2023</t>
        </is>
      </c>
      <c r="B3951" s="1" t="n">
        <v>45029</v>
      </c>
      <c r="C3951" s="1" t="n">
        <v>45796</v>
      </c>
      <c r="D3951" t="inlineStr">
        <is>
          <t>SKÅNE LÄN</t>
        </is>
      </c>
      <c r="E3951" t="inlineStr">
        <is>
          <t>SJÖBO</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16438-2023</t>
        </is>
      </c>
      <c r="B3952" s="1" t="n">
        <v>45029</v>
      </c>
      <c r="C3952" s="1" t="n">
        <v>45796</v>
      </c>
      <c r="D3952" t="inlineStr">
        <is>
          <t>SKÅNE LÄN</t>
        </is>
      </c>
      <c r="E3952" t="inlineStr">
        <is>
          <t>ÖSTRA GÖINGE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16441-2023</t>
        </is>
      </c>
      <c r="B3953" s="1" t="n">
        <v>45029</v>
      </c>
      <c r="C3953" s="1" t="n">
        <v>45796</v>
      </c>
      <c r="D3953" t="inlineStr">
        <is>
          <t>SKÅNE LÄN</t>
        </is>
      </c>
      <c r="E3953" t="inlineStr">
        <is>
          <t>ÖSTRA GÖINGE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16454-2023</t>
        </is>
      </c>
      <c r="B3954" s="1" t="n">
        <v>45029</v>
      </c>
      <c r="C3954" s="1" t="n">
        <v>45796</v>
      </c>
      <c r="D3954" t="inlineStr">
        <is>
          <t>SKÅNE LÄN</t>
        </is>
      </c>
      <c r="E3954" t="inlineStr">
        <is>
          <t>HÄSSLEHOLM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16670-2023</t>
        </is>
      </c>
      <c r="B3955" s="1" t="n">
        <v>45030</v>
      </c>
      <c r="C3955" s="1" t="n">
        <v>45796</v>
      </c>
      <c r="D3955" t="inlineStr">
        <is>
          <t>SKÅNE LÄN</t>
        </is>
      </c>
      <c r="E3955" t="inlineStr">
        <is>
          <t>ÖSTRA GÖINGE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16690-2023</t>
        </is>
      </c>
      <c r="B3956" s="1" t="n">
        <v>45030</v>
      </c>
      <c r="C3956" s="1" t="n">
        <v>45796</v>
      </c>
      <c r="D3956" t="inlineStr">
        <is>
          <t>SKÅNE LÄN</t>
        </is>
      </c>
      <c r="E3956" t="inlineStr">
        <is>
          <t>SVEDALA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16668-2023</t>
        </is>
      </c>
      <c r="B3957" s="1" t="n">
        <v>45030</v>
      </c>
      <c r="C3957" s="1" t="n">
        <v>45796</v>
      </c>
      <c r="D3957" t="inlineStr">
        <is>
          <t>SKÅNE LÄN</t>
        </is>
      </c>
      <c r="E3957" t="inlineStr">
        <is>
          <t>ÖSTRA GÖINGE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16733-2023</t>
        </is>
      </c>
      <c r="B3958" s="1" t="n">
        <v>45030</v>
      </c>
      <c r="C3958" s="1" t="n">
        <v>45796</v>
      </c>
      <c r="D3958" t="inlineStr">
        <is>
          <t>SKÅNE LÄN</t>
        </is>
      </c>
      <c r="E3958" t="inlineStr">
        <is>
          <t>ESLÖV</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16667-2023</t>
        </is>
      </c>
      <c r="B3959" s="1" t="n">
        <v>45030</v>
      </c>
      <c r="C3959" s="1" t="n">
        <v>45796</v>
      </c>
      <c r="D3959" t="inlineStr">
        <is>
          <t>SKÅNE LÄN</t>
        </is>
      </c>
      <c r="E3959" t="inlineStr">
        <is>
          <t>SVALÖV</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16678-2023</t>
        </is>
      </c>
      <c r="B3960" s="1" t="n">
        <v>45030</v>
      </c>
      <c r="C3960" s="1" t="n">
        <v>45796</v>
      </c>
      <c r="D3960" t="inlineStr">
        <is>
          <t>SKÅNE LÄN</t>
        </is>
      </c>
      <c r="E3960" t="inlineStr">
        <is>
          <t>SVEDALA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16891-2023</t>
        </is>
      </c>
      <c r="B3961" s="1" t="n">
        <v>45033</v>
      </c>
      <c r="C3961" s="1" t="n">
        <v>45796</v>
      </c>
      <c r="D3961" t="inlineStr">
        <is>
          <t>SKÅNE LÄN</t>
        </is>
      </c>
      <c r="E3961" t="inlineStr">
        <is>
          <t>HÄSSLEHOLM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16838-2023</t>
        </is>
      </c>
      <c r="B3962" s="1" t="n">
        <v>45033</v>
      </c>
      <c r="C3962" s="1" t="n">
        <v>45796</v>
      </c>
      <c r="D3962" t="inlineStr">
        <is>
          <t>SKÅNE LÄN</t>
        </is>
      </c>
      <c r="E3962" t="inlineStr">
        <is>
          <t>OSBY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17253-2023</t>
        </is>
      </c>
      <c r="B3963" s="1" t="n">
        <v>45033</v>
      </c>
      <c r="C3963" s="1" t="n">
        <v>45796</v>
      </c>
      <c r="D3963" t="inlineStr">
        <is>
          <t>SKÅNE LÄN</t>
        </is>
      </c>
      <c r="E3963" t="inlineStr">
        <is>
          <t>BROMÖLLA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17073-2023</t>
        </is>
      </c>
      <c r="B3964" s="1" t="n">
        <v>45034</v>
      </c>
      <c r="C3964" s="1" t="n">
        <v>45796</v>
      </c>
      <c r="D3964" t="inlineStr">
        <is>
          <t>SKÅNE LÄN</t>
        </is>
      </c>
      <c r="E3964" t="inlineStr">
        <is>
          <t>HÖRBY</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17176-2023</t>
        </is>
      </c>
      <c r="B3965" s="1" t="n">
        <v>45034</v>
      </c>
      <c r="C3965" s="1" t="n">
        <v>45796</v>
      </c>
      <c r="D3965" t="inlineStr">
        <is>
          <t>SKÅNE LÄN</t>
        </is>
      </c>
      <c r="E3965" t="inlineStr">
        <is>
          <t>HÄSSLEHOLM</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17458-2023</t>
        </is>
      </c>
      <c r="B3966" s="1" t="n">
        <v>45034</v>
      </c>
      <c r="C3966" s="1" t="n">
        <v>45796</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17400-2023</t>
        </is>
      </c>
      <c r="B3967" s="1" t="n">
        <v>45035</v>
      </c>
      <c r="C3967" s="1" t="n">
        <v>45796</v>
      </c>
      <c r="D3967" t="inlineStr">
        <is>
          <t>SKÅNE LÄN</t>
        </is>
      </c>
      <c r="E3967" t="inlineStr">
        <is>
          <t>KRISTIANSTAD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17292-2023</t>
        </is>
      </c>
      <c r="B3968" s="1" t="n">
        <v>45035</v>
      </c>
      <c r="C3968" s="1" t="n">
        <v>45796</v>
      </c>
      <c r="D3968" t="inlineStr">
        <is>
          <t>SKÅNE LÄN</t>
        </is>
      </c>
      <c r="E3968" t="inlineStr">
        <is>
          <t>OSBY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17673-2023</t>
        </is>
      </c>
      <c r="B3969" s="1" t="n">
        <v>45035</v>
      </c>
      <c r="C3969" s="1" t="n">
        <v>45796</v>
      </c>
      <c r="D3969" t="inlineStr">
        <is>
          <t>SKÅNE LÄN</t>
        </is>
      </c>
      <c r="E3969" t="inlineStr">
        <is>
          <t>OSBY</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17649-2023</t>
        </is>
      </c>
      <c r="B3970" s="1" t="n">
        <v>45035</v>
      </c>
      <c r="C3970" s="1" t="n">
        <v>45796</v>
      </c>
      <c r="D3970" t="inlineStr">
        <is>
          <t>SKÅNE LÄN</t>
        </is>
      </c>
      <c r="E3970" t="inlineStr">
        <is>
          <t>OSBY</t>
        </is>
      </c>
      <c r="G3970" t="n">
        <v>11.3</v>
      </c>
      <c r="H3970" t="n">
        <v>0</v>
      </c>
      <c r="I3970" t="n">
        <v>0</v>
      </c>
      <c r="J3970" t="n">
        <v>0</v>
      </c>
      <c r="K3970" t="n">
        <v>0</v>
      </c>
      <c r="L3970" t="n">
        <v>0</v>
      </c>
      <c r="M3970" t="n">
        <v>0</v>
      </c>
      <c r="N3970" t="n">
        <v>0</v>
      </c>
      <c r="O3970" t="n">
        <v>0</v>
      </c>
      <c r="P3970" t="n">
        <v>0</v>
      </c>
      <c r="Q3970" t="n">
        <v>0</v>
      </c>
      <c r="R3970" s="2" t="inlineStr"/>
    </row>
    <row r="3971" ht="15" customHeight="1">
      <c r="A3971" t="inlineStr">
        <is>
          <t>A 17641-2023</t>
        </is>
      </c>
      <c r="B3971" s="1" t="n">
        <v>45035</v>
      </c>
      <c r="C3971" s="1" t="n">
        <v>45796</v>
      </c>
      <c r="D3971" t="inlineStr">
        <is>
          <t>SKÅNE LÄN</t>
        </is>
      </c>
      <c r="E3971" t="inlineStr">
        <is>
          <t>ÖRKELLJUNGA</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17675-2023</t>
        </is>
      </c>
      <c r="B3972" s="1" t="n">
        <v>45035</v>
      </c>
      <c r="C3972" s="1" t="n">
        <v>45796</v>
      </c>
      <c r="D3972" t="inlineStr">
        <is>
          <t>SKÅNE LÄN</t>
        </is>
      </c>
      <c r="E3972" t="inlineStr">
        <is>
          <t>OSBY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17535-2023</t>
        </is>
      </c>
      <c r="B3973" s="1" t="n">
        <v>45036</v>
      </c>
      <c r="C3973" s="1" t="n">
        <v>45796</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17612-2023</t>
        </is>
      </c>
      <c r="B3974" s="1" t="n">
        <v>45036</v>
      </c>
      <c r="C3974" s="1" t="n">
        <v>45796</v>
      </c>
      <c r="D3974" t="inlineStr">
        <is>
          <t>SKÅNE LÄN</t>
        </is>
      </c>
      <c r="E3974" t="inlineStr">
        <is>
          <t>OSBY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17587-2023</t>
        </is>
      </c>
      <c r="B3975" s="1" t="n">
        <v>45036</v>
      </c>
      <c r="C3975" s="1" t="n">
        <v>45796</v>
      </c>
      <c r="D3975" t="inlineStr">
        <is>
          <t>SKÅNE LÄN</t>
        </is>
      </c>
      <c r="E3975" t="inlineStr">
        <is>
          <t>OSBY</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17616-2023</t>
        </is>
      </c>
      <c r="B3976" s="1" t="n">
        <v>45036</v>
      </c>
      <c r="C3976" s="1" t="n">
        <v>45796</v>
      </c>
      <c r="D3976" t="inlineStr">
        <is>
          <t>SKÅNE LÄN</t>
        </is>
      </c>
      <c r="E3976" t="inlineStr">
        <is>
          <t>OSBY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17519-2023</t>
        </is>
      </c>
      <c r="B3977" s="1" t="n">
        <v>45036</v>
      </c>
      <c r="C3977" s="1" t="n">
        <v>45796</v>
      </c>
      <c r="D3977" t="inlineStr">
        <is>
          <t>SKÅNE LÄN</t>
        </is>
      </c>
      <c r="E3977" t="inlineStr">
        <is>
          <t>LUND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17719-2023</t>
        </is>
      </c>
      <c r="B3978" s="1" t="n">
        <v>45037</v>
      </c>
      <c r="C3978" s="1" t="n">
        <v>45796</v>
      </c>
      <c r="D3978" t="inlineStr">
        <is>
          <t>SKÅNE LÄN</t>
        </is>
      </c>
      <c r="E3978" t="inlineStr">
        <is>
          <t>OSBY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17723-2023</t>
        </is>
      </c>
      <c r="B3979" s="1" t="n">
        <v>45037</v>
      </c>
      <c r="C3979" s="1" t="n">
        <v>45796</v>
      </c>
      <c r="D3979" t="inlineStr">
        <is>
          <t>SKÅNE LÄN</t>
        </is>
      </c>
      <c r="E3979" t="inlineStr">
        <is>
          <t>HÖÖR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17737-2023</t>
        </is>
      </c>
      <c r="B3980" s="1" t="n">
        <v>45037</v>
      </c>
      <c r="C3980" s="1" t="n">
        <v>45796</v>
      </c>
      <c r="D3980" t="inlineStr">
        <is>
          <t>SKÅNE LÄN</t>
        </is>
      </c>
      <c r="E3980" t="inlineStr">
        <is>
          <t>ÖRKELLJUNGA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17715-2023</t>
        </is>
      </c>
      <c r="B3981" s="1" t="n">
        <v>45037</v>
      </c>
      <c r="C3981" s="1" t="n">
        <v>45796</v>
      </c>
      <c r="D3981" t="inlineStr">
        <is>
          <t>SKÅNE LÄN</t>
        </is>
      </c>
      <c r="E3981" t="inlineStr">
        <is>
          <t>OSBY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17824-2023</t>
        </is>
      </c>
      <c r="B3982" s="1" t="n">
        <v>45037</v>
      </c>
      <c r="C3982" s="1" t="n">
        <v>45796</v>
      </c>
      <c r="D3982" t="inlineStr">
        <is>
          <t>SKÅNE LÄN</t>
        </is>
      </c>
      <c r="E3982" t="inlineStr">
        <is>
          <t>OSBY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17826-2023</t>
        </is>
      </c>
      <c r="B3983" s="1" t="n">
        <v>45037</v>
      </c>
      <c r="C3983" s="1" t="n">
        <v>45796</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18044-2023</t>
        </is>
      </c>
      <c r="B3984" s="1" t="n">
        <v>45040</v>
      </c>
      <c r="C3984" s="1" t="n">
        <v>45796</v>
      </c>
      <c r="D3984" t="inlineStr">
        <is>
          <t>SKÅNE LÄN</t>
        </is>
      </c>
      <c r="E3984" t="inlineStr">
        <is>
          <t>HÖÖR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18063-2023</t>
        </is>
      </c>
      <c r="B3985" s="1" t="n">
        <v>45040</v>
      </c>
      <c r="C3985" s="1" t="n">
        <v>45796</v>
      </c>
      <c r="D3985" t="inlineStr">
        <is>
          <t>SKÅNE LÄN</t>
        </is>
      </c>
      <c r="E3985" t="inlineStr">
        <is>
          <t>HÄSSLEHOLM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18080-2023</t>
        </is>
      </c>
      <c r="B3986" s="1" t="n">
        <v>45040</v>
      </c>
      <c r="C3986" s="1" t="n">
        <v>45796</v>
      </c>
      <c r="D3986" t="inlineStr">
        <is>
          <t>SKÅNE LÄN</t>
        </is>
      </c>
      <c r="E3986" t="inlineStr">
        <is>
          <t>OSBY</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18086-2023</t>
        </is>
      </c>
      <c r="B3987" s="1" t="n">
        <v>45040</v>
      </c>
      <c r="C3987" s="1" t="n">
        <v>45796</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18041-2023</t>
        </is>
      </c>
      <c r="B3988" s="1" t="n">
        <v>45040</v>
      </c>
      <c r="C3988" s="1" t="n">
        <v>45796</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18240-2023</t>
        </is>
      </c>
      <c r="B3989" s="1" t="n">
        <v>45040</v>
      </c>
      <c r="C3989" s="1" t="n">
        <v>45796</v>
      </c>
      <c r="D3989" t="inlineStr">
        <is>
          <t>SKÅNE LÄN</t>
        </is>
      </c>
      <c r="E3989" t="inlineStr">
        <is>
          <t>ESLÖV</t>
        </is>
      </c>
      <c r="F3989" t="inlineStr">
        <is>
          <t>Övriga Aktiebolag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18214-2023</t>
        </is>
      </c>
      <c r="B3990" s="1" t="n">
        <v>45040</v>
      </c>
      <c r="C3990" s="1" t="n">
        <v>45796</v>
      </c>
      <c r="D3990" t="inlineStr">
        <is>
          <t>SKÅNE LÄN</t>
        </is>
      </c>
      <c r="E3990" t="inlineStr">
        <is>
          <t>KLIPPAN</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18227-2023</t>
        </is>
      </c>
      <c r="B3991" s="1" t="n">
        <v>45041</v>
      </c>
      <c r="C3991" s="1" t="n">
        <v>45796</v>
      </c>
      <c r="D3991" t="inlineStr">
        <is>
          <t>SKÅNE LÄN</t>
        </is>
      </c>
      <c r="E3991" t="inlineStr">
        <is>
          <t>SJÖBO</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18231-2023</t>
        </is>
      </c>
      <c r="B3992" s="1" t="n">
        <v>45041</v>
      </c>
      <c r="C3992" s="1" t="n">
        <v>45796</v>
      </c>
      <c r="D3992" t="inlineStr">
        <is>
          <t>SKÅNE LÄN</t>
        </is>
      </c>
      <c r="E3992" t="inlineStr">
        <is>
          <t>ESLÖV</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18246-2023</t>
        </is>
      </c>
      <c r="B3993" s="1" t="n">
        <v>45041</v>
      </c>
      <c r="C3993" s="1" t="n">
        <v>45796</v>
      </c>
      <c r="D3993" t="inlineStr">
        <is>
          <t>SKÅNE LÄN</t>
        </is>
      </c>
      <c r="E3993" t="inlineStr">
        <is>
          <t>HÖÖR</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18335-2023</t>
        </is>
      </c>
      <c r="B3994" s="1" t="n">
        <v>45041</v>
      </c>
      <c r="C3994" s="1" t="n">
        <v>45796</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18524-2023</t>
        </is>
      </c>
      <c r="B3995" s="1" t="n">
        <v>45042</v>
      </c>
      <c r="C3995" s="1" t="n">
        <v>45796</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18522-2023</t>
        </is>
      </c>
      <c r="B3996" s="1" t="n">
        <v>45042</v>
      </c>
      <c r="C3996" s="1" t="n">
        <v>45796</v>
      </c>
      <c r="D3996" t="inlineStr">
        <is>
          <t>SKÅNE LÄN</t>
        </is>
      </c>
      <c r="E3996" t="inlineStr">
        <is>
          <t>KRISTIANSTAD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18434-2023</t>
        </is>
      </c>
      <c r="B3997" s="1" t="n">
        <v>45042</v>
      </c>
      <c r="C3997" s="1" t="n">
        <v>45796</v>
      </c>
      <c r="D3997" t="inlineStr">
        <is>
          <t>SKÅNE LÄN</t>
        </is>
      </c>
      <c r="E3997" t="inlineStr">
        <is>
          <t>BÅSTAD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18629-2023</t>
        </is>
      </c>
      <c r="B3998" s="1" t="n">
        <v>45043</v>
      </c>
      <c r="C3998" s="1" t="n">
        <v>45796</v>
      </c>
      <c r="D3998" t="inlineStr">
        <is>
          <t>SKÅNE LÄN</t>
        </is>
      </c>
      <c r="E3998" t="inlineStr">
        <is>
          <t>ÖSTRA GÖINGE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18623-2023</t>
        </is>
      </c>
      <c r="B3999" s="1" t="n">
        <v>45043</v>
      </c>
      <c r="C3999" s="1" t="n">
        <v>45796</v>
      </c>
      <c r="D3999" t="inlineStr">
        <is>
          <t>SKÅNE LÄN</t>
        </is>
      </c>
      <c r="E3999" t="inlineStr">
        <is>
          <t>HÄSSLEHOLM</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18682-2023</t>
        </is>
      </c>
      <c r="B4000" s="1" t="n">
        <v>45043</v>
      </c>
      <c r="C4000" s="1" t="n">
        <v>45796</v>
      </c>
      <c r="D4000" t="inlineStr">
        <is>
          <t>SKÅNE LÄN</t>
        </is>
      </c>
      <c r="E4000" t="inlineStr">
        <is>
          <t>SIMRISHAMN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18735-2023</t>
        </is>
      </c>
      <c r="B4001" s="1" t="n">
        <v>45043</v>
      </c>
      <c r="C4001" s="1" t="n">
        <v>45796</v>
      </c>
      <c r="D4001" t="inlineStr">
        <is>
          <t>SKÅNE LÄN</t>
        </is>
      </c>
      <c r="E4001" t="inlineStr">
        <is>
          <t>HÖRBY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18577-2023</t>
        </is>
      </c>
      <c r="B4002" s="1" t="n">
        <v>45043</v>
      </c>
      <c r="C4002" s="1" t="n">
        <v>45796</v>
      </c>
      <c r="D4002" t="inlineStr">
        <is>
          <t>SKÅNE LÄN</t>
        </is>
      </c>
      <c r="E4002" t="inlineStr">
        <is>
          <t>HÄSSLEHOLM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18752-2023</t>
        </is>
      </c>
      <c r="B4003" s="1" t="n">
        <v>45043</v>
      </c>
      <c r="C4003" s="1" t="n">
        <v>45796</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18580-2023</t>
        </is>
      </c>
      <c r="B4004" s="1" t="n">
        <v>45043</v>
      </c>
      <c r="C4004" s="1" t="n">
        <v>45796</v>
      </c>
      <c r="D4004" t="inlineStr">
        <is>
          <t>SKÅNE LÄN</t>
        </is>
      </c>
      <c r="E4004" t="inlineStr">
        <is>
          <t>HÄSSLEHOLM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18908-2023</t>
        </is>
      </c>
      <c r="B4005" s="1" t="n">
        <v>45044</v>
      </c>
      <c r="C4005" s="1" t="n">
        <v>45796</v>
      </c>
      <c r="D4005" t="inlineStr">
        <is>
          <t>SKÅNE LÄN</t>
        </is>
      </c>
      <c r="E4005" t="inlineStr">
        <is>
          <t>HÄSSLEHOLM</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18800-2023</t>
        </is>
      </c>
      <c r="B4006" s="1" t="n">
        <v>45044</v>
      </c>
      <c r="C4006" s="1" t="n">
        <v>45796</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18973-2023</t>
        </is>
      </c>
      <c r="B4007" s="1" t="n">
        <v>45044</v>
      </c>
      <c r="C4007" s="1" t="n">
        <v>45796</v>
      </c>
      <c r="D4007" t="inlineStr">
        <is>
          <t>SKÅNE LÄN</t>
        </is>
      </c>
      <c r="E4007" t="inlineStr">
        <is>
          <t>SJÖBO</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19151-2023</t>
        </is>
      </c>
      <c r="B4008" s="1" t="n">
        <v>45044</v>
      </c>
      <c r="C4008" s="1" t="n">
        <v>45796</v>
      </c>
      <c r="D4008" t="inlineStr">
        <is>
          <t>SKÅNE LÄN</t>
        </is>
      </c>
      <c r="E4008" t="inlineStr">
        <is>
          <t>HÄSSLEHOLM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18938-2023</t>
        </is>
      </c>
      <c r="B4009" s="1" t="n">
        <v>45044</v>
      </c>
      <c r="C4009" s="1" t="n">
        <v>45796</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19091-2023</t>
        </is>
      </c>
      <c r="B4010" s="1" t="n">
        <v>45048</v>
      </c>
      <c r="C4010" s="1" t="n">
        <v>45796</v>
      </c>
      <c r="D4010" t="inlineStr">
        <is>
          <t>SKÅNE LÄN</t>
        </is>
      </c>
      <c r="E4010" t="inlineStr">
        <is>
          <t>ÄNGELHOLM</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19140-2023</t>
        </is>
      </c>
      <c r="B4011" s="1" t="n">
        <v>45048</v>
      </c>
      <c r="C4011" s="1" t="n">
        <v>45796</v>
      </c>
      <c r="D4011" t="inlineStr">
        <is>
          <t>SKÅNE LÄN</t>
        </is>
      </c>
      <c r="E4011" t="inlineStr">
        <is>
          <t>ÄNGELHOLM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19190-2023</t>
        </is>
      </c>
      <c r="B4012" s="1" t="n">
        <v>45048</v>
      </c>
      <c r="C4012" s="1" t="n">
        <v>45796</v>
      </c>
      <c r="D4012" t="inlineStr">
        <is>
          <t>SKÅNE LÄN</t>
        </is>
      </c>
      <c r="E4012" t="inlineStr">
        <is>
          <t>SVEDALA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19141-2023</t>
        </is>
      </c>
      <c r="B4013" s="1" t="n">
        <v>45048</v>
      </c>
      <c r="C4013" s="1" t="n">
        <v>45796</v>
      </c>
      <c r="D4013" t="inlineStr">
        <is>
          <t>SKÅNE LÄN</t>
        </is>
      </c>
      <c r="E4013" t="inlineStr">
        <is>
          <t>HÄSSLEHOLM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19390-2023</t>
        </is>
      </c>
      <c r="B4014" s="1" t="n">
        <v>45048</v>
      </c>
      <c r="C4014" s="1" t="n">
        <v>45796</v>
      </c>
      <c r="D4014" t="inlineStr">
        <is>
          <t>SKÅNE LÄN</t>
        </is>
      </c>
      <c r="E4014" t="inlineStr">
        <is>
          <t>ÖRKELLJUNGA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19258-2023</t>
        </is>
      </c>
      <c r="B4015" s="1" t="n">
        <v>45049</v>
      </c>
      <c r="C4015" s="1" t="n">
        <v>45796</v>
      </c>
      <c r="D4015" t="inlineStr">
        <is>
          <t>SKÅNE LÄN</t>
        </is>
      </c>
      <c r="E4015" t="inlineStr">
        <is>
          <t>ÖRKELLJUNGA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19367-2023</t>
        </is>
      </c>
      <c r="B4016" s="1" t="n">
        <v>45049</v>
      </c>
      <c r="C4016" s="1" t="n">
        <v>45796</v>
      </c>
      <c r="D4016" t="inlineStr">
        <is>
          <t>SKÅNE LÄN</t>
        </is>
      </c>
      <c r="E4016" t="inlineStr">
        <is>
          <t>HÄSSLEHOLM</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19532-2023</t>
        </is>
      </c>
      <c r="B4017" s="1" t="n">
        <v>45049</v>
      </c>
      <c r="C4017" s="1" t="n">
        <v>45796</v>
      </c>
      <c r="D4017" t="inlineStr">
        <is>
          <t>SKÅNE LÄN</t>
        </is>
      </c>
      <c r="E4017" t="inlineStr">
        <is>
          <t>KRISTIANSTAD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19257-2023</t>
        </is>
      </c>
      <c r="B4018" s="1" t="n">
        <v>45049</v>
      </c>
      <c r="C4018" s="1" t="n">
        <v>45796</v>
      </c>
      <c r="D4018" t="inlineStr">
        <is>
          <t>SKÅNE LÄN</t>
        </is>
      </c>
      <c r="E4018" t="inlineStr">
        <is>
          <t>KRISTIANSTAD</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19302-2023</t>
        </is>
      </c>
      <c r="B4019" s="1" t="n">
        <v>45049</v>
      </c>
      <c r="C4019" s="1" t="n">
        <v>45796</v>
      </c>
      <c r="D4019" t="inlineStr">
        <is>
          <t>SKÅNE LÄN</t>
        </is>
      </c>
      <c r="E4019" t="inlineStr">
        <is>
          <t>HÖÖR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19510-2023</t>
        </is>
      </c>
      <c r="B4020" s="1" t="n">
        <v>45050</v>
      </c>
      <c r="C4020" s="1" t="n">
        <v>45796</v>
      </c>
      <c r="D4020" t="inlineStr">
        <is>
          <t>SKÅNE LÄN</t>
        </is>
      </c>
      <c r="E4020" t="inlineStr">
        <is>
          <t>HÖÖR</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19526-2023</t>
        </is>
      </c>
      <c r="B4021" s="1" t="n">
        <v>45050</v>
      </c>
      <c r="C4021" s="1" t="n">
        <v>45796</v>
      </c>
      <c r="D4021" t="inlineStr">
        <is>
          <t>SKÅNE LÄN</t>
        </is>
      </c>
      <c r="E4021" t="inlineStr">
        <is>
          <t>KRISTIANSTAD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19593-2023</t>
        </is>
      </c>
      <c r="B4022" s="1" t="n">
        <v>45050</v>
      </c>
      <c r="C4022" s="1" t="n">
        <v>45796</v>
      </c>
      <c r="D4022" t="inlineStr">
        <is>
          <t>SKÅNE LÄN</t>
        </is>
      </c>
      <c r="E4022" t="inlineStr">
        <is>
          <t>HÄSSLEHOLM</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19633-2023</t>
        </is>
      </c>
      <c r="B4023" s="1" t="n">
        <v>45051</v>
      </c>
      <c r="C4023" s="1" t="n">
        <v>45796</v>
      </c>
      <c r="D4023" t="inlineStr">
        <is>
          <t>SKÅNE LÄN</t>
        </is>
      </c>
      <c r="E4023" t="inlineStr">
        <is>
          <t>HÖÖR</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19739-2023</t>
        </is>
      </c>
      <c r="B4024" s="1" t="n">
        <v>45051</v>
      </c>
      <c r="C4024" s="1" t="n">
        <v>45796</v>
      </c>
      <c r="D4024" t="inlineStr">
        <is>
          <t>SKÅNE LÄN</t>
        </is>
      </c>
      <c r="E4024" t="inlineStr">
        <is>
          <t>HÄSSLEHOLM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19634-2023</t>
        </is>
      </c>
      <c r="B4025" s="1" t="n">
        <v>45051</v>
      </c>
      <c r="C4025" s="1" t="n">
        <v>45796</v>
      </c>
      <c r="D4025" t="inlineStr">
        <is>
          <t>SKÅNE LÄN</t>
        </is>
      </c>
      <c r="E4025" t="inlineStr">
        <is>
          <t>HÖÖR</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19735-2023</t>
        </is>
      </c>
      <c r="B4026" s="1" t="n">
        <v>45051</v>
      </c>
      <c r="C4026" s="1" t="n">
        <v>45796</v>
      </c>
      <c r="D4026" t="inlineStr">
        <is>
          <t>SKÅNE LÄN</t>
        </is>
      </c>
      <c r="E4026" t="inlineStr">
        <is>
          <t>HÄSSLEHOLM</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19796-2023</t>
        </is>
      </c>
      <c r="B4027" s="1" t="n">
        <v>45051</v>
      </c>
      <c r="C4027" s="1" t="n">
        <v>45796</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19744-2023</t>
        </is>
      </c>
      <c r="B4028" s="1" t="n">
        <v>45051</v>
      </c>
      <c r="C4028" s="1" t="n">
        <v>45796</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19709-2023</t>
        </is>
      </c>
      <c r="B4029" s="1" t="n">
        <v>45051</v>
      </c>
      <c r="C4029" s="1" t="n">
        <v>45796</v>
      </c>
      <c r="D4029" t="inlineStr">
        <is>
          <t>SKÅNE LÄN</t>
        </is>
      </c>
      <c r="E4029" t="inlineStr">
        <is>
          <t>SJÖBO</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19717-2023</t>
        </is>
      </c>
      <c r="B4030" s="1" t="n">
        <v>45051</v>
      </c>
      <c r="C4030" s="1" t="n">
        <v>45796</v>
      </c>
      <c r="D4030" t="inlineStr">
        <is>
          <t>SKÅNE LÄN</t>
        </is>
      </c>
      <c r="E4030" t="inlineStr">
        <is>
          <t>SJÖBO</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19777-2023</t>
        </is>
      </c>
      <c r="B4031" s="1" t="n">
        <v>45051</v>
      </c>
      <c r="C4031" s="1" t="n">
        <v>45796</v>
      </c>
      <c r="D4031" t="inlineStr">
        <is>
          <t>SKÅNE LÄN</t>
        </is>
      </c>
      <c r="E4031" t="inlineStr">
        <is>
          <t>HÖRBY</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19978-2023</t>
        </is>
      </c>
      <c r="B4032" s="1" t="n">
        <v>45054</v>
      </c>
      <c r="C4032" s="1" t="n">
        <v>45796</v>
      </c>
      <c r="D4032" t="inlineStr">
        <is>
          <t>SKÅNE LÄN</t>
        </is>
      </c>
      <c r="E4032" t="inlineStr">
        <is>
          <t>HÄSSLEHOLM</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20058-2023</t>
        </is>
      </c>
      <c r="B4033" s="1" t="n">
        <v>45054</v>
      </c>
      <c r="C4033" s="1" t="n">
        <v>45796</v>
      </c>
      <c r="D4033" t="inlineStr">
        <is>
          <t>SKÅNE LÄN</t>
        </is>
      </c>
      <c r="E4033" t="inlineStr">
        <is>
          <t>HÄSSLEHOLM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19880-2023</t>
        </is>
      </c>
      <c r="B4034" s="1" t="n">
        <v>45054</v>
      </c>
      <c r="C4034" s="1" t="n">
        <v>45796</v>
      </c>
      <c r="D4034" t="inlineStr">
        <is>
          <t>SKÅNE LÄN</t>
        </is>
      </c>
      <c r="E4034" t="inlineStr">
        <is>
          <t>KRISTIANSTAD</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20185-2023</t>
        </is>
      </c>
      <c r="B4035" s="1" t="n">
        <v>45055</v>
      </c>
      <c r="C4035" s="1" t="n">
        <v>45796</v>
      </c>
      <c r="D4035" t="inlineStr">
        <is>
          <t>SKÅNE LÄN</t>
        </is>
      </c>
      <c r="E4035" t="inlineStr">
        <is>
          <t>HÄSSLEHOLM</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20128-2023</t>
        </is>
      </c>
      <c r="B4036" s="1" t="n">
        <v>45055</v>
      </c>
      <c r="C4036" s="1" t="n">
        <v>45796</v>
      </c>
      <c r="D4036" t="inlineStr">
        <is>
          <t>SKÅNE LÄN</t>
        </is>
      </c>
      <c r="E4036" t="inlineStr">
        <is>
          <t>KLIPPAN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20203-2023</t>
        </is>
      </c>
      <c r="B4037" s="1" t="n">
        <v>45055</v>
      </c>
      <c r="C4037" s="1" t="n">
        <v>45796</v>
      </c>
      <c r="D4037" t="inlineStr">
        <is>
          <t>SKÅNE LÄN</t>
        </is>
      </c>
      <c r="E4037" t="inlineStr">
        <is>
          <t>HÄSSLEHOLM</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20187-2023</t>
        </is>
      </c>
      <c r="B4038" s="1" t="n">
        <v>45055</v>
      </c>
      <c r="C4038" s="1" t="n">
        <v>45796</v>
      </c>
      <c r="D4038" t="inlineStr">
        <is>
          <t>SKÅNE LÄN</t>
        </is>
      </c>
      <c r="E4038" t="inlineStr">
        <is>
          <t>HÄSSLEHOLM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20717-2023</t>
        </is>
      </c>
      <c r="B4039" s="1" t="n">
        <v>45055</v>
      </c>
      <c r="C4039" s="1" t="n">
        <v>45796</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20813-2023</t>
        </is>
      </c>
      <c r="B4040" s="1" t="n">
        <v>45055</v>
      </c>
      <c r="C4040" s="1" t="n">
        <v>45796</v>
      </c>
      <c r="D4040" t="inlineStr">
        <is>
          <t>SKÅNE LÄN</t>
        </is>
      </c>
      <c r="E4040" t="inlineStr">
        <is>
          <t>OSBY</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20591-2023</t>
        </is>
      </c>
      <c r="B4041" s="1" t="n">
        <v>45055</v>
      </c>
      <c r="C4041" s="1" t="n">
        <v>45796</v>
      </c>
      <c r="D4041" t="inlineStr">
        <is>
          <t>SKÅNE LÄN</t>
        </is>
      </c>
      <c r="E4041" t="inlineStr">
        <is>
          <t>KLIPPAN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20730-2023</t>
        </is>
      </c>
      <c r="B4042" s="1" t="n">
        <v>45055</v>
      </c>
      <c r="C4042" s="1" t="n">
        <v>45796</v>
      </c>
      <c r="D4042" t="inlineStr">
        <is>
          <t>SKÅNE LÄN</t>
        </is>
      </c>
      <c r="E4042" t="inlineStr">
        <is>
          <t>KLIPPAN</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20426-2023</t>
        </is>
      </c>
      <c r="B4043" s="1" t="n">
        <v>45056</v>
      </c>
      <c r="C4043" s="1" t="n">
        <v>45796</v>
      </c>
      <c r="D4043" t="inlineStr">
        <is>
          <t>SKÅNE LÄN</t>
        </is>
      </c>
      <c r="E4043" t="inlineStr">
        <is>
          <t>BROMÖLLA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20394-2023</t>
        </is>
      </c>
      <c r="B4044" s="1" t="n">
        <v>45056</v>
      </c>
      <c r="C4044" s="1" t="n">
        <v>45796</v>
      </c>
      <c r="D4044" t="inlineStr">
        <is>
          <t>SKÅNE LÄN</t>
        </is>
      </c>
      <c r="E4044" t="inlineStr">
        <is>
          <t>OSBY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20846-2023</t>
        </is>
      </c>
      <c r="B4045" s="1" t="n">
        <v>45056</v>
      </c>
      <c r="C4045" s="1" t="n">
        <v>45796</v>
      </c>
      <c r="D4045" t="inlineStr">
        <is>
          <t>SKÅNE LÄN</t>
        </is>
      </c>
      <c r="E4045" t="inlineStr">
        <is>
          <t>HÄSSLEHOLM</t>
        </is>
      </c>
      <c r="F4045" t="inlineStr">
        <is>
          <t>Övriga Aktiebolag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20282-2023</t>
        </is>
      </c>
      <c r="B4046" s="1" t="n">
        <v>45056</v>
      </c>
      <c r="C4046" s="1" t="n">
        <v>45796</v>
      </c>
      <c r="D4046" t="inlineStr">
        <is>
          <t>SKÅNE LÄN</t>
        </is>
      </c>
      <c r="E4046" t="inlineStr">
        <is>
          <t>KLIPPAN</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20521-2023</t>
        </is>
      </c>
      <c r="B4047" s="1" t="n">
        <v>45056</v>
      </c>
      <c r="C4047" s="1" t="n">
        <v>45796</v>
      </c>
      <c r="D4047" t="inlineStr">
        <is>
          <t>SKÅNE LÄN</t>
        </is>
      </c>
      <c r="E4047" t="inlineStr">
        <is>
          <t>ÖSTRA GÖINGE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20512-2023</t>
        </is>
      </c>
      <c r="B4048" s="1" t="n">
        <v>45057</v>
      </c>
      <c r="C4048" s="1" t="n">
        <v>45796</v>
      </c>
      <c r="D4048" t="inlineStr">
        <is>
          <t>SKÅNE LÄN</t>
        </is>
      </c>
      <c r="E4048" t="inlineStr">
        <is>
          <t>HÖÖR</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20566-2023</t>
        </is>
      </c>
      <c r="B4049" s="1" t="n">
        <v>45057</v>
      </c>
      <c r="C4049" s="1" t="n">
        <v>45796</v>
      </c>
      <c r="D4049" t="inlineStr">
        <is>
          <t>SKÅNE LÄN</t>
        </is>
      </c>
      <c r="E4049" t="inlineStr">
        <is>
          <t>HÄSSLEHOLM</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20564-2023</t>
        </is>
      </c>
      <c r="B4050" s="1" t="n">
        <v>45057</v>
      </c>
      <c r="C4050" s="1" t="n">
        <v>45796</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20579-2023</t>
        </is>
      </c>
      <c r="B4051" s="1" t="n">
        <v>45057</v>
      </c>
      <c r="C4051" s="1" t="n">
        <v>45796</v>
      </c>
      <c r="D4051" t="inlineStr">
        <is>
          <t>SKÅNE LÄN</t>
        </is>
      </c>
      <c r="E4051" t="inlineStr">
        <is>
          <t>BÅSTAD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20800-2023</t>
        </is>
      </c>
      <c r="B4052" s="1" t="n">
        <v>45058</v>
      </c>
      <c r="C4052" s="1" t="n">
        <v>45796</v>
      </c>
      <c r="D4052" t="inlineStr">
        <is>
          <t>SKÅNE LÄN</t>
        </is>
      </c>
      <c r="E4052" t="inlineStr">
        <is>
          <t>HÄSSLEHOLM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20666-2023</t>
        </is>
      </c>
      <c r="B4053" s="1" t="n">
        <v>45058</v>
      </c>
      <c r="C4053" s="1" t="n">
        <v>45796</v>
      </c>
      <c r="D4053" t="inlineStr">
        <is>
          <t>SKÅNE LÄN</t>
        </is>
      </c>
      <c r="E4053" t="inlineStr">
        <is>
          <t>HÄSSLEHOLM</t>
        </is>
      </c>
      <c r="F4053" t="inlineStr">
        <is>
          <t>Kyrkan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20758-2023</t>
        </is>
      </c>
      <c r="B4054" s="1" t="n">
        <v>45058</v>
      </c>
      <c r="C4054" s="1" t="n">
        <v>45796</v>
      </c>
      <c r="D4054" t="inlineStr">
        <is>
          <t>SKÅNE LÄN</t>
        </is>
      </c>
      <c r="E4054" t="inlineStr">
        <is>
          <t>ÖRKELLJUNGA</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20797-2023</t>
        </is>
      </c>
      <c r="B4055" s="1" t="n">
        <v>45058</v>
      </c>
      <c r="C4055" s="1" t="n">
        <v>45796</v>
      </c>
      <c r="D4055" t="inlineStr">
        <is>
          <t>SKÅNE LÄN</t>
        </is>
      </c>
      <c r="E4055" t="inlineStr">
        <is>
          <t>HÄSSLEHOLM</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20892-2023</t>
        </is>
      </c>
      <c r="B4056" s="1" t="n">
        <v>45059</v>
      </c>
      <c r="C4056" s="1" t="n">
        <v>45796</v>
      </c>
      <c r="D4056" t="inlineStr">
        <is>
          <t>SKÅNE LÄN</t>
        </is>
      </c>
      <c r="E4056" t="inlineStr">
        <is>
          <t>KLIPPAN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20950-2023</t>
        </is>
      </c>
      <c r="B4057" s="1" t="n">
        <v>45061</v>
      </c>
      <c r="C4057" s="1" t="n">
        <v>45796</v>
      </c>
      <c r="D4057" t="inlineStr">
        <is>
          <t>SKÅNE LÄN</t>
        </is>
      </c>
      <c r="E4057" t="inlineStr">
        <is>
          <t>SIMRISHAMN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21066-2023</t>
        </is>
      </c>
      <c r="B4058" s="1" t="n">
        <v>45061</v>
      </c>
      <c r="C4058" s="1" t="n">
        <v>45796</v>
      </c>
      <c r="D4058" t="inlineStr">
        <is>
          <t>SKÅNE LÄN</t>
        </is>
      </c>
      <c r="E4058" t="inlineStr">
        <is>
          <t>HÖÖR</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20990-2023</t>
        </is>
      </c>
      <c r="B4059" s="1" t="n">
        <v>45061</v>
      </c>
      <c r="C4059" s="1" t="n">
        <v>45796</v>
      </c>
      <c r="D4059" t="inlineStr">
        <is>
          <t>SKÅNE LÄN</t>
        </is>
      </c>
      <c r="E4059" t="inlineStr">
        <is>
          <t>HÄSSLEHOLM</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21063-2023</t>
        </is>
      </c>
      <c r="B4060" s="1" t="n">
        <v>45061</v>
      </c>
      <c r="C4060" s="1" t="n">
        <v>45796</v>
      </c>
      <c r="D4060" t="inlineStr">
        <is>
          <t>SKÅNE LÄN</t>
        </is>
      </c>
      <c r="E4060" t="inlineStr">
        <is>
          <t>HÖÖR</t>
        </is>
      </c>
      <c r="F4060" t="inlineStr">
        <is>
          <t>Sveaskog</t>
        </is>
      </c>
      <c r="G4060" t="n">
        <v>17.9</v>
      </c>
      <c r="H4060" t="n">
        <v>0</v>
      </c>
      <c r="I4060" t="n">
        <v>0</v>
      </c>
      <c r="J4060" t="n">
        <v>0</v>
      </c>
      <c r="K4060" t="n">
        <v>0</v>
      </c>
      <c r="L4060" t="n">
        <v>0</v>
      </c>
      <c r="M4060" t="n">
        <v>0</v>
      </c>
      <c r="N4060" t="n">
        <v>0</v>
      </c>
      <c r="O4060" t="n">
        <v>0</v>
      </c>
      <c r="P4060" t="n">
        <v>0</v>
      </c>
      <c r="Q4060" t="n">
        <v>0</v>
      </c>
      <c r="R4060" s="2" t="inlineStr"/>
    </row>
    <row r="4061" ht="15" customHeight="1">
      <c r="A4061" t="inlineStr">
        <is>
          <t>A 21069-2023</t>
        </is>
      </c>
      <c r="B4061" s="1" t="n">
        <v>45061</v>
      </c>
      <c r="C4061" s="1" t="n">
        <v>45796</v>
      </c>
      <c r="D4061" t="inlineStr">
        <is>
          <t>SKÅNE LÄN</t>
        </is>
      </c>
      <c r="E4061" t="inlineStr">
        <is>
          <t>ÄNGELHOLM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21024-2023</t>
        </is>
      </c>
      <c r="B4062" s="1" t="n">
        <v>45061</v>
      </c>
      <c r="C4062" s="1" t="n">
        <v>45796</v>
      </c>
      <c r="D4062" t="inlineStr">
        <is>
          <t>SKÅNE LÄN</t>
        </is>
      </c>
      <c r="E4062" t="inlineStr">
        <is>
          <t>SJÖBO</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21065-2023</t>
        </is>
      </c>
      <c r="B4063" s="1" t="n">
        <v>45061</v>
      </c>
      <c r="C4063" s="1" t="n">
        <v>45796</v>
      </c>
      <c r="D4063" t="inlineStr">
        <is>
          <t>SKÅNE LÄN</t>
        </is>
      </c>
      <c r="E4063" t="inlineStr">
        <is>
          <t>ÖRKELLJUNGA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21488-2023</t>
        </is>
      </c>
      <c r="B4064" s="1" t="n">
        <v>45061</v>
      </c>
      <c r="C4064" s="1" t="n">
        <v>45796</v>
      </c>
      <c r="D4064" t="inlineStr">
        <is>
          <t>SKÅNE LÄN</t>
        </is>
      </c>
      <c r="E4064" t="inlineStr">
        <is>
          <t>ÄNGELHOLM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21208-2023</t>
        </is>
      </c>
      <c r="B4065" s="1" t="n">
        <v>45062</v>
      </c>
      <c r="C4065" s="1" t="n">
        <v>45796</v>
      </c>
      <c r="D4065" t="inlineStr">
        <is>
          <t>SKÅNE LÄN</t>
        </is>
      </c>
      <c r="E4065" t="inlineStr">
        <is>
          <t>PERSTORP</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21328-2023</t>
        </is>
      </c>
      <c r="B4066" s="1" t="n">
        <v>45062</v>
      </c>
      <c r="C4066" s="1" t="n">
        <v>45796</v>
      </c>
      <c r="D4066" t="inlineStr">
        <is>
          <t>SKÅNE LÄN</t>
        </is>
      </c>
      <c r="E4066" t="inlineStr">
        <is>
          <t>HÄSSLEHOLM</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21222-2023</t>
        </is>
      </c>
      <c r="B4067" s="1" t="n">
        <v>45062</v>
      </c>
      <c r="C4067" s="1" t="n">
        <v>45796</v>
      </c>
      <c r="D4067" t="inlineStr">
        <is>
          <t>SKÅNE LÄN</t>
        </is>
      </c>
      <c r="E4067" t="inlineStr">
        <is>
          <t>OSBY</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21325-2023</t>
        </is>
      </c>
      <c r="B4068" s="1" t="n">
        <v>45062</v>
      </c>
      <c r="C4068" s="1" t="n">
        <v>45796</v>
      </c>
      <c r="D4068" t="inlineStr">
        <is>
          <t>SKÅNE LÄN</t>
        </is>
      </c>
      <c r="E4068" t="inlineStr">
        <is>
          <t>HÄSSLEHOLM</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21329-2023</t>
        </is>
      </c>
      <c r="B4069" s="1" t="n">
        <v>45062</v>
      </c>
      <c r="C4069" s="1" t="n">
        <v>45796</v>
      </c>
      <c r="D4069" t="inlineStr">
        <is>
          <t>SKÅNE LÄN</t>
        </is>
      </c>
      <c r="E4069" t="inlineStr">
        <is>
          <t>HÄSSLEHOLM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21367-2023</t>
        </is>
      </c>
      <c r="B4070" s="1" t="n">
        <v>45063</v>
      </c>
      <c r="C4070" s="1" t="n">
        <v>45796</v>
      </c>
      <c r="D4070" t="inlineStr">
        <is>
          <t>SKÅNE LÄN</t>
        </is>
      </c>
      <c r="E4070" t="inlineStr">
        <is>
          <t>ÄNGELHOLM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21524-2023</t>
        </is>
      </c>
      <c r="B4071" s="1" t="n">
        <v>45063</v>
      </c>
      <c r="C4071" s="1" t="n">
        <v>45796</v>
      </c>
      <c r="D4071" t="inlineStr">
        <is>
          <t>SKÅNE LÄN</t>
        </is>
      </c>
      <c r="E4071" t="inlineStr">
        <is>
          <t>OSBY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21362-2023</t>
        </is>
      </c>
      <c r="B4072" s="1" t="n">
        <v>45063</v>
      </c>
      <c r="C4072" s="1" t="n">
        <v>45796</v>
      </c>
      <c r="D4072" t="inlineStr">
        <is>
          <t>SKÅNE LÄN</t>
        </is>
      </c>
      <c r="E4072" t="inlineStr">
        <is>
          <t>YSTAD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21495-2023</t>
        </is>
      </c>
      <c r="B4073" s="1" t="n">
        <v>45063</v>
      </c>
      <c r="C4073" s="1" t="n">
        <v>45796</v>
      </c>
      <c r="D4073" t="inlineStr">
        <is>
          <t>SKÅNE LÄN</t>
        </is>
      </c>
      <c r="E4073" t="inlineStr">
        <is>
          <t>HÄSSLEHOLM</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21542-2023</t>
        </is>
      </c>
      <c r="B4074" s="1" t="n">
        <v>45063</v>
      </c>
      <c r="C4074" s="1" t="n">
        <v>45796</v>
      </c>
      <c r="D4074" t="inlineStr">
        <is>
          <t>SKÅNE LÄN</t>
        </is>
      </c>
      <c r="E4074" t="inlineStr">
        <is>
          <t>HÄSSLEHOLM</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21494-2023</t>
        </is>
      </c>
      <c r="B4075" s="1" t="n">
        <v>45063</v>
      </c>
      <c r="C4075" s="1" t="n">
        <v>45796</v>
      </c>
      <c r="D4075" t="inlineStr">
        <is>
          <t>SKÅNE LÄN</t>
        </is>
      </c>
      <c r="E4075" t="inlineStr">
        <is>
          <t>HÄSSLEHOLM</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21578-2023</t>
        </is>
      </c>
      <c r="B4076" s="1" t="n">
        <v>45063</v>
      </c>
      <c r="C4076" s="1" t="n">
        <v>45796</v>
      </c>
      <c r="D4076" t="inlineStr">
        <is>
          <t>SKÅNE LÄN</t>
        </is>
      </c>
      <c r="E4076" t="inlineStr">
        <is>
          <t>ÖRKELLJUNGA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21572-2023</t>
        </is>
      </c>
      <c r="B4077" s="1" t="n">
        <v>45063</v>
      </c>
      <c r="C4077" s="1" t="n">
        <v>45796</v>
      </c>
      <c r="D4077" t="inlineStr">
        <is>
          <t>SKÅNE LÄN</t>
        </is>
      </c>
      <c r="E4077" t="inlineStr">
        <is>
          <t>BÅSTAD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21656-2023</t>
        </is>
      </c>
      <c r="B4078" s="1" t="n">
        <v>45063</v>
      </c>
      <c r="C4078" s="1" t="n">
        <v>45796</v>
      </c>
      <c r="D4078" t="inlineStr">
        <is>
          <t>SKÅNE LÄN</t>
        </is>
      </c>
      <c r="E4078" t="inlineStr">
        <is>
          <t>OSBY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21867-2023</t>
        </is>
      </c>
      <c r="B4079" s="1" t="n">
        <v>45063</v>
      </c>
      <c r="C4079" s="1" t="n">
        <v>45796</v>
      </c>
      <c r="D4079" t="inlineStr">
        <is>
          <t>SKÅNE LÄN</t>
        </is>
      </c>
      <c r="E4079" t="inlineStr">
        <is>
          <t>HÄSSLEHOLM</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21739-2023</t>
        </is>
      </c>
      <c r="B4080" s="1" t="n">
        <v>45065</v>
      </c>
      <c r="C4080" s="1" t="n">
        <v>45796</v>
      </c>
      <c r="D4080" t="inlineStr">
        <is>
          <t>SKÅNE LÄN</t>
        </is>
      </c>
      <c r="E4080" t="inlineStr">
        <is>
          <t>KLIPPAN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21767-2023</t>
        </is>
      </c>
      <c r="B4081" s="1" t="n">
        <v>45065</v>
      </c>
      <c r="C4081" s="1" t="n">
        <v>45796</v>
      </c>
      <c r="D4081" t="inlineStr">
        <is>
          <t>SKÅNE LÄN</t>
        </is>
      </c>
      <c r="E4081" t="inlineStr">
        <is>
          <t>LUND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22140-2023</t>
        </is>
      </c>
      <c r="B4082" s="1" t="n">
        <v>45065</v>
      </c>
      <c r="C4082" s="1" t="n">
        <v>45796</v>
      </c>
      <c r="D4082" t="inlineStr">
        <is>
          <t>SKÅNE LÄN</t>
        </is>
      </c>
      <c r="E4082" t="inlineStr">
        <is>
          <t>HÄSSLEHOLM</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21879-2023</t>
        </is>
      </c>
      <c r="B4083" s="1" t="n">
        <v>45068</v>
      </c>
      <c r="C4083" s="1" t="n">
        <v>45796</v>
      </c>
      <c r="D4083" t="inlineStr">
        <is>
          <t>SKÅNE LÄN</t>
        </is>
      </c>
      <c r="E4083" t="inlineStr">
        <is>
          <t>HÄSSLEHOLM</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21930-2023</t>
        </is>
      </c>
      <c r="B4084" s="1" t="n">
        <v>45068</v>
      </c>
      <c r="C4084" s="1" t="n">
        <v>45796</v>
      </c>
      <c r="D4084" t="inlineStr">
        <is>
          <t>SKÅNE LÄN</t>
        </is>
      </c>
      <c r="E4084" t="inlineStr">
        <is>
          <t>PERSTORP</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21963-2023</t>
        </is>
      </c>
      <c r="B4085" s="1" t="n">
        <v>45068</v>
      </c>
      <c r="C4085" s="1" t="n">
        <v>45796</v>
      </c>
      <c r="D4085" t="inlineStr">
        <is>
          <t>SKÅNE LÄN</t>
        </is>
      </c>
      <c r="E4085" t="inlineStr">
        <is>
          <t>BROMÖLLA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21976-2023</t>
        </is>
      </c>
      <c r="B4086" s="1" t="n">
        <v>45068</v>
      </c>
      <c r="C4086" s="1" t="n">
        <v>45796</v>
      </c>
      <c r="D4086" t="inlineStr">
        <is>
          <t>SKÅNE LÄN</t>
        </is>
      </c>
      <c r="E4086" t="inlineStr">
        <is>
          <t>BROMÖLLA</t>
        </is>
      </c>
      <c r="G4086" t="n">
        <v>12.9</v>
      </c>
      <c r="H4086" t="n">
        <v>0</v>
      </c>
      <c r="I4086" t="n">
        <v>0</v>
      </c>
      <c r="J4086" t="n">
        <v>0</v>
      </c>
      <c r="K4086" t="n">
        <v>0</v>
      </c>
      <c r="L4086" t="n">
        <v>0</v>
      </c>
      <c r="M4086" t="n">
        <v>0</v>
      </c>
      <c r="N4086" t="n">
        <v>0</v>
      </c>
      <c r="O4086" t="n">
        <v>0</v>
      </c>
      <c r="P4086" t="n">
        <v>0</v>
      </c>
      <c r="Q4086" t="n">
        <v>0</v>
      </c>
      <c r="R4086" s="2" t="inlineStr"/>
    </row>
    <row r="4087" ht="15" customHeight="1">
      <c r="A4087" t="inlineStr">
        <is>
          <t>A 21873-2023</t>
        </is>
      </c>
      <c r="B4087" s="1" t="n">
        <v>45068</v>
      </c>
      <c r="C4087" s="1" t="n">
        <v>45796</v>
      </c>
      <c r="D4087" t="inlineStr">
        <is>
          <t>SKÅNE LÄN</t>
        </is>
      </c>
      <c r="E4087" t="inlineStr">
        <is>
          <t>HÄSSLEHOLM</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21877-2023</t>
        </is>
      </c>
      <c r="B4088" s="1" t="n">
        <v>45068</v>
      </c>
      <c r="C4088" s="1" t="n">
        <v>45796</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21980-2023</t>
        </is>
      </c>
      <c r="B4089" s="1" t="n">
        <v>45068</v>
      </c>
      <c r="C4089" s="1" t="n">
        <v>45796</v>
      </c>
      <c r="D4089" t="inlineStr">
        <is>
          <t>SKÅNE LÄN</t>
        </is>
      </c>
      <c r="E4089" t="inlineStr">
        <is>
          <t>BROMÖLLA</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21957-2023</t>
        </is>
      </c>
      <c r="B4090" s="1" t="n">
        <v>45068</v>
      </c>
      <c r="C4090" s="1" t="n">
        <v>45796</v>
      </c>
      <c r="D4090" t="inlineStr">
        <is>
          <t>SKÅNE LÄN</t>
        </is>
      </c>
      <c r="E4090" t="inlineStr">
        <is>
          <t>ÄNGELHOLM</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22081-2023</t>
        </is>
      </c>
      <c r="B4091" s="1" t="n">
        <v>45069</v>
      </c>
      <c r="C4091" s="1" t="n">
        <v>45796</v>
      </c>
      <c r="D4091" t="inlineStr">
        <is>
          <t>SKÅNE LÄN</t>
        </is>
      </c>
      <c r="E4091" t="inlineStr">
        <is>
          <t>ÖSTRA GÖINGE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22160-2023</t>
        </is>
      </c>
      <c r="B4092" s="1" t="n">
        <v>45069</v>
      </c>
      <c r="C4092" s="1" t="n">
        <v>45796</v>
      </c>
      <c r="D4092" t="inlineStr">
        <is>
          <t>SKÅNE LÄN</t>
        </is>
      </c>
      <c r="E4092" t="inlineStr">
        <is>
          <t>ÖRKELLJUNGA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22194-2023</t>
        </is>
      </c>
      <c r="B4093" s="1" t="n">
        <v>45069</v>
      </c>
      <c r="C4093" s="1" t="n">
        <v>45796</v>
      </c>
      <c r="D4093" t="inlineStr">
        <is>
          <t>SKÅNE LÄN</t>
        </is>
      </c>
      <c r="E4093" t="inlineStr">
        <is>
          <t>SIMRISHAMN</t>
        </is>
      </c>
      <c r="F4093" t="inlineStr">
        <is>
          <t>Övriga Aktiebolag</t>
        </is>
      </c>
      <c r="G4093" t="n">
        <v>11.4</v>
      </c>
      <c r="H4093" t="n">
        <v>0</v>
      </c>
      <c r="I4093" t="n">
        <v>0</v>
      </c>
      <c r="J4093" t="n">
        <v>0</v>
      </c>
      <c r="K4093" t="n">
        <v>0</v>
      </c>
      <c r="L4093" t="n">
        <v>0</v>
      </c>
      <c r="M4093" t="n">
        <v>0</v>
      </c>
      <c r="N4093" t="n">
        <v>0</v>
      </c>
      <c r="O4093" t="n">
        <v>0</v>
      </c>
      <c r="P4093" t="n">
        <v>0</v>
      </c>
      <c r="Q4093" t="n">
        <v>0</v>
      </c>
      <c r="R4093" s="2" t="inlineStr"/>
    </row>
    <row r="4094" ht="15" customHeight="1">
      <c r="A4094" t="inlineStr">
        <is>
          <t>A 22074-2023</t>
        </is>
      </c>
      <c r="B4094" s="1" t="n">
        <v>45069</v>
      </c>
      <c r="C4094" s="1" t="n">
        <v>45796</v>
      </c>
      <c r="D4094" t="inlineStr">
        <is>
          <t>SKÅNE LÄN</t>
        </is>
      </c>
      <c r="E4094" t="inlineStr">
        <is>
          <t>KRISTIANSTAD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22195-2023</t>
        </is>
      </c>
      <c r="B4095" s="1" t="n">
        <v>45069</v>
      </c>
      <c r="C4095" s="1" t="n">
        <v>45796</v>
      </c>
      <c r="D4095" t="inlineStr">
        <is>
          <t>SKÅNE LÄN</t>
        </is>
      </c>
      <c r="E4095" t="inlineStr">
        <is>
          <t>YSTAD</t>
        </is>
      </c>
      <c r="F4095" t="inlineStr">
        <is>
          <t>Övriga Aktiebolag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22204-2023</t>
        </is>
      </c>
      <c r="B4096" s="1" t="n">
        <v>45069</v>
      </c>
      <c r="C4096" s="1" t="n">
        <v>45796</v>
      </c>
      <c r="D4096" t="inlineStr">
        <is>
          <t>SKÅNE LÄN</t>
        </is>
      </c>
      <c r="E4096" t="inlineStr">
        <is>
          <t>KLIPPAN</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22202-2023</t>
        </is>
      </c>
      <c r="B4097" s="1" t="n">
        <v>45069</v>
      </c>
      <c r="C4097" s="1" t="n">
        <v>45796</v>
      </c>
      <c r="D4097" t="inlineStr">
        <is>
          <t>SKÅNE LÄN</t>
        </is>
      </c>
      <c r="E4097" t="inlineStr">
        <is>
          <t>KLIPPAN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22207-2023</t>
        </is>
      </c>
      <c r="B4098" s="1" t="n">
        <v>45069</v>
      </c>
      <c r="C4098" s="1" t="n">
        <v>45796</v>
      </c>
      <c r="D4098" t="inlineStr">
        <is>
          <t>SKÅNE LÄN</t>
        </is>
      </c>
      <c r="E4098" t="inlineStr">
        <is>
          <t>KLIPPAN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22205-2023</t>
        </is>
      </c>
      <c r="B4099" s="1" t="n">
        <v>45069</v>
      </c>
      <c r="C4099" s="1" t="n">
        <v>45796</v>
      </c>
      <c r="D4099" t="inlineStr">
        <is>
          <t>SKÅNE LÄN</t>
        </is>
      </c>
      <c r="E4099" t="inlineStr">
        <is>
          <t>KLIPPAN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22262-2023</t>
        </is>
      </c>
      <c r="B4100" s="1" t="n">
        <v>45070</v>
      </c>
      <c r="C4100" s="1" t="n">
        <v>45796</v>
      </c>
      <c r="D4100" t="inlineStr">
        <is>
          <t>SKÅNE LÄN</t>
        </is>
      </c>
      <c r="E4100" t="inlineStr">
        <is>
          <t>SVALÖV</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22947-2023</t>
        </is>
      </c>
      <c r="B4101" s="1" t="n">
        <v>45070</v>
      </c>
      <c r="C4101" s="1" t="n">
        <v>45796</v>
      </c>
      <c r="D4101" t="inlineStr">
        <is>
          <t>SKÅNE LÄN</t>
        </is>
      </c>
      <c r="E4101" t="inlineStr">
        <is>
          <t>ÄNGELHOLM</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22636-2023</t>
        </is>
      </c>
      <c r="B4102" s="1" t="n">
        <v>45071</v>
      </c>
      <c r="C4102" s="1" t="n">
        <v>45796</v>
      </c>
      <c r="D4102" t="inlineStr">
        <is>
          <t>SKÅNE LÄN</t>
        </is>
      </c>
      <c r="E4102" t="inlineStr">
        <is>
          <t>OSBY</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22628-2023</t>
        </is>
      </c>
      <c r="B4103" s="1" t="n">
        <v>45071</v>
      </c>
      <c r="C4103" s="1" t="n">
        <v>45796</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22633-2023</t>
        </is>
      </c>
      <c r="B4104" s="1" t="n">
        <v>45071</v>
      </c>
      <c r="C4104" s="1" t="n">
        <v>45796</v>
      </c>
      <c r="D4104" t="inlineStr">
        <is>
          <t>SKÅNE LÄN</t>
        </is>
      </c>
      <c r="E4104" t="inlineStr">
        <is>
          <t>OSBY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22630-2023</t>
        </is>
      </c>
      <c r="B4105" s="1" t="n">
        <v>45071</v>
      </c>
      <c r="C4105" s="1" t="n">
        <v>45796</v>
      </c>
      <c r="D4105" t="inlineStr">
        <is>
          <t>SKÅNE LÄN</t>
        </is>
      </c>
      <c r="E4105" t="inlineStr">
        <is>
          <t>OSBY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22638-2023</t>
        </is>
      </c>
      <c r="B4106" s="1" t="n">
        <v>45071</v>
      </c>
      <c r="C4106" s="1" t="n">
        <v>45796</v>
      </c>
      <c r="D4106" t="inlineStr">
        <is>
          <t>SKÅNE LÄN</t>
        </is>
      </c>
      <c r="E4106" t="inlineStr">
        <is>
          <t>OSBY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22696-2023</t>
        </is>
      </c>
      <c r="B4107" s="1" t="n">
        <v>45071</v>
      </c>
      <c r="C4107" s="1" t="n">
        <v>45796</v>
      </c>
      <c r="D4107" t="inlineStr">
        <is>
          <t>SKÅNE LÄN</t>
        </is>
      </c>
      <c r="E4107" t="inlineStr">
        <is>
          <t>HÄSSLEHOLM</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22789-2023</t>
        </is>
      </c>
      <c r="B4108" s="1" t="n">
        <v>45072</v>
      </c>
      <c r="C4108" s="1" t="n">
        <v>45796</v>
      </c>
      <c r="D4108" t="inlineStr">
        <is>
          <t>SKÅNE LÄN</t>
        </is>
      </c>
      <c r="E4108" t="inlineStr">
        <is>
          <t>SVALÖV</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22815-2023</t>
        </is>
      </c>
      <c r="B4109" s="1" t="n">
        <v>45072</v>
      </c>
      <c r="C4109" s="1" t="n">
        <v>45796</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22795-2023</t>
        </is>
      </c>
      <c r="B4110" s="1" t="n">
        <v>45072</v>
      </c>
      <c r="C4110" s="1" t="n">
        <v>45796</v>
      </c>
      <c r="D4110" t="inlineStr">
        <is>
          <t>SKÅNE LÄN</t>
        </is>
      </c>
      <c r="E4110" t="inlineStr">
        <is>
          <t>KRISTIANSTAD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22976-2023</t>
        </is>
      </c>
      <c r="B4111" s="1" t="n">
        <v>45072</v>
      </c>
      <c r="C4111" s="1" t="n">
        <v>45796</v>
      </c>
      <c r="D4111" t="inlineStr">
        <is>
          <t>SKÅNE LÄN</t>
        </is>
      </c>
      <c r="E4111" t="inlineStr">
        <is>
          <t>KLIPPAN</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22975-2023</t>
        </is>
      </c>
      <c r="B4112" s="1" t="n">
        <v>45072</v>
      </c>
      <c r="C4112" s="1" t="n">
        <v>45796</v>
      </c>
      <c r="D4112" t="inlineStr">
        <is>
          <t>SKÅNE LÄN</t>
        </is>
      </c>
      <c r="E4112" t="inlineStr">
        <is>
          <t>ÖRKELLJUNGA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23427-2023</t>
        </is>
      </c>
      <c r="B4113" s="1" t="n">
        <v>45072</v>
      </c>
      <c r="C4113" s="1" t="n">
        <v>45796</v>
      </c>
      <c r="D4113" t="inlineStr">
        <is>
          <t>SKÅNE LÄN</t>
        </is>
      </c>
      <c r="E4113" t="inlineStr">
        <is>
          <t>KRISTIANSTAD</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23643-2023</t>
        </is>
      </c>
      <c r="B4114" s="1" t="n">
        <v>45072</v>
      </c>
      <c r="C4114" s="1" t="n">
        <v>45796</v>
      </c>
      <c r="D4114" t="inlineStr">
        <is>
          <t>SKÅNE LÄN</t>
        </is>
      </c>
      <c r="E4114" t="inlineStr">
        <is>
          <t>HÄSSLEHOLM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23003-2023</t>
        </is>
      </c>
      <c r="B4115" s="1" t="n">
        <v>45073</v>
      </c>
      <c r="C4115" s="1" t="n">
        <v>45796</v>
      </c>
      <c r="D4115" t="inlineStr">
        <is>
          <t>SKÅNE LÄN</t>
        </is>
      </c>
      <c r="E4115" t="inlineStr">
        <is>
          <t>KLIPPAN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23261-2023</t>
        </is>
      </c>
      <c r="B4116" s="1" t="n">
        <v>45075</v>
      </c>
      <c r="C4116" s="1" t="n">
        <v>45796</v>
      </c>
      <c r="D4116" t="inlineStr">
        <is>
          <t>SKÅNE LÄN</t>
        </is>
      </c>
      <c r="E4116" t="inlineStr">
        <is>
          <t>KLIPPAN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23228-2023</t>
        </is>
      </c>
      <c r="B4117" s="1" t="n">
        <v>45075</v>
      </c>
      <c r="C4117" s="1" t="n">
        <v>45796</v>
      </c>
      <c r="D4117" t="inlineStr">
        <is>
          <t>SKÅNE LÄN</t>
        </is>
      </c>
      <c r="E4117" t="inlineStr">
        <is>
          <t>ÄNGELHOLM</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23235-2023</t>
        </is>
      </c>
      <c r="B4118" s="1" t="n">
        <v>45075</v>
      </c>
      <c r="C4118" s="1" t="n">
        <v>45796</v>
      </c>
      <c r="D4118" t="inlineStr">
        <is>
          <t>SKÅNE LÄN</t>
        </is>
      </c>
      <c r="E4118" t="inlineStr">
        <is>
          <t>ÖRKELLJUNGA</t>
        </is>
      </c>
      <c r="F4118" t="inlineStr">
        <is>
          <t>Kommuner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23260-2023</t>
        </is>
      </c>
      <c r="B4119" s="1" t="n">
        <v>45075</v>
      </c>
      <c r="C4119" s="1" t="n">
        <v>45796</v>
      </c>
      <c r="D4119" t="inlineStr">
        <is>
          <t>SKÅNE LÄN</t>
        </is>
      </c>
      <c r="E4119" t="inlineStr">
        <is>
          <t>KLIPPAN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23227-2023</t>
        </is>
      </c>
      <c r="B4120" s="1" t="n">
        <v>45075</v>
      </c>
      <c r="C4120" s="1" t="n">
        <v>45796</v>
      </c>
      <c r="D4120" t="inlineStr">
        <is>
          <t>SKÅNE LÄN</t>
        </is>
      </c>
      <c r="E4120" t="inlineStr">
        <is>
          <t>ÄNGELHOLM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23322-2023</t>
        </is>
      </c>
      <c r="B4121" s="1" t="n">
        <v>45076</v>
      </c>
      <c r="C4121" s="1" t="n">
        <v>45796</v>
      </c>
      <c r="D4121" t="inlineStr">
        <is>
          <t>SKÅNE LÄN</t>
        </is>
      </c>
      <c r="E4121" t="inlineStr">
        <is>
          <t>ÖRKELLJUNGA</t>
        </is>
      </c>
      <c r="F4121" t="inlineStr">
        <is>
          <t>Kommuner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23396-2023</t>
        </is>
      </c>
      <c r="B4122" s="1" t="n">
        <v>45076</v>
      </c>
      <c r="C4122" s="1" t="n">
        <v>45796</v>
      </c>
      <c r="D4122" t="inlineStr">
        <is>
          <t>SKÅNE LÄN</t>
        </is>
      </c>
      <c r="E4122" t="inlineStr">
        <is>
          <t>ÖSTRA GÖINGE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23400-2023</t>
        </is>
      </c>
      <c r="B4123" s="1" t="n">
        <v>45076</v>
      </c>
      <c r="C4123" s="1" t="n">
        <v>45796</v>
      </c>
      <c r="D4123" t="inlineStr">
        <is>
          <t>SKÅNE LÄN</t>
        </is>
      </c>
      <c r="E4123" t="inlineStr">
        <is>
          <t>ÖSTRA GÖINGE</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23328-2023</t>
        </is>
      </c>
      <c r="B4124" s="1" t="n">
        <v>45076</v>
      </c>
      <c r="C4124" s="1" t="n">
        <v>45796</v>
      </c>
      <c r="D4124" t="inlineStr">
        <is>
          <t>SKÅNE LÄN</t>
        </is>
      </c>
      <c r="E4124" t="inlineStr">
        <is>
          <t>HÖRBY</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23391-2023</t>
        </is>
      </c>
      <c r="B4125" s="1" t="n">
        <v>45076</v>
      </c>
      <c r="C4125" s="1" t="n">
        <v>45796</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23405-2023</t>
        </is>
      </c>
      <c r="B4126" s="1" t="n">
        <v>45076</v>
      </c>
      <c r="C4126" s="1" t="n">
        <v>45796</v>
      </c>
      <c r="D4126" t="inlineStr">
        <is>
          <t>SKÅNE LÄN</t>
        </is>
      </c>
      <c r="E4126" t="inlineStr">
        <is>
          <t>ÖSTRA GÖINGE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23454-2023</t>
        </is>
      </c>
      <c r="B4127" s="1" t="n">
        <v>45076</v>
      </c>
      <c r="C4127" s="1" t="n">
        <v>45796</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23403-2023</t>
        </is>
      </c>
      <c r="B4128" s="1" t="n">
        <v>45076</v>
      </c>
      <c r="C4128" s="1" t="n">
        <v>45796</v>
      </c>
      <c r="D4128" t="inlineStr">
        <is>
          <t>SKÅNE LÄN</t>
        </is>
      </c>
      <c r="E4128" t="inlineStr">
        <is>
          <t>ÖSTRA GÖINGE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23384-2023</t>
        </is>
      </c>
      <c r="B4129" s="1" t="n">
        <v>45076</v>
      </c>
      <c r="C4129" s="1" t="n">
        <v>45796</v>
      </c>
      <c r="D4129" t="inlineStr">
        <is>
          <t>SKÅNE LÄN</t>
        </is>
      </c>
      <c r="E4129" t="inlineStr">
        <is>
          <t>ÖSTRA GÖINGE</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23388-2023</t>
        </is>
      </c>
      <c r="B4130" s="1" t="n">
        <v>45076</v>
      </c>
      <c r="C4130" s="1" t="n">
        <v>45796</v>
      </c>
      <c r="D4130" t="inlineStr">
        <is>
          <t>SKÅNE LÄN</t>
        </is>
      </c>
      <c r="E4130" t="inlineStr">
        <is>
          <t>ÖSTRA GÖINGE</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23402-2023</t>
        </is>
      </c>
      <c r="B4131" s="1" t="n">
        <v>45076</v>
      </c>
      <c r="C4131" s="1" t="n">
        <v>45796</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23550-2023</t>
        </is>
      </c>
      <c r="B4132" s="1" t="n">
        <v>45077</v>
      </c>
      <c r="C4132" s="1" t="n">
        <v>45796</v>
      </c>
      <c r="D4132" t="inlineStr">
        <is>
          <t>SKÅNE LÄN</t>
        </is>
      </c>
      <c r="E4132" t="inlineStr">
        <is>
          <t>KRISTIANSTAD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23673-2023</t>
        </is>
      </c>
      <c r="B4133" s="1" t="n">
        <v>45077</v>
      </c>
      <c r="C4133" s="1" t="n">
        <v>45796</v>
      </c>
      <c r="D4133" t="inlineStr">
        <is>
          <t>SKÅNE LÄN</t>
        </is>
      </c>
      <c r="E4133" t="inlineStr">
        <is>
          <t>KRISTIANSTAD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23681-2023</t>
        </is>
      </c>
      <c r="B4134" s="1" t="n">
        <v>45077</v>
      </c>
      <c r="C4134" s="1" t="n">
        <v>45796</v>
      </c>
      <c r="D4134" t="inlineStr">
        <is>
          <t>SKÅNE LÄN</t>
        </is>
      </c>
      <c r="E4134" t="inlineStr">
        <is>
          <t>KLIPPAN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23693-2023</t>
        </is>
      </c>
      <c r="B4135" s="1" t="n">
        <v>45077</v>
      </c>
      <c r="C4135" s="1" t="n">
        <v>45796</v>
      </c>
      <c r="D4135" t="inlineStr">
        <is>
          <t>SKÅNE LÄN</t>
        </is>
      </c>
      <c r="E4135" t="inlineStr">
        <is>
          <t>ÖRKELLJUNGA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23702-2023</t>
        </is>
      </c>
      <c r="B4136" s="1" t="n">
        <v>45077</v>
      </c>
      <c r="C4136" s="1" t="n">
        <v>45796</v>
      </c>
      <c r="D4136" t="inlineStr">
        <is>
          <t>SKÅNE LÄN</t>
        </is>
      </c>
      <c r="E4136" t="inlineStr">
        <is>
          <t>PERSTORP</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23666-2023</t>
        </is>
      </c>
      <c r="B4137" s="1" t="n">
        <v>45077</v>
      </c>
      <c r="C4137" s="1" t="n">
        <v>45796</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23674-2023</t>
        </is>
      </c>
      <c r="B4138" s="1" t="n">
        <v>45077</v>
      </c>
      <c r="C4138" s="1" t="n">
        <v>45796</v>
      </c>
      <c r="D4138" t="inlineStr">
        <is>
          <t>SKÅNE LÄN</t>
        </is>
      </c>
      <c r="E4138" t="inlineStr">
        <is>
          <t>KRISTIANSTAD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23683-2023</t>
        </is>
      </c>
      <c r="B4139" s="1" t="n">
        <v>45077</v>
      </c>
      <c r="C4139" s="1" t="n">
        <v>45796</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23691-2023</t>
        </is>
      </c>
      <c r="B4140" s="1" t="n">
        <v>45077</v>
      </c>
      <c r="C4140" s="1" t="n">
        <v>45796</v>
      </c>
      <c r="D4140" t="inlineStr">
        <is>
          <t>SKÅNE LÄN</t>
        </is>
      </c>
      <c r="E4140" t="inlineStr">
        <is>
          <t>ÖRKELLJUNGA</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23723-2023</t>
        </is>
      </c>
      <c r="B4141" s="1" t="n">
        <v>45077</v>
      </c>
      <c r="C4141" s="1" t="n">
        <v>45796</v>
      </c>
      <c r="D4141" t="inlineStr">
        <is>
          <t>SKÅNE LÄN</t>
        </is>
      </c>
      <c r="E4141" t="inlineStr">
        <is>
          <t>HÄSSLEHOLM</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23739-2023</t>
        </is>
      </c>
      <c r="B4142" s="1" t="n">
        <v>45077</v>
      </c>
      <c r="C4142" s="1" t="n">
        <v>45796</v>
      </c>
      <c r="D4142" t="inlineStr">
        <is>
          <t>SKÅNE LÄN</t>
        </is>
      </c>
      <c r="E4142" t="inlineStr">
        <is>
          <t>ÖRKELLJUNGA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23740-2023</t>
        </is>
      </c>
      <c r="B4143" s="1" t="n">
        <v>45077</v>
      </c>
      <c r="C4143" s="1" t="n">
        <v>45796</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23741-2023</t>
        </is>
      </c>
      <c r="B4144" s="1" t="n">
        <v>45077</v>
      </c>
      <c r="C4144" s="1" t="n">
        <v>45796</v>
      </c>
      <c r="D4144" t="inlineStr">
        <is>
          <t>SKÅNE LÄN</t>
        </is>
      </c>
      <c r="E4144" t="inlineStr">
        <is>
          <t>KLIPPAN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23684-2023</t>
        </is>
      </c>
      <c r="B4145" s="1" t="n">
        <v>45077</v>
      </c>
      <c r="C4145" s="1" t="n">
        <v>45796</v>
      </c>
      <c r="D4145" t="inlineStr">
        <is>
          <t>SKÅNE LÄN</t>
        </is>
      </c>
      <c r="E4145" t="inlineStr">
        <is>
          <t>HÄSSLEHOLM</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23692-2023</t>
        </is>
      </c>
      <c r="B4146" s="1" t="n">
        <v>45077</v>
      </c>
      <c r="C4146" s="1" t="n">
        <v>45796</v>
      </c>
      <c r="D4146" t="inlineStr">
        <is>
          <t>SKÅNE LÄN</t>
        </is>
      </c>
      <c r="E4146" t="inlineStr">
        <is>
          <t>ÖRKELLJUNGA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23811-2023</t>
        </is>
      </c>
      <c r="B4147" s="1" t="n">
        <v>45078</v>
      </c>
      <c r="C4147" s="1" t="n">
        <v>45796</v>
      </c>
      <c r="D4147" t="inlineStr">
        <is>
          <t>SKÅNE LÄN</t>
        </is>
      </c>
      <c r="E4147" t="inlineStr">
        <is>
          <t>OSBY</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23785-2023</t>
        </is>
      </c>
      <c r="B4148" s="1" t="n">
        <v>45078</v>
      </c>
      <c r="C4148" s="1" t="n">
        <v>45796</v>
      </c>
      <c r="D4148" t="inlineStr">
        <is>
          <t>SKÅNE LÄN</t>
        </is>
      </c>
      <c r="E4148" t="inlineStr">
        <is>
          <t>PERSTORP</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23786-2023</t>
        </is>
      </c>
      <c r="B4149" s="1" t="n">
        <v>45078</v>
      </c>
      <c r="C4149" s="1" t="n">
        <v>45796</v>
      </c>
      <c r="D4149" t="inlineStr">
        <is>
          <t>SKÅNE LÄN</t>
        </is>
      </c>
      <c r="E4149" t="inlineStr">
        <is>
          <t>PERSTORP</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23813-2023</t>
        </is>
      </c>
      <c r="B4150" s="1" t="n">
        <v>45078</v>
      </c>
      <c r="C4150" s="1" t="n">
        <v>45796</v>
      </c>
      <c r="D4150" t="inlineStr">
        <is>
          <t>SKÅNE LÄN</t>
        </is>
      </c>
      <c r="E4150" t="inlineStr">
        <is>
          <t>OSBY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23955-2023</t>
        </is>
      </c>
      <c r="B4151" s="1" t="n">
        <v>45078</v>
      </c>
      <c r="C4151" s="1" t="n">
        <v>45796</v>
      </c>
      <c r="D4151" t="inlineStr">
        <is>
          <t>SKÅNE LÄN</t>
        </is>
      </c>
      <c r="E4151" t="inlineStr">
        <is>
          <t>HÄSSLEHOLM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24020-2023</t>
        </is>
      </c>
      <c r="B4152" s="1" t="n">
        <v>45078</v>
      </c>
      <c r="C4152" s="1" t="n">
        <v>45796</v>
      </c>
      <c r="D4152" t="inlineStr">
        <is>
          <t>SKÅNE LÄN</t>
        </is>
      </c>
      <c r="E4152" t="inlineStr">
        <is>
          <t>ÖSTRA GÖINGE</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23816-2023</t>
        </is>
      </c>
      <c r="B4153" s="1" t="n">
        <v>45078</v>
      </c>
      <c r="C4153" s="1" t="n">
        <v>45796</v>
      </c>
      <c r="D4153" t="inlineStr">
        <is>
          <t>SKÅNE LÄN</t>
        </is>
      </c>
      <c r="E4153" t="inlineStr">
        <is>
          <t>OSBY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23898-2023</t>
        </is>
      </c>
      <c r="B4154" s="1" t="n">
        <v>45078</v>
      </c>
      <c r="C4154" s="1" t="n">
        <v>45796</v>
      </c>
      <c r="D4154" t="inlineStr">
        <is>
          <t>SKÅNE LÄN</t>
        </is>
      </c>
      <c r="E4154" t="inlineStr">
        <is>
          <t>ÖRKELLJUNGA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23946-2023</t>
        </is>
      </c>
      <c r="B4155" s="1" t="n">
        <v>45078</v>
      </c>
      <c r="C4155" s="1" t="n">
        <v>45796</v>
      </c>
      <c r="D4155" t="inlineStr">
        <is>
          <t>SKÅNE LÄN</t>
        </is>
      </c>
      <c r="E4155" t="inlineStr">
        <is>
          <t>HÄSSLEHOLM</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23950-2023</t>
        </is>
      </c>
      <c r="B4156" s="1" t="n">
        <v>45078</v>
      </c>
      <c r="C4156" s="1" t="n">
        <v>45796</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23959-2023</t>
        </is>
      </c>
      <c r="B4157" s="1" t="n">
        <v>45078</v>
      </c>
      <c r="C4157" s="1" t="n">
        <v>45796</v>
      </c>
      <c r="D4157" t="inlineStr">
        <is>
          <t>SKÅNE LÄN</t>
        </is>
      </c>
      <c r="E4157" t="inlineStr">
        <is>
          <t>HÄSSLEHOLM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23990-2023</t>
        </is>
      </c>
      <c r="B4158" s="1" t="n">
        <v>45078</v>
      </c>
      <c r="C4158" s="1" t="n">
        <v>45796</v>
      </c>
      <c r="D4158" t="inlineStr">
        <is>
          <t>SKÅNE LÄN</t>
        </is>
      </c>
      <c r="E4158" t="inlineStr">
        <is>
          <t>ÖRKELLJUNGA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23957-2023</t>
        </is>
      </c>
      <c r="B4159" s="1" t="n">
        <v>45078</v>
      </c>
      <c r="C4159" s="1" t="n">
        <v>45796</v>
      </c>
      <c r="D4159" t="inlineStr">
        <is>
          <t>SKÅNE LÄN</t>
        </is>
      </c>
      <c r="E4159" t="inlineStr">
        <is>
          <t>HÄSSLEHOLM</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23952-2023</t>
        </is>
      </c>
      <c r="B4160" s="1" t="n">
        <v>45078</v>
      </c>
      <c r="C4160" s="1" t="n">
        <v>45796</v>
      </c>
      <c r="D4160" t="inlineStr">
        <is>
          <t>SKÅNE LÄN</t>
        </is>
      </c>
      <c r="E4160" t="inlineStr">
        <is>
          <t>HÄSSLEHOLM</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23956-2023</t>
        </is>
      </c>
      <c r="B4161" s="1" t="n">
        <v>45078</v>
      </c>
      <c r="C4161" s="1" t="n">
        <v>45796</v>
      </c>
      <c r="D4161" t="inlineStr">
        <is>
          <t>SKÅNE LÄN</t>
        </is>
      </c>
      <c r="E4161" t="inlineStr">
        <is>
          <t>HÄSSLEHOLM</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23985-2023</t>
        </is>
      </c>
      <c r="B4162" s="1" t="n">
        <v>45078</v>
      </c>
      <c r="C4162" s="1" t="n">
        <v>45796</v>
      </c>
      <c r="D4162" t="inlineStr">
        <is>
          <t>SKÅNE LÄN</t>
        </is>
      </c>
      <c r="E4162" t="inlineStr">
        <is>
          <t>ÖRKELLJUNGA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24035-2023</t>
        </is>
      </c>
      <c r="B4163" s="1" t="n">
        <v>45078</v>
      </c>
      <c r="C4163" s="1" t="n">
        <v>45796</v>
      </c>
      <c r="D4163" t="inlineStr">
        <is>
          <t>SKÅNE LÄN</t>
        </is>
      </c>
      <c r="E4163" t="inlineStr">
        <is>
          <t>KLIPPAN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24034-2023</t>
        </is>
      </c>
      <c r="B4164" s="1" t="n">
        <v>45078</v>
      </c>
      <c r="C4164" s="1" t="n">
        <v>45796</v>
      </c>
      <c r="D4164" t="inlineStr">
        <is>
          <t>SKÅNE LÄN</t>
        </is>
      </c>
      <c r="E4164" t="inlineStr">
        <is>
          <t>KLIPPAN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24160-2023</t>
        </is>
      </c>
      <c r="B4165" s="1" t="n">
        <v>45079</v>
      </c>
      <c r="C4165" s="1" t="n">
        <v>45796</v>
      </c>
      <c r="D4165" t="inlineStr">
        <is>
          <t>SKÅNE LÄN</t>
        </is>
      </c>
      <c r="E4165" t="inlineStr">
        <is>
          <t>KLIPPAN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24164-2023</t>
        </is>
      </c>
      <c r="B4166" s="1" t="n">
        <v>45079</v>
      </c>
      <c r="C4166" s="1" t="n">
        <v>45796</v>
      </c>
      <c r="D4166" t="inlineStr">
        <is>
          <t>SKÅNE LÄN</t>
        </is>
      </c>
      <c r="E4166" t="inlineStr">
        <is>
          <t>KRISTIANSTAD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24232-2023</t>
        </is>
      </c>
      <c r="B4167" s="1" t="n">
        <v>45079</v>
      </c>
      <c r="C4167" s="1" t="n">
        <v>45796</v>
      </c>
      <c r="D4167" t="inlineStr">
        <is>
          <t>SKÅNE LÄN</t>
        </is>
      </c>
      <c r="E4167" t="inlineStr">
        <is>
          <t>OSBY</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24154-2023</t>
        </is>
      </c>
      <c r="B4168" s="1" t="n">
        <v>45079</v>
      </c>
      <c r="C4168" s="1" t="n">
        <v>45796</v>
      </c>
      <c r="D4168" t="inlineStr">
        <is>
          <t>SKÅNE LÄN</t>
        </is>
      </c>
      <c r="E4168" t="inlineStr">
        <is>
          <t>ÖRKELLJUNGA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24246-2023</t>
        </is>
      </c>
      <c r="B4169" s="1" t="n">
        <v>45079</v>
      </c>
      <c r="C4169" s="1" t="n">
        <v>45796</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25183-2023</t>
        </is>
      </c>
      <c r="B4170" s="1" t="n">
        <v>45079</v>
      </c>
      <c r="C4170" s="1" t="n">
        <v>45796</v>
      </c>
      <c r="D4170" t="inlineStr">
        <is>
          <t>SKÅNE LÄN</t>
        </is>
      </c>
      <c r="E4170" t="inlineStr">
        <is>
          <t>HÖRBY</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24241-2023</t>
        </is>
      </c>
      <c r="B4171" s="1" t="n">
        <v>45079</v>
      </c>
      <c r="C4171" s="1" t="n">
        <v>45796</v>
      </c>
      <c r="D4171" t="inlineStr">
        <is>
          <t>SKÅNE LÄN</t>
        </is>
      </c>
      <c r="E4171" t="inlineStr">
        <is>
          <t>HÄSSLEHOLM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24249-2023</t>
        </is>
      </c>
      <c r="B4172" s="1" t="n">
        <v>45079</v>
      </c>
      <c r="C4172" s="1" t="n">
        <v>45796</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25393-2023</t>
        </is>
      </c>
      <c r="B4173" s="1" t="n">
        <v>45079</v>
      </c>
      <c r="C4173" s="1" t="n">
        <v>45796</v>
      </c>
      <c r="D4173" t="inlineStr">
        <is>
          <t>SKÅNE LÄN</t>
        </is>
      </c>
      <c r="E4173" t="inlineStr">
        <is>
          <t>KLIPPAN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25483-2023</t>
        </is>
      </c>
      <c r="B4174" s="1" t="n">
        <v>45081</v>
      </c>
      <c r="C4174" s="1" t="n">
        <v>45796</v>
      </c>
      <c r="D4174" t="inlineStr">
        <is>
          <t>SKÅNE LÄN</t>
        </is>
      </c>
      <c r="E4174" t="inlineStr">
        <is>
          <t>HÄSSLEHOLM</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24370-2023</t>
        </is>
      </c>
      <c r="B4175" s="1" t="n">
        <v>45082</v>
      </c>
      <c r="C4175" s="1" t="n">
        <v>45796</v>
      </c>
      <c r="D4175" t="inlineStr">
        <is>
          <t>SKÅNE LÄN</t>
        </is>
      </c>
      <c r="E4175" t="inlineStr">
        <is>
          <t>HÄSSLEHOLM</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24446-2023</t>
        </is>
      </c>
      <c r="B4176" s="1" t="n">
        <v>45082</v>
      </c>
      <c r="C4176" s="1" t="n">
        <v>45796</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24526-2023</t>
        </is>
      </c>
      <c r="B4177" s="1" t="n">
        <v>45082</v>
      </c>
      <c r="C4177" s="1" t="n">
        <v>45796</v>
      </c>
      <c r="D4177" t="inlineStr">
        <is>
          <t>SKÅNE LÄN</t>
        </is>
      </c>
      <c r="E4177" t="inlineStr">
        <is>
          <t>ÖSTRA GÖINGE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24466-2023</t>
        </is>
      </c>
      <c r="B4178" s="1" t="n">
        <v>45082</v>
      </c>
      <c r="C4178" s="1" t="n">
        <v>45796</v>
      </c>
      <c r="D4178" t="inlineStr">
        <is>
          <t>SKÅNE LÄN</t>
        </is>
      </c>
      <c r="E4178" t="inlineStr">
        <is>
          <t>BÅSTAD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24527-2023</t>
        </is>
      </c>
      <c r="B4179" s="1" t="n">
        <v>45082</v>
      </c>
      <c r="C4179" s="1" t="n">
        <v>45796</v>
      </c>
      <c r="D4179" t="inlineStr">
        <is>
          <t>SKÅNE LÄN</t>
        </is>
      </c>
      <c r="E4179" t="inlineStr">
        <is>
          <t>ÖSTRA GÖINGE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24524-2023</t>
        </is>
      </c>
      <c r="B4180" s="1" t="n">
        <v>45082</v>
      </c>
      <c r="C4180" s="1" t="n">
        <v>45796</v>
      </c>
      <c r="D4180" t="inlineStr">
        <is>
          <t>SKÅNE LÄN</t>
        </is>
      </c>
      <c r="E4180" t="inlineStr">
        <is>
          <t>ÖSTRA GÖINGE</t>
        </is>
      </c>
      <c r="G4180" t="n">
        <v>9.4</v>
      </c>
      <c r="H4180" t="n">
        <v>0</v>
      </c>
      <c r="I4180" t="n">
        <v>0</v>
      </c>
      <c r="J4180" t="n">
        <v>0</v>
      </c>
      <c r="K4180" t="n">
        <v>0</v>
      </c>
      <c r="L4180" t="n">
        <v>0</v>
      </c>
      <c r="M4180" t="n">
        <v>0</v>
      </c>
      <c r="N4180" t="n">
        <v>0</v>
      </c>
      <c r="O4180" t="n">
        <v>0</v>
      </c>
      <c r="P4180" t="n">
        <v>0</v>
      </c>
      <c r="Q4180" t="n">
        <v>0</v>
      </c>
      <c r="R4180" s="2" t="inlineStr"/>
    </row>
    <row r="4181" ht="15" customHeight="1">
      <c r="A4181" t="inlineStr">
        <is>
          <t>A 24580-2023</t>
        </is>
      </c>
      <c r="B4181" s="1" t="n">
        <v>45083</v>
      </c>
      <c r="C4181" s="1" t="n">
        <v>45796</v>
      </c>
      <c r="D4181" t="inlineStr">
        <is>
          <t>SKÅNE LÄN</t>
        </is>
      </c>
      <c r="E4181" t="inlineStr">
        <is>
          <t>KRISTIANSTAD</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24579-2023</t>
        </is>
      </c>
      <c r="B4182" s="1" t="n">
        <v>45083</v>
      </c>
      <c r="C4182" s="1" t="n">
        <v>45796</v>
      </c>
      <c r="D4182" t="inlineStr">
        <is>
          <t>SKÅNE LÄN</t>
        </is>
      </c>
      <c r="E4182" t="inlineStr">
        <is>
          <t>KRISTIANSTAD</t>
        </is>
      </c>
      <c r="F4182" t="inlineStr">
        <is>
          <t>Övriga Aktiebolag</t>
        </is>
      </c>
      <c r="G4182" t="n">
        <v>10.5</v>
      </c>
      <c r="H4182" t="n">
        <v>0</v>
      </c>
      <c r="I4182" t="n">
        <v>0</v>
      </c>
      <c r="J4182" t="n">
        <v>0</v>
      </c>
      <c r="K4182" t="n">
        <v>0</v>
      </c>
      <c r="L4182" t="n">
        <v>0</v>
      </c>
      <c r="M4182" t="n">
        <v>0</v>
      </c>
      <c r="N4182" t="n">
        <v>0</v>
      </c>
      <c r="O4182" t="n">
        <v>0</v>
      </c>
      <c r="P4182" t="n">
        <v>0</v>
      </c>
      <c r="Q4182" t="n">
        <v>0</v>
      </c>
      <c r="R4182" s="2" t="inlineStr"/>
    </row>
    <row r="4183" ht="15" customHeight="1">
      <c r="A4183" t="inlineStr">
        <is>
          <t>A 24583-2023</t>
        </is>
      </c>
      <c r="B4183" s="1" t="n">
        <v>45083</v>
      </c>
      <c r="C4183" s="1" t="n">
        <v>45796</v>
      </c>
      <c r="D4183" t="inlineStr">
        <is>
          <t>SKÅNE LÄN</t>
        </is>
      </c>
      <c r="E4183" t="inlineStr">
        <is>
          <t>KRISTIANSTAD</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24582-2023</t>
        </is>
      </c>
      <c r="B4184" s="1" t="n">
        <v>45083</v>
      </c>
      <c r="C4184" s="1" t="n">
        <v>45796</v>
      </c>
      <c r="D4184" t="inlineStr">
        <is>
          <t>SKÅNE LÄN</t>
        </is>
      </c>
      <c r="E4184" t="inlineStr">
        <is>
          <t>KRISTIANSTAD</t>
        </is>
      </c>
      <c r="F4184" t="inlineStr">
        <is>
          <t>Övriga Aktiebolag</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24647-2023</t>
        </is>
      </c>
      <c r="B4185" s="1" t="n">
        <v>45084</v>
      </c>
      <c r="C4185" s="1" t="n">
        <v>45796</v>
      </c>
      <c r="D4185" t="inlineStr">
        <is>
          <t>SKÅNE LÄN</t>
        </is>
      </c>
      <c r="E4185" t="inlineStr">
        <is>
          <t>KLIPPAN</t>
        </is>
      </c>
      <c r="F4185" t="inlineStr">
        <is>
          <t>Övriga Aktiebolag</t>
        </is>
      </c>
      <c r="G4185" t="n">
        <v>11.6</v>
      </c>
      <c r="H4185" t="n">
        <v>0</v>
      </c>
      <c r="I4185" t="n">
        <v>0</v>
      </c>
      <c r="J4185" t="n">
        <v>0</v>
      </c>
      <c r="K4185" t="n">
        <v>0</v>
      </c>
      <c r="L4185" t="n">
        <v>0</v>
      </c>
      <c r="M4185" t="n">
        <v>0</v>
      </c>
      <c r="N4185" t="n">
        <v>0</v>
      </c>
      <c r="O4185" t="n">
        <v>0</v>
      </c>
      <c r="P4185" t="n">
        <v>0</v>
      </c>
      <c r="Q4185" t="n">
        <v>0</v>
      </c>
      <c r="R4185" s="2" t="inlineStr"/>
    </row>
    <row r="4186" ht="15" customHeight="1">
      <c r="A4186" t="inlineStr">
        <is>
          <t>A 24640-2023</t>
        </is>
      </c>
      <c r="B4186" s="1" t="n">
        <v>45084</v>
      </c>
      <c r="C4186" s="1" t="n">
        <v>45796</v>
      </c>
      <c r="D4186" t="inlineStr">
        <is>
          <t>SKÅNE LÄN</t>
        </is>
      </c>
      <c r="E4186" t="inlineStr">
        <is>
          <t>HÄSSLEHOLM</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24775-2023</t>
        </is>
      </c>
      <c r="B4187" s="1" t="n">
        <v>45084</v>
      </c>
      <c r="C4187" s="1" t="n">
        <v>45796</v>
      </c>
      <c r="D4187" t="inlineStr">
        <is>
          <t>SKÅNE LÄN</t>
        </is>
      </c>
      <c r="E4187" t="inlineStr">
        <is>
          <t>ÖRKELLJUNGA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24645-2023</t>
        </is>
      </c>
      <c r="B4188" s="1" t="n">
        <v>45084</v>
      </c>
      <c r="C4188" s="1" t="n">
        <v>45796</v>
      </c>
      <c r="D4188" t="inlineStr">
        <is>
          <t>SKÅNE LÄN</t>
        </is>
      </c>
      <c r="E4188" t="inlineStr">
        <is>
          <t>OSBY</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24765-2023</t>
        </is>
      </c>
      <c r="B4189" s="1" t="n">
        <v>45084</v>
      </c>
      <c r="C4189" s="1" t="n">
        <v>45796</v>
      </c>
      <c r="D4189" t="inlineStr">
        <is>
          <t>SKÅNE LÄN</t>
        </is>
      </c>
      <c r="E4189" t="inlineStr">
        <is>
          <t>ÖRKELLJUNGA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24644-2023</t>
        </is>
      </c>
      <c r="B4190" s="1" t="n">
        <v>45084</v>
      </c>
      <c r="C4190" s="1" t="n">
        <v>45796</v>
      </c>
      <c r="D4190" t="inlineStr">
        <is>
          <t>SKÅNE LÄN</t>
        </is>
      </c>
      <c r="E4190" t="inlineStr">
        <is>
          <t>KLIPPAN</t>
        </is>
      </c>
      <c r="F4190" t="inlineStr">
        <is>
          <t>Övriga Aktiebolag</t>
        </is>
      </c>
      <c r="G4190" t="n">
        <v>12.2</v>
      </c>
      <c r="H4190" t="n">
        <v>0</v>
      </c>
      <c r="I4190" t="n">
        <v>0</v>
      </c>
      <c r="J4190" t="n">
        <v>0</v>
      </c>
      <c r="K4190" t="n">
        <v>0</v>
      </c>
      <c r="L4190" t="n">
        <v>0</v>
      </c>
      <c r="M4190" t="n">
        <v>0</v>
      </c>
      <c r="N4190" t="n">
        <v>0</v>
      </c>
      <c r="O4190" t="n">
        <v>0</v>
      </c>
      <c r="P4190" t="n">
        <v>0</v>
      </c>
      <c r="Q4190" t="n">
        <v>0</v>
      </c>
      <c r="R4190" s="2" t="inlineStr"/>
    </row>
    <row r="4191" ht="15" customHeight="1">
      <c r="A4191" t="inlineStr">
        <is>
          <t>A 24652-2023</t>
        </is>
      </c>
      <c r="B4191" s="1" t="n">
        <v>45084</v>
      </c>
      <c r="C4191" s="1" t="n">
        <v>45796</v>
      </c>
      <c r="D4191" t="inlineStr">
        <is>
          <t>SKÅNE LÄN</t>
        </is>
      </c>
      <c r="E4191" t="inlineStr">
        <is>
          <t>KLIPPAN</t>
        </is>
      </c>
      <c r="F4191" t="inlineStr">
        <is>
          <t>Övriga Aktiebolag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24679-2023</t>
        </is>
      </c>
      <c r="B4192" s="1" t="n">
        <v>45084</v>
      </c>
      <c r="C4192" s="1" t="n">
        <v>45796</v>
      </c>
      <c r="D4192" t="inlineStr">
        <is>
          <t>SKÅNE LÄN</t>
        </is>
      </c>
      <c r="E4192" t="inlineStr">
        <is>
          <t>HÄSSLEHOLM</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24947-2023</t>
        </is>
      </c>
      <c r="B4193" s="1" t="n">
        <v>45085</v>
      </c>
      <c r="C4193" s="1" t="n">
        <v>45796</v>
      </c>
      <c r="D4193" t="inlineStr">
        <is>
          <t>SKÅNE LÄN</t>
        </is>
      </c>
      <c r="E4193" t="inlineStr">
        <is>
          <t>KRISTIANSTAD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24952-2023</t>
        </is>
      </c>
      <c r="B4194" s="1" t="n">
        <v>45085</v>
      </c>
      <c r="C4194" s="1" t="n">
        <v>45796</v>
      </c>
      <c r="D4194" t="inlineStr">
        <is>
          <t>SKÅNE LÄN</t>
        </is>
      </c>
      <c r="E4194" t="inlineStr">
        <is>
          <t>KRISTIANSTAD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24977-2023</t>
        </is>
      </c>
      <c r="B4195" s="1" t="n">
        <v>45085</v>
      </c>
      <c r="C4195" s="1" t="n">
        <v>45796</v>
      </c>
      <c r="D4195" t="inlineStr">
        <is>
          <t>SKÅNE LÄN</t>
        </is>
      </c>
      <c r="E4195" t="inlineStr">
        <is>
          <t>BROMÖLLA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24986-2023</t>
        </is>
      </c>
      <c r="B4196" s="1" t="n">
        <v>45085</v>
      </c>
      <c r="C4196" s="1" t="n">
        <v>45796</v>
      </c>
      <c r="D4196" t="inlineStr">
        <is>
          <t>SKÅNE LÄN</t>
        </is>
      </c>
      <c r="E4196" t="inlineStr">
        <is>
          <t>ÖSTRA GÖINGE</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25219-2023</t>
        </is>
      </c>
      <c r="B4197" s="1" t="n">
        <v>45086</v>
      </c>
      <c r="C4197" s="1" t="n">
        <v>45796</v>
      </c>
      <c r="D4197" t="inlineStr">
        <is>
          <t>SKÅNE LÄN</t>
        </is>
      </c>
      <c r="E4197" t="inlineStr">
        <is>
          <t>HÄSSLEHOLM</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25069-2023</t>
        </is>
      </c>
      <c r="B4198" s="1" t="n">
        <v>45086</v>
      </c>
      <c r="C4198" s="1" t="n">
        <v>45796</v>
      </c>
      <c r="D4198" t="inlineStr">
        <is>
          <t>SKÅNE LÄN</t>
        </is>
      </c>
      <c r="E4198" t="inlineStr">
        <is>
          <t>KLIPPAN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25221-2023</t>
        </is>
      </c>
      <c r="B4199" s="1" t="n">
        <v>45086</v>
      </c>
      <c r="C4199" s="1" t="n">
        <v>45796</v>
      </c>
      <c r="D4199" t="inlineStr">
        <is>
          <t>SKÅNE LÄN</t>
        </is>
      </c>
      <c r="E4199" t="inlineStr">
        <is>
          <t>HÄSSLEHOLM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25213-2023</t>
        </is>
      </c>
      <c r="B4200" s="1" t="n">
        <v>45086</v>
      </c>
      <c r="C4200" s="1" t="n">
        <v>45796</v>
      </c>
      <c r="D4200" t="inlineStr">
        <is>
          <t>SKÅNE LÄN</t>
        </is>
      </c>
      <c r="E4200" t="inlineStr">
        <is>
          <t>HÄSSLEHOLM</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25272-2023</t>
        </is>
      </c>
      <c r="B4201" s="1" t="n">
        <v>45086</v>
      </c>
      <c r="C4201" s="1" t="n">
        <v>45796</v>
      </c>
      <c r="D4201" t="inlineStr">
        <is>
          <t>SKÅNE LÄN</t>
        </is>
      </c>
      <c r="E4201" t="inlineStr">
        <is>
          <t>PERSTORP</t>
        </is>
      </c>
      <c r="F4201" t="inlineStr">
        <is>
          <t>Övriga Aktiebolag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25206-2023</t>
        </is>
      </c>
      <c r="B4202" s="1" t="n">
        <v>45086</v>
      </c>
      <c r="C4202" s="1" t="n">
        <v>45796</v>
      </c>
      <c r="D4202" t="inlineStr">
        <is>
          <t>SKÅNE LÄN</t>
        </is>
      </c>
      <c r="E4202" t="inlineStr">
        <is>
          <t>HÄSSLEHOLM</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26397-2023</t>
        </is>
      </c>
      <c r="B4203" s="1" t="n">
        <v>45087</v>
      </c>
      <c r="C4203" s="1" t="n">
        <v>45796</v>
      </c>
      <c r="D4203" t="inlineStr">
        <is>
          <t>SKÅNE LÄN</t>
        </is>
      </c>
      <c r="E4203" t="inlineStr">
        <is>
          <t>HÄSSLEHOLM</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25475-2023</t>
        </is>
      </c>
      <c r="B4204" s="1" t="n">
        <v>45089</v>
      </c>
      <c r="C4204" s="1" t="n">
        <v>45796</v>
      </c>
      <c r="D4204" t="inlineStr">
        <is>
          <t>SKÅNE LÄN</t>
        </is>
      </c>
      <c r="E4204" t="inlineStr">
        <is>
          <t>SIMRISHAMN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25511-2023</t>
        </is>
      </c>
      <c r="B4205" s="1" t="n">
        <v>45089</v>
      </c>
      <c r="C4205" s="1" t="n">
        <v>45796</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25385-2023</t>
        </is>
      </c>
      <c r="B4206" s="1" t="n">
        <v>45089</v>
      </c>
      <c r="C4206" s="1" t="n">
        <v>45796</v>
      </c>
      <c r="D4206" t="inlineStr">
        <is>
          <t>SKÅNE LÄN</t>
        </is>
      </c>
      <c r="E4206" t="inlineStr">
        <is>
          <t>ESLÖV</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25388-2023</t>
        </is>
      </c>
      <c r="B4207" s="1" t="n">
        <v>45089</v>
      </c>
      <c r="C4207" s="1" t="n">
        <v>45796</v>
      </c>
      <c r="D4207" t="inlineStr">
        <is>
          <t>SKÅNE LÄN</t>
        </is>
      </c>
      <c r="E4207" t="inlineStr">
        <is>
          <t>ESLÖV</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25619-2023</t>
        </is>
      </c>
      <c r="B4208" s="1" t="n">
        <v>45089</v>
      </c>
      <c r="C4208" s="1" t="n">
        <v>45796</v>
      </c>
      <c r="D4208" t="inlineStr">
        <is>
          <t>SKÅNE LÄN</t>
        </is>
      </c>
      <c r="E4208" t="inlineStr">
        <is>
          <t>HÖÖR</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25456-2023</t>
        </is>
      </c>
      <c r="B4209" s="1" t="n">
        <v>45089</v>
      </c>
      <c r="C4209" s="1" t="n">
        <v>45796</v>
      </c>
      <c r="D4209" t="inlineStr">
        <is>
          <t>SKÅNE LÄN</t>
        </is>
      </c>
      <c r="E4209" t="inlineStr">
        <is>
          <t>KRISTIANSTAD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25508-2023</t>
        </is>
      </c>
      <c r="B4210" s="1" t="n">
        <v>45089</v>
      </c>
      <c r="C4210" s="1" t="n">
        <v>45796</v>
      </c>
      <c r="D4210" t="inlineStr">
        <is>
          <t>SKÅNE LÄN</t>
        </is>
      </c>
      <c r="E4210" t="inlineStr">
        <is>
          <t>ESLÖV</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25544-2023</t>
        </is>
      </c>
      <c r="B4211" s="1" t="n">
        <v>45089</v>
      </c>
      <c r="C4211" s="1" t="n">
        <v>45796</v>
      </c>
      <c r="D4211" t="inlineStr">
        <is>
          <t>SKÅNE LÄN</t>
        </is>
      </c>
      <c r="E4211" t="inlineStr">
        <is>
          <t>KLIPPAN</t>
        </is>
      </c>
      <c r="F4211" t="inlineStr">
        <is>
          <t>Sveaskog</t>
        </is>
      </c>
      <c r="G4211" t="n">
        <v>13.1</v>
      </c>
      <c r="H4211" t="n">
        <v>0</v>
      </c>
      <c r="I4211" t="n">
        <v>0</v>
      </c>
      <c r="J4211" t="n">
        <v>0</v>
      </c>
      <c r="K4211" t="n">
        <v>0</v>
      </c>
      <c r="L4211" t="n">
        <v>0</v>
      </c>
      <c r="M4211" t="n">
        <v>0</v>
      </c>
      <c r="N4211" t="n">
        <v>0</v>
      </c>
      <c r="O4211" t="n">
        <v>0</v>
      </c>
      <c r="P4211" t="n">
        <v>0</v>
      </c>
      <c r="Q4211" t="n">
        <v>0</v>
      </c>
      <c r="R4211" s="2" t="inlineStr"/>
    </row>
    <row r="4212" ht="15" customHeight="1">
      <c r="A4212" t="inlineStr">
        <is>
          <t>A 25671-2023</t>
        </is>
      </c>
      <c r="B4212" s="1" t="n">
        <v>45089</v>
      </c>
      <c r="C4212" s="1" t="n">
        <v>45796</v>
      </c>
      <c r="D4212" t="inlineStr">
        <is>
          <t>SKÅNE LÄN</t>
        </is>
      </c>
      <c r="E4212" t="inlineStr">
        <is>
          <t>KRISTIANSTAD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25773-2023</t>
        </is>
      </c>
      <c r="B4213" s="1" t="n">
        <v>45090</v>
      </c>
      <c r="C4213" s="1" t="n">
        <v>45796</v>
      </c>
      <c r="D4213" t="inlineStr">
        <is>
          <t>SKÅNE LÄN</t>
        </is>
      </c>
      <c r="E4213" t="inlineStr">
        <is>
          <t>HÄSSLEHOLM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25839-2023</t>
        </is>
      </c>
      <c r="B4214" s="1" t="n">
        <v>45090</v>
      </c>
      <c r="C4214" s="1" t="n">
        <v>45796</v>
      </c>
      <c r="D4214" t="inlineStr">
        <is>
          <t>SKÅNE LÄN</t>
        </is>
      </c>
      <c r="E4214" t="inlineStr">
        <is>
          <t>KRISTIANSTAD</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25701-2023</t>
        </is>
      </c>
      <c r="B4215" s="1" t="n">
        <v>45090</v>
      </c>
      <c r="C4215" s="1" t="n">
        <v>45796</v>
      </c>
      <c r="D4215" t="inlineStr">
        <is>
          <t>SKÅNE LÄN</t>
        </is>
      </c>
      <c r="E4215" t="inlineStr">
        <is>
          <t>HÖRBY</t>
        </is>
      </c>
      <c r="G4215" t="n">
        <v>10.8</v>
      </c>
      <c r="H4215" t="n">
        <v>0</v>
      </c>
      <c r="I4215" t="n">
        <v>0</v>
      </c>
      <c r="J4215" t="n">
        <v>0</v>
      </c>
      <c r="K4215" t="n">
        <v>0</v>
      </c>
      <c r="L4215" t="n">
        <v>0</v>
      </c>
      <c r="M4215" t="n">
        <v>0</v>
      </c>
      <c r="N4215" t="n">
        <v>0</v>
      </c>
      <c r="O4215" t="n">
        <v>0</v>
      </c>
      <c r="P4215" t="n">
        <v>0</v>
      </c>
      <c r="Q4215" t="n">
        <v>0</v>
      </c>
      <c r="R4215" s="2" t="inlineStr"/>
    </row>
    <row r="4216" ht="15" customHeight="1">
      <c r="A4216" t="inlineStr">
        <is>
          <t>A 25918-2023</t>
        </is>
      </c>
      <c r="B4216" s="1" t="n">
        <v>45090</v>
      </c>
      <c r="C4216" s="1" t="n">
        <v>45796</v>
      </c>
      <c r="D4216" t="inlineStr">
        <is>
          <t>SKÅNE LÄN</t>
        </is>
      </c>
      <c r="E4216" t="inlineStr">
        <is>
          <t>BROMÖLLA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25958-2023</t>
        </is>
      </c>
      <c r="B4217" s="1" t="n">
        <v>45090</v>
      </c>
      <c r="C4217" s="1" t="n">
        <v>45796</v>
      </c>
      <c r="D4217" t="inlineStr">
        <is>
          <t>SKÅNE LÄN</t>
        </is>
      </c>
      <c r="E4217" t="inlineStr">
        <is>
          <t>ÖRKELLJUNGA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25962-2023</t>
        </is>
      </c>
      <c r="B4218" s="1" t="n">
        <v>45090</v>
      </c>
      <c r="C4218" s="1" t="n">
        <v>45796</v>
      </c>
      <c r="D4218" t="inlineStr">
        <is>
          <t>SKÅNE LÄN</t>
        </is>
      </c>
      <c r="E4218" t="inlineStr">
        <is>
          <t>ÖRKELLJUNGA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25966-2023</t>
        </is>
      </c>
      <c r="B4219" s="1" t="n">
        <v>45090</v>
      </c>
      <c r="C4219" s="1" t="n">
        <v>45796</v>
      </c>
      <c r="D4219" t="inlineStr">
        <is>
          <t>SKÅNE LÄN</t>
        </is>
      </c>
      <c r="E4219" t="inlineStr">
        <is>
          <t>ÖRKELLJUNGA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25959-2023</t>
        </is>
      </c>
      <c r="B4220" s="1" t="n">
        <v>45090</v>
      </c>
      <c r="C4220" s="1" t="n">
        <v>45796</v>
      </c>
      <c r="D4220" t="inlineStr">
        <is>
          <t>SKÅNE LÄN</t>
        </is>
      </c>
      <c r="E4220" t="inlineStr">
        <is>
          <t>ÖRKELLJUNGA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25963-2023</t>
        </is>
      </c>
      <c r="B4221" s="1" t="n">
        <v>45090</v>
      </c>
      <c r="C4221" s="1" t="n">
        <v>45796</v>
      </c>
      <c r="D4221" t="inlineStr">
        <is>
          <t>SKÅNE LÄN</t>
        </is>
      </c>
      <c r="E4221" t="inlineStr">
        <is>
          <t>ÖRKELLJUNGA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25967-2023</t>
        </is>
      </c>
      <c r="B4222" s="1" t="n">
        <v>45090</v>
      </c>
      <c r="C4222" s="1" t="n">
        <v>45796</v>
      </c>
      <c r="D4222" t="inlineStr">
        <is>
          <t>SKÅNE LÄN</t>
        </is>
      </c>
      <c r="E4222" t="inlineStr">
        <is>
          <t>ÖRKELLJUNGA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25933-2023</t>
        </is>
      </c>
      <c r="B4223" s="1" t="n">
        <v>45090</v>
      </c>
      <c r="C4223" s="1" t="n">
        <v>45796</v>
      </c>
      <c r="D4223" t="inlineStr">
        <is>
          <t>SKÅNE LÄN</t>
        </is>
      </c>
      <c r="E4223" t="inlineStr">
        <is>
          <t>ÖSTRA GÖINGE</t>
        </is>
      </c>
      <c r="G4223" t="n">
        <v>12.8</v>
      </c>
      <c r="H4223" t="n">
        <v>0</v>
      </c>
      <c r="I4223" t="n">
        <v>0</v>
      </c>
      <c r="J4223" t="n">
        <v>0</v>
      </c>
      <c r="K4223" t="n">
        <v>0</v>
      </c>
      <c r="L4223" t="n">
        <v>0</v>
      </c>
      <c r="M4223" t="n">
        <v>0</v>
      </c>
      <c r="N4223" t="n">
        <v>0</v>
      </c>
      <c r="O4223" t="n">
        <v>0</v>
      </c>
      <c r="P4223" t="n">
        <v>0</v>
      </c>
      <c r="Q4223" t="n">
        <v>0</v>
      </c>
      <c r="R4223" s="2" t="inlineStr"/>
    </row>
    <row r="4224" ht="15" customHeight="1">
      <c r="A4224" t="inlineStr">
        <is>
          <t>A 25833-2023</t>
        </is>
      </c>
      <c r="B4224" s="1" t="n">
        <v>45090</v>
      </c>
      <c r="C4224" s="1" t="n">
        <v>45796</v>
      </c>
      <c r="D4224" t="inlineStr">
        <is>
          <t>SKÅNE LÄN</t>
        </is>
      </c>
      <c r="E4224" t="inlineStr">
        <is>
          <t>ÖSTRA GÖINGE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25956-2023</t>
        </is>
      </c>
      <c r="B4225" s="1" t="n">
        <v>45090</v>
      </c>
      <c r="C4225" s="1" t="n">
        <v>45796</v>
      </c>
      <c r="D4225" t="inlineStr">
        <is>
          <t>SKÅNE LÄN</t>
        </is>
      </c>
      <c r="E4225" t="inlineStr">
        <is>
          <t>ÖRKELLJUNGA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25960-2023</t>
        </is>
      </c>
      <c r="B4226" s="1" t="n">
        <v>45090</v>
      </c>
      <c r="C4226" s="1" t="n">
        <v>45796</v>
      </c>
      <c r="D4226" t="inlineStr">
        <is>
          <t>SKÅNE LÄN</t>
        </is>
      </c>
      <c r="E4226" t="inlineStr">
        <is>
          <t>ÖRKELLJUNGA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25964-2023</t>
        </is>
      </c>
      <c r="B4227" s="1" t="n">
        <v>45090</v>
      </c>
      <c r="C4227" s="1" t="n">
        <v>45796</v>
      </c>
      <c r="D4227" t="inlineStr">
        <is>
          <t>SKÅNE LÄN</t>
        </is>
      </c>
      <c r="E4227" t="inlineStr">
        <is>
          <t>ÖRKELLJUNGA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25965-2023</t>
        </is>
      </c>
      <c r="B4228" s="1" t="n">
        <v>45090</v>
      </c>
      <c r="C4228" s="1" t="n">
        <v>45796</v>
      </c>
      <c r="D4228" t="inlineStr">
        <is>
          <t>SKÅNE LÄN</t>
        </is>
      </c>
      <c r="E4228" t="inlineStr">
        <is>
          <t>ÖRKELLJUNGA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26730-2023</t>
        </is>
      </c>
      <c r="B4229" s="1" t="n">
        <v>45090</v>
      </c>
      <c r="C4229" s="1" t="n">
        <v>45796</v>
      </c>
      <c r="D4229" t="inlineStr">
        <is>
          <t>SKÅNE LÄN</t>
        </is>
      </c>
      <c r="E4229" t="inlineStr">
        <is>
          <t>SJÖBO</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26255-2023</t>
        </is>
      </c>
      <c r="B4230" s="1" t="n">
        <v>45091</v>
      </c>
      <c r="C4230" s="1" t="n">
        <v>45796</v>
      </c>
      <c r="D4230" t="inlineStr">
        <is>
          <t>SKÅNE LÄN</t>
        </is>
      </c>
      <c r="E4230" t="inlineStr">
        <is>
          <t>ÄNGELHOLM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26259-2023</t>
        </is>
      </c>
      <c r="B4231" s="1" t="n">
        <v>45091</v>
      </c>
      <c r="C4231" s="1" t="n">
        <v>45796</v>
      </c>
      <c r="D4231" t="inlineStr">
        <is>
          <t>SKÅNE LÄN</t>
        </is>
      </c>
      <c r="E4231" t="inlineStr">
        <is>
          <t>ÄNGELHOLM</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26158-2023</t>
        </is>
      </c>
      <c r="B4232" s="1" t="n">
        <v>45091</v>
      </c>
      <c r="C4232" s="1" t="n">
        <v>45796</v>
      </c>
      <c r="D4232" t="inlineStr">
        <is>
          <t>SKÅNE LÄN</t>
        </is>
      </c>
      <c r="E4232" t="inlineStr">
        <is>
          <t>OSBY</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26215-2023</t>
        </is>
      </c>
      <c r="B4233" s="1" t="n">
        <v>45091</v>
      </c>
      <c r="C4233" s="1" t="n">
        <v>45796</v>
      </c>
      <c r="D4233" t="inlineStr">
        <is>
          <t>SKÅNE LÄN</t>
        </is>
      </c>
      <c r="E4233" t="inlineStr">
        <is>
          <t>KLIPPAN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26339-2023</t>
        </is>
      </c>
      <c r="B4234" s="1" t="n">
        <v>45091</v>
      </c>
      <c r="C4234" s="1" t="n">
        <v>45796</v>
      </c>
      <c r="D4234" t="inlineStr">
        <is>
          <t>SKÅNE LÄN</t>
        </is>
      </c>
      <c r="E4234" t="inlineStr">
        <is>
          <t>ÖSTRA GÖINGE</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26178-2023</t>
        </is>
      </c>
      <c r="B4235" s="1" t="n">
        <v>45091</v>
      </c>
      <c r="C4235" s="1" t="n">
        <v>45796</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26179-2023</t>
        </is>
      </c>
      <c r="B4236" s="1" t="n">
        <v>45091</v>
      </c>
      <c r="C4236" s="1" t="n">
        <v>45796</v>
      </c>
      <c r="D4236" t="inlineStr">
        <is>
          <t>SKÅNE LÄN</t>
        </is>
      </c>
      <c r="E4236" t="inlineStr">
        <is>
          <t>ÖRKELLJUNGA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26295-2023</t>
        </is>
      </c>
      <c r="B4237" s="1" t="n">
        <v>45091</v>
      </c>
      <c r="C4237" s="1" t="n">
        <v>45796</v>
      </c>
      <c r="D4237" t="inlineStr">
        <is>
          <t>SKÅNE LÄN</t>
        </is>
      </c>
      <c r="E4237" t="inlineStr">
        <is>
          <t>SJÖBO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26471-2023</t>
        </is>
      </c>
      <c r="B4238" s="1" t="n">
        <v>45092</v>
      </c>
      <c r="C4238" s="1" t="n">
        <v>45796</v>
      </c>
      <c r="D4238" t="inlineStr">
        <is>
          <t>SKÅNE LÄN</t>
        </is>
      </c>
      <c r="E4238" t="inlineStr">
        <is>
          <t>SIMRISHAMN</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26519-2023</t>
        </is>
      </c>
      <c r="B4239" s="1" t="n">
        <v>45092</v>
      </c>
      <c r="C4239" s="1" t="n">
        <v>45796</v>
      </c>
      <c r="D4239" t="inlineStr">
        <is>
          <t>SKÅNE LÄN</t>
        </is>
      </c>
      <c r="E4239" t="inlineStr">
        <is>
          <t>SVALÖV</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26590-2023</t>
        </is>
      </c>
      <c r="B4240" s="1" t="n">
        <v>45092</v>
      </c>
      <c r="C4240" s="1" t="n">
        <v>45796</v>
      </c>
      <c r="D4240" t="inlineStr">
        <is>
          <t>SKÅNE LÄN</t>
        </is>
      </c>
      <c r="E4240" t="inlineStr">
        <is>
          <t>OSBY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26641-2023</t>
        </is>
      </c>
      <c r="B4241" s="1" t="n">
        <v>45092</v>
      </c>
      <c r="C4241" s="1" t="n">
        <v>45796</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26642-2023</t>
        </is>
      </c>
      <c r="B4242" s="1" t="n">
        <v>45092</v>
      </c>
      <c r="C4242" s="1" t="n">
        <v>45796</v>
      </c>
      <c r="D4242" t="inlineStr">
        <is>
          <t>SKÅNE LÄN</t>
        </is>
      </c>
      <c r="E4242" t="inlineStr">
        <is>
          <t>HÄSSLEHOLM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27502-2023</t>
        </is>
      </c>
      <c r="B4243" s="1" t="n">
        <v>45092</v>
      </c>
      <c r="C4243" s="1" t="n">
        <v>45796</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27478-2023</t>
        </is>
      </c>
      <c r="B4244" s="1" t="n">
        <v>45092</v>
      </c>
      <c r="C4244" s="1" t="n">
        <v>45796</v>
      </c>
      <c r="D4244" t="inlineStr">
        <is>
          <t>SKÅNE LÄN</t>
        </is>
      </c>
      <c r="E4244" t="inlineStr">
        <is>
          <t>HÄSSLEHOLM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26764-2023</t>
        </is>
      </c>
      <c r="B4245" s="1" t="n">
        <v>45093</v>
      </c>
      <c r="C4245" s="1" t="n">
        <v>45796</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26708-2023</t>
        </is>
      </c>
      <c r="B4246" s="1" t="n">
        <v>45093</v>
      </c>
      <c r="C4246" s="1" t="n">
        <v>45796</v>
      </c>
      <c r="D4246" t="inlineStr">
        <is>
          <t>SKÅNE LÄN</t>
        </is>
      </c>
      <c r="E4246" t="inlineStr">
        <is>
          <t>BJUV</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26780-2023</t>
        </is>
      </c>
      <c r="B4247" s="1" t="n">
        <v>45093</v>
      </c>
      <c r="C4247" s="1" t="n">
        <v>45796</v>
      </c>
      <c r="D4247" t="inlineStr">
        <is>
          <t>SKÅNE LÄN</t>
        </is>
      </c>
      <c r="E4247" t="inlineStr">
        <is>
          <t>OSBY</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26757-2023</t>
        </is>
      </c>
      <c r="B4248" s="1" t="n">
        <v>45093</v>
      </c>
      <c r="C4248" s="1" t="n">
        <v>45796</v>
      </c>
      <c r="D4248" t="inlineStr">
        <is>
          <t>SKÅNE LÄN</t>
        </is>
      </c>
      <c r="E4248" t="inlineStr">
        <is>
          <t>HÖÖR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27008-2023</t>
        </is>
      </c>
      <c r="B4249" s="1" t="n">
        <v>45094</v>
      </c>
      <c r="C4249" s="1" t="n">
        <v>45796</v>
      </c>
      <c r="D4249" t="inlineStr">
        <is>
          <t>SKÅNE LÄN</t>
        </is>
      </c>
      <c r="E4249" t="inlineStr">
        <is>
          <t>KLIPPAN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27010-2023</t>
        </is>
      </c>
      <c r="B4250" s="1" t="n">
        <v>45094</v>
      </c>
      <c r="C4250" s="1" t="n">
        <v>45796</v>
      </c>
      <c r="D4250" t="inlineStr">
        <is>
          <t>SKÅNE LÄN</t>
        </is>
      </c>
      <c r="E4250" t="inlineStr">
        <is>
          <t>KLIPPAN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27009-2023</t>
        </is>
      </c>
      <c r="B4251" s="1" t="n">
        <v>45094</v>
      </c>
      <c r="C4251" s="1" t="n">
        <v>45796</v>
      </c>
      <c r="D4251" t="inlineStr">
        <is>
          <t>SKÅNE LÄN</t>
        </is>
      </c>
      <c r="E4251" t="inlineStr">
        <is>
          <t>KLIPPAN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27011-2023</t>
        </is>
      </c>
      <c r="B4252" s="1" t="n">
        <v>45094</v>
      </c>
      <c r="C4252" s="1" t="n">
        <v>45796</v>
      </c>
      <c r="D4252" t="inlineStr">
        <is>
          <t>SKÅNE LÄN</t>
        </is>
      </c>
      <c r="E4252" t="inlineStr">
        <is>
          <t>KLIPPAN</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27039-2023</t>
        </is>
      </c>
      <c r="B4253" s="1" t="n">
        <v>45095</v>
      </c>
      <c r="C4253" s="1" t="n">
        <v>45796</v>
      </c>
      <c r="D4253" t="inlineStr">
        <is>
          <t>SKÅNE LÄN</t>
        </is>
      </c>
      <c r="E4253" t="inlineStr">
        <is>
          <t>OSBY</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27199-2023</t>
        </is>
      </c>
      <c r="B4254" s="1" t="n">
        <v>45096</v>
      </c>
      <c r="C4254" s="1" t="n">
        <v>45796</v>
      </c>
      <c r="D4254" t="inlineStr">
        <is>
          <t>SKÅNE LÄN</t>
        </is>
      </c>
      <c r="E4254" t="inlineStr">
        <is>
          <t>ÖRKELLJUNGA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27229-2023</t>
        </is>
      </c>
      <c r="B4255" s="1" t="n">
        <v>45096</v>
      </c>
      <c r="C4255" s="1" t="n">
        <v>45796</v>
      </c>
      <c r="D4255" t="inlineStr">
        <is>
          <t>SKÅNE LÄN</t>
        </is>
      </c>
      <c r="E4255" t="inlineStr">
        <is>
          <t>KRISTIANSTAD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27277-2023</t>
        </is>
      </c>
      <c r="B4256" s="1" t="n">
        <v>45096</v>
      </c>
      <c r="C4256" s="1" t="n">
        <v>45796</v>
      </c>
      <c r="D4256" t="inlineStr">
        <is>
          <t>SKÅNE LÄN</t>
        </is>
      </c>
      <c r="E4256" t="inlineStr">
        <is>
          <t>OSBY</t>
        </is>
      </c>
      <c r="F4256" t="inlineStr">
        <is>
          <t>Sveaskog</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27281-2023</t>
        </is>
      </c>
      <c r="B4257" s="1" t="n">
        <v>45096</v>
      </c>
      <c r="C4257" s="1" t="n">
        <v>45796</v>
      </c>
      <c r="D4257" t="inlineStr">
        <is>
          <t>SKÅNE LÄN</t>
        </is>
      </c>
      <c r="E4257" t="inlineStr">
        <is>
          <t>OSBY</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27310-2023</t>
        </is>
      </c>
      <c r="B4258" s="1" t="n">
        <v>45096</v>
      </c>
      <c r="C4258" s="1" t="n">
        <v>45796</v>
      </c>
      <c r="D4258" t="inlineStr">
        <is>
          <t>SKÅNE LÄN</t>
        </is>
      </c>
      <c r="E4258" t="inlineStr">
        <is>
          <t>SVALÖV</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27297-2023</t>
        </is>
      </c>
      <c r="B4259" s="1" t="n">
        <v>45096</v>
      </c>
      <c r="C4259" s="1" t="n">
        <v>45796</v>
      </c>
      <c r="D4259" t="inlineStr">
        <is>
          <t>SKÅNE LÄN</t>
        </is>
      </c>
      <c r="E4259" t="inlineStr">
        <is>
          <t>HÄSSLEHOLM</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27325-2023</t>
        </is>
      </c>
      <c r="B4260" s="1" t="n">
        <v>45096</v>
      </c>
      <c r="C4260" s="1" t="n">
        <v>45796</v>
      </c>
      <c r="D4260" t="inlineStr">
        <is>
          <t>SKÅNE LÄN</t>
        </is>
      </c>
      <c r="E4260" t="inlineStr">
        <is>
          <t>ÖSTRA GÖINGE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27291-2023</t>
        </is>
      </c>
      <c r="B4261" s="1" t="n">
        <v>45096</v>
      </c>
      <c r="C4261" s="1" t="n">
        <v>45796</v>
      </c>
      <c r="D4261" t="inlineStr">
        <is>
          <t>SKÅNE LÄN</t>
        </is>
      </c>
      <c r="E4261" t="inlineStr">
        <is>
          <t>HÄSSLEHOLM</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27304-2023</t>
        </is>
      </c>
      <c r="B4262" s="1" t="n">
        <v>45096</v>
      </c>
      <c r="C4262" s="1" t="n">
        <v>45796</v>
      </c>
      <c r="D4262" t="inlineStr">
        <is>
          <t>SKÅNE LÄN</t>
        </is>
      </c>
      <c r="E4262" t="inlineStr">
        <is>
          <t>HÄSSLEHOLM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27453-2023</t>
        </is>
      </c>
      <c r="B4263" s="1" t="n">
        <v>45097</v>
      </c>
      <c r="C4263" s="1" t="n">
        <v>45796</v>
      </c>
      <c r="D4263" t="inlineStr">
        <is>
          <t>SKÅNE LÄN</t>
        </is>
      </c>
      <c r="E4263" t="inlineStr">
        <is>
          <t>SVALÖV</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27481-2023</t>
        </is>
      </c>
      <c r="B4264" s="1" t="n">
        <v>45097</v>
      </c>
      <c r="C4264" s="1" t="n">
        <v>45796</v>
      </c>
      <c r="D4264" t="inlineStr">
        <is>
          <t>SKÅNE LÄN</t>
        </is>
      </c>
      <c r="E4264" t="inlineStr">
        <is>
          <t>HÄSSLEHOLM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27492-2023</t>
        </is>
      </c>
      <c r="B4265" s="1" t="n">
        <v>45097</v>
      </c>
      <c r="C4265" s="1" t="n">
        <v>45796</v>
      </c>
      <c r="D4265" t="inlineStr">
        <is>
          <t>SKÅNE LÄN</t>
        </is>
      </c>
      <c r="E4265" t="inlineStr">
        <is>
          <t>OSBY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27553-2023</t>
        </is>
      </c>
      <c r="B4266" s="1" t="n">
        <v>45097</v>
      </c>
      <c r="C4266" s="1" t="n">
        <v>45796</v>
      </c>
      <c r="D4266" t="inlineStr">
        <is>
          <t>SKÅNE LÄN</t>
        </is>
      </c>
      <c r="E4266" t="inlineStr">
        <is>
          <t>ÄNGELHOLM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27527-2023</t>
        </is>
      </c>
      <c r="B4267" s="1" t="n">
        <v>45097</v>
      </c>
      <c r="C4267" s="1" t="n">
        <v>45796</v>
      </c>
      <c r="D4267" t="inlineStr">
        <is>
          <t>SKÅNE LÄN</t>
        </is>
      </c>
      <c r="E4267" t="inlineStr">
        <is>
          <t>OSBY</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27584-2023</t>
        </is>
      </c>
      <c r="B4268" s="1" t="n">
        <v>45097</v>
      </c>
      <c r="C4268" s="1" t="n">
        <v>45796</v>
      </c>
      <c r="D4268" t="inlineStr">
        <is>
          <t>SKÅNE LÄN</t>
        </is>
      </c>
      <c r="E4268" t="inlineStr">
        <is>
          <t>ÖSTRA GÖINGE</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27551-2023</t>
        </is>
      </c>
      <c r="B4269" s="1" t="n">
        <v>45097</v>
      </c>
      <c r="C4269" s="1" t="n">
        <v>45796</v>
      </c>
      <c r="D4269" t="inlineStr">
        <is>
          <t>SKÅNE LÄN</t>
        </is>
      </c>
      <c r="E4269" t="inlineStr">
        <is>
          <t>ÄNGELHOLM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27587-2023</t>
        </is>
      </c>
      <c r="B4270" s="1" t="n">
        <v>45097</v>
      </c>
      <c r="C4270" s="1" t="n">
        <v>45796</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27591-2023</t>
        </is>
      </c>
      <c r="B4271" s="1" t="n">
        <v>45097</v>
      </c>
      <c r="C4271" s="1" t="n">
        <v>45796</v>
      </c>
      <c r="D4271" t="inlineStr">
        <is>
          <t>SKÅNE LÄN</t>
        </is>
      </c>
      <c r="E4271" t="inlineStr">
        <is>
          <t>ÖSTRA GÖINGE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27634-2023</t>
        </is>
      </c>
      <c r="B4272" s="1" t="n">
        <v>45097</v>
      </c>
      <c r="C4272" s="1" t="n">
        <v>45796</v>
      </c>
      <c r="D4272" t="inlineStr">
        <is>
          <t>SKÅNE LÄN</t>
        </is>
      </c>
      <c r="E4272" t="inlineStr">
        <is>
          <t>OSBY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27661-2023</t>
        </is>
      </c>
      <c r="B4273" s="1" t="n">
        <v>45097</v>
      </c>
      <c r="C4273" s="1" t="n">
        <v>45796</v>
      </c>
      <c r="D4273" t="inlineStr">
        <is>
          <t>SKÅNE LÄN</t>
        </is>
      </c>
      <c r="E4273" t="inlineStr">
        <is>
          <t>ESLÖV</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27774-2023</t>
        </is>
      </c>
      <c r="B4274" s="1" t="n">
        <v>45098</v>
      </c>
      <c r="C4274" s="1" t="n">
        <v>45796</v>
      </c>
      <c r="D4274" t="inlineStr">
        <is>
          <t>SKÅNE LÄN</t>
        </is>
      </c>
      <c r="E4274" t="inlineStr">
        <is>
          <t>HÖÖR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27768-2023</t>
        </is>
      </c>
      <c r="B4275" s="1" t="n">
        <v>45098</v>
      </c>
      <c r="C4275" s="1" t="n">
        <v>45796</v>
      </c>
      <c r="D4275" t="inlineStr">
        <is>
          <t>SKÅNE LÄN</t>
        </is>
      </c>
      <c r="E4275" t="inlineStr">
        <is>
          <t>HÖÖR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27813-2023</t>
        </is>
      </c>
      <c r="B4276" s="1" t="n">
        <v>45098</v>
      </c>
      <c r="C4276" s="1" t="n">
        <v>45796</v>
      </c>
      <c r="D4276" t="inlineStr">
        <is>
          <t>SKÅNE LÄN</t>
        </is>
      </c>
      <c r="E4276" t="inlineStr">
        <is>
          <t>KLIPPAN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27826-2023</t>
        </is>
      </c>
      <c r="B4277" s="1" t="n">
        <v>45098</v>
      </c>
      <c r="C4277" s="1" t="n">
        <v>45796</v>
      </c>
      <c r="D4277" t="inlineStr">
        <is>
          <t>SKÅNE LÄN</t>
        </is>
      </c>
      <c r="E4277" t="inlineStr">
        <is>
          <t>HÖRBY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27932-2023</t>
        </is>
      </c>
      <c r="B4278" s="1" t="n">
        <v>45098</v>
      </c>
      <c r="C4278" s="1" t="n">
        <v>45796</v>
      </c>
      <c r="D4278" t="inlineStr">
        <is>
          <t>SKÅNE LÄN</t>
        </is>
      </c>
      <c r="E4278" t="inlineStr">
        <is>
          <t>KRISTIANSTAD</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27990-2023</t>
        </is>
      </c>
      <c r="B4279" s="1" t="n">
        <v>45098</v>
      </c>
      <c r="C4279" s="1" t="n">
        <v>45796</v>
      </c>
      <c r="D4279" t="inlineStr">
        <is>
          <t>SKÅNE LÄN</t>
        </is>
      </c>
      <c r="E4279" t="inlineStr">
        <is>
          <t>ÖRKELLJUNGA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27943-2023</t>
        </is>
      </c>
      <c r="B4280" s="1" t="n">
        <v>45098</v>
      </c>
      <c r="C4280" s="1" t="n">
        <v>45796</v>
      </c>
      <c r="D4280" t="inlineStr">
        <is>
          <t>SKÅNE LÄN</t>
        </is>
      </c>
      <c r="E4280" t="inlineStr">
        <is>
          <t>KRISTIANSTAD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27948-2023</t>
        </is>
      </c>
      <c r="B4281" s="1" t="n">
        <v>45098</v>
      </c>
      <c r="C4281" s="1" t="n">
        <v>45796</v>
      </c>
      <c r="D4281" t="inlineStr">
        <is>
          <t>SKÅNE LÄN</t>
        </is>
      </c>
      <c r="E4281" t="inlineStr">
        <is>
          <t>KRISTIANSTAD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27978-2023</t>
        </is>
      </c>
      <c r="B4282" s="1" t="n">
        <v>45098</v>
      </c>
      <c r="C4282" s="1" t="n">
        <v>45796</v>
      </c>
      <c r="D4282" t="inlineStr">
        <is>
          <t>SKÅNE LÄN</t>
        </is>
      </c>
      <c r="E4282" t="inlineStr">
        <is>
          <t>OSBY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27983-2023</t>
        </is>
      </c>
      <c r="B4283" s="1" t="n">
        <v>45098</v>
      </c>
      <c r="C4283" s="1" t="n">
        <v>45796</v>
      </c>
      <c r="D4283" t="inlineStr">
        <is>
          <t>SKÅNE LÄN</t>
        </is>
      </c>
      <c r="E4283" t="inlineStr">
        <is>
          <t>LUND</t>
        </is>
      </c>
      <c r="G4283" t="n">
        <v>37.6</v>
      </c>
      <c r="H4283" t="n">
        <v>0</v>
      </c>
      <c r="I4283" t="n">
        <v>0</v>
      </c>
      <c r="J4283" t="n">
        <v>0</v>
      </c>
      <c r="K4283" t="n">
        <v>0</v>
      </c>
      <c r="L4283" t="n">
        <v>0</v>
      </c>
      <c r="M4283" t="n">
        <v>0</v>
      </c>
      <c r="N4283" t="n">
        <v>0</v>
      </c>
      <c r="O4283" t="n">
        <v>0</v>
      </c>
      <c r="P4283" t="n">
        <v>0</v>
      </c>
      <c r="Q4283" t="n">
        <v>0</v>
      </c>
      <c r="R4283" s="2" t="inlineStr"/>
    </row>
    <row r="4284" ht="15" customHeight="1">
      <c r="A4284" t="inlineStr">
        <is>
          <t>A 27974-2023</t>
        </is>
      </c>
      <c r="B4284" s="1" t="n">
        <v>45098</v>
      </c>
      <c r="C4284" s="1" t="n">
        <v>45796</v>
      </c>
      <c r="D4284" t="inlineStr">
        <is>
          <t>SKÅNE LÄN</t>
        </is>
      </c>
      <c r="E4284" t="inlineStr">
        <is>
          <t>OSBY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29287-2023</t>
        </is>
      </c>
      <c r="B4285" s="1" t="n">
        <v>45098</v>
      </c>
      <c r="C4285" s="1" t="n">
        <v>45796</v>
      </c>
      <c r="D4285" t="inlineStr">
        <is>
          <t>SKÅNE LÄN</t>
        </is>
      </c>
      <c r="E4285" t="inlineStr">
        <is>
          <t>HÄSSLEHOLM</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28057-2023</t>
        </is>
      </c>
      <c r="B4286" s="1" t="n">
        <v>45099</v>
      </c>
      <c r="C4286" s="1" t="n">
        <v>45796</v>
      </c>
      <c r="D4286" t="inlineStr">
        <is>
          <t>SKÅNE LÄN</t>
        </is>
      </c>
      <c r="E4286" t="inlineStr">
        <is>
          <t>HÄSSLEHOLM</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28105-2023</t>
        </is>
      </c>
      <c r="B4287" s="1" t="n">
        <v>45099</v>
      </c>
      <c r="C4287" s="1" t="n">
        <v>45796</v>
      </c>
      <c r="D4287" t="inlineStr">
        <is>
          <t>SKÅNE LÄN</t>
        </is>
      </c>
      <c r="E4287" t="inlineStr">
        <is>
          <t>ÄNGELHOLM</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28071-2023</t>
        </is>
      </c>
      <c r="B4288" s="1" t="n">
        <v>45099</v>
      </c>
      <c r="C4288" s="1" t="n">
        <v>45796</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28227-2023</t>
        </is>
      </c>
      <c r="B4289" s="1" t="n">
        <v>45099</v>
      </c>
      <c r="C4289" s="1" t="n">
        <v>45796</v>
      </c>
      <c r="D4289" t="inlineStr">
        <is>
          <t>SKÅNE LÄN</t>
        </is>
      </c>
      <c r="E4289" t="inlineStr">
        <is>
          <t>ÖRKELLJUNGA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28260-2023</t>
        </is>
      </c>
      <c r="B4290" s="1" t="n">
        <v>45099</v>
      </c>
      <c r="C4290" s="1" t="n">
        <v>45796</v>
      </c>
      <c r="D4290" t="inlineStr">
        <is>
          <t>SKÅNE LÄN</t>
        </is>
      </c>
      <c r="E4290" t="inlineStr">
        <is>
          <t>BÅSTAD</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28247-2023</t>
        </is>
      </c>
      <c r="B4291" s="1" t="n">
        <v>45099</v>
      </c>
      <c r="C4291" s="1" t="n">
        <v>45796</v>
      </c>
      <c r="D4291" t="inlineStr">
        <is>
          <t>SKÅNE LÄN</t>
        </is>
      </c>
      <c r="E4291" t="inlineStr">
        <is>
          <t>KLIPPAN</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28204-2023</t>
        </is>
      </c>
      <c r="B4292" s="1" t="n">
        <v>45099</v>
      </c>
      <c r="C4292" s="1" t="n">
        <v>45796</v>
      </c>
      <c r="D4292" t="inlineStr">
        <is>
          <t>SKÅNE LÄN</t>
        </is>
      </c>
      <c r="E4292" t="inlineStr">
        <is>
          <t>BROMÖLLA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28221-2023</t>
        </is>
      </c>
      <c r="B4293" s="1" t="n">
        <v>45099</v>
      </c>
      <c r="C4293" s="1" t="n">
        <v>45796</v>
      </c>
      <c r="D4293" t="inlineStr">
        <is>
          <t>SKÅNE LÄN</t>
        </is>
      </c>
      <c r="E4293" t="inlineStr">
        <is>
          <t>ÖRKELLJUNGA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28233-2023</t>
        </is>
      </c>
      <c r="B4294" s="1" t="n">
        <v>45099</v>
      </c>
      <c r="C4294" s="1" t="n">
        <v>45796</v>
      </c>
      <c r="D4294" t="inlineStr">
        <is>
          <t>SKÅNE LÄN</t>
        </is>
      </c>
      <c r="E4294" t="inlineStr">
        <is>
          <t>ÖRKELLJUNGA</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28250-2023</t>
        </is>
      </c>
      <c r="B4295" s="1" t="n">
        <v>45099</v>
      </c>
      <c r="C4295" s="1" t="n">
        <v>45796</v>
      </c>
      <c r="D4295" t="inlineStr">
        <is>
          <t>SKÅNE LÄN</t>
        </is>
      </c>
      <c r="E4295" t="inlineStr">
        <is>
          <t>HELSINGBORG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28253-2023</t>
        </is>
      </c>
      <c r="B4296" s="1" t="n">
        <v>45099</v>
      </c>
      <c r="C4296" s="1" t="n">
        <v>45796</v>
      </c>
      <c r="D4296" t="inlineStr">
        <is>
          <t>SKÅNE LÄN</t>
        </is>
      </c>
      <c r="E4296" t="inlineStr">
        <is>
          <t>ÄNGELHOLM</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28288-2023</t>
        </is>
      </c>
      <c r="B4297" s="1" t="n">
        <v>45099</v>
      </c>
      <c r="C4297" s="1" t="n">
        <v>45796</v>
      </c>
      <c r="D4297" t="inlineStr">
        <is>
          <t>SKÅNE LÄN</t>
        </is>
      </c>
      <c r="E4297" t="inlineStr">
        <is>
          <t>HELSINGBORG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28397-2023</t>
        </is>
      </c>
      <c r="B4298" s="1" t="n">
        <v>45100</v>
      </c>
      <c r="C4298" s="1" t="n">
        <v>45796</v>
      </c>
      <c r="D4298" t="inlineStr">
        <is>
          <t>SKÅNE LÄN</t>
        </is>
      </c>
      <c r="E4298" t="inlineStr">
        <is>
          <t>OSBY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28483-2023</t>
        </is>
      </c>
      <c r="B4299" s="1" t="n">
        <v>45103</v>
      </c>
      <c r="C4299" s="1" t="n">
        <v>45796</v>
      </c>
      <c r="D4299" t="inlineStr">
        <is>
          <t>SKÅNE LÄN</t>
        </is>
      </c>
      <c r="E4299" t="inlineStr">
        <is>
          <t>HÖÖR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28490-2023</t>
        </is>
      </c>
      <c r="B4300" s="1" t="n">
        <v>45103</v>
      </c>
      <c r="C4300" s="1" t="n">
        <v>45796</v>
      </c>
      <c r="D4300" t="inlineStr">
        <is>
          <t>SKÅNE LÄN</t>
        </is>
      </c>
      <c r="E4300" t="inlineStr">
        <is>
          <t>KLIPPAN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28496-2023</t>
        </is>
      </c>
      <c r="B4301" s="1" t="n">
        <v>45103</v>
      </c>
      <c r="C4301" s="1" t="n">
        <v>45796</v>
      </c>
      <c r="D4301" t="inlineStr">
        <is>
          <t>SKÅNE LÄN</t>
        </is>
      </c>
      <c r="E4301" t="inlineStr">
        <is>
          <t>ÄNGELHOLM</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28510-2023</t>
        </is>
      </c>
      <c r="B4302" s="1" t="n">
        <v>45103</v>
      </c>
      <c r="C4302" s="1" t="n">
        <v>45796</v>
      </c>
      <c r="D4302" t="inlineStr">
        <is>
          <t>SKÅNE LÄN</t>
        </is>
      </c>
      <c r="E4302" t="inlineStr">
        <is>
          <t>OSBY</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28519-2023</t>
        </is>
      </c>
      <c r="B4303" s="1" t="n">
        <v>45103</v>
      </c>
      <c r="C4303" s="1" t="n">
        <v>45796</v>
      </c>
      <c r="D4303" t="inlineStr">
        <is>
          <t>SKÅNE LÄN</t>
        </is>
      </c>
      <c r="E4303" t="inlineStr">
        <is>
          <t>HÖRBY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28527-2023</t>
        </is>
      </c>
      <c r="B4304" s="1" t="n">
        <v>45103</v>
      </c>
      <c r="C4304" s="1" t="n">
        <v>45796</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28493-2023</t>
        </is>
      </c>
      <c r="B4305" s="1" t="n">
        <v>45103</v>
      </c>
      <c r="C4305" s="1" t="n">
        <v>45796</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28501-2023</t>
        </is>
      </c>
      <c r="B4306" s="1" t="n">
        <v>45103</v>
      </c>
      <c r="C4306" s="1" t="n">
        <v>45796</v>
      </c>
      <c r="D4306" t="inlineStr">
        <is>
          <t>SKÅNE LÄN</t>
        </is>
      </c>
      <c r="E4306" t="inlineStr">
        <is>
          <t>HÖRBY</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28520-2023</t>
        </is>
      </c>
      <c r="B4307" s="1" t="n">
        <v>45103</v>
      </c>
      <c r="C4307" s="1" t="n">
        <v>45796</v>
      </c>
      <c r="D4307" t="inlineStr">
        <is>
          <t>SKÅNE LÄN</t>
        </is>
      </c>
      <c r="E4307" t="inlineStr">
        <is>
          <t>HÖRBY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28607-2023</t>
        </is>
      </c>
      <c r="B4308" s="1" t="n">
        <v>45103</v>
      </c>
      <c r="C4308" s="1" t="n">
        <v>45796</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28625-2023</t>
        </is>
      </c>
      <c r="B4309" s="1" t="n">
        <v>45103</v>
      </c>
      <c r="C4309" s="1" t="n">
        <v>45796</v>
      </c>
      <c r="D4309" t="inlineStr">
        <is>
          <t>SKÅNE LÄN</t>
        </is>
      </c>
      <c r="E4309" t="inlineStr">
        <is>
          <t>HÖRBY</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28709-2023</t>
        </is>
      </c>
      <c r="B4310" s="1" t="n">
        <v>45103</v>
      </c>
      <c r="C4310" s="1" t="n">
        <v>45796</v>
      </c>
      <c r="D4310" t="inlineStr">
        <is>
          <t>SKÅNE LÄN</t>
        </is>
      </c>
      <c r="E4310" t="inlineStr">
        <is>
          <t>KLIPPAN</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28704-2023</t>
        </is>
      </c>
      <c r="B4311" s="1" t="n">
        <v>45103</v>
      </c>
      <c r="C4311" s="1" t="n">
        <v>45796</v>
      </c>
      <c r="D4311" t="inlineStr">
        <is>
          <t>SKÅNE LÄN</t>
        </is>
      </c>
      <c r="E4311" t="inlineStr">
        <is>
          <t>KLIPPAN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28597-2023</t>
        </is>
      </c>
      <c r="B4312" s="1" t="n">
        <v>45103</v>
      </c>
      <c r="C4312" s="1" t="n">
        <v>45796</v>
      </c>
      <c r="D4312" t="inlineStr">
        <is>
          <t>SKÅNE LÄN</t>
        </is>
      </c>
      <c r="E4312" t="inlineStr">
        <is>
          <t>HÄSSLEHOLM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28706-2023</t>
        </is>
      </c>
      <c r="B4313" s="1" t="n">
        <v>45103</v>
      </c>
      <c r="C4313" s="1" t="n">
        <v>45796</v>
      </c>
      <c r="D4313" t="inlineStr">
        <is>
          <t>SKÅNE LÄN</t>
        </is>
      </c>
      <c r="E4313" t="inlineStr">
        <is>
          <t>KLIPPAN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28844-2023</t>
        </is>
      </c>
      <c r="B4314" s="1" t="n">
        <v>45104</v>
      </c>
      <c r="C4314" s="1" t="n">
        <v>45796</v>
      </c>
      <c r="D4314" t="inlineStr">
        <is>
          <t>SKÅNE LÄN</t>
        </is>
      </c>
      <c r="E4314" t="inlineStr">
        <is>
          <t>KLIPPAN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28920-2023</t>
        </is>
      </c>
      <c r="B4315" s="1" t="n">
        <v>45104</v>
      </c>
      <c r="C4315" s="1" t="n">
        <v>45796</v>
      </c>
      <c r="D4315" t="inlineStr">
        <is>
          <t>SKÅNE LÄN</t>
        </is>
      </c>
      <c r="E4315" t="inlineStr">
        <is>
          <t>YSTAD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28914-2023</t>
        </is>
      </c>
      <c r="B4316" s="1" t="n">
        <v>45104</v>
      </c>
      <c r="C4316" s="1" t="n">
        <v>45796</v>
      </c>
      <c r="D4316" t="inlineStr">
        <is>
          <t>SKÅNE LÄN</t>
        </is>
      </c>
      <c r="E4316" t="inlineStr">
        <is>
          <t>SIMRISHAMN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28918-2023</t>
        </is>
      </c>
      <c r="B4317" s="1" t="n">
        <v>45104</v>
      </c>
      <c r="C4317" s="1" t="n">
        <v>45796</v>
      </c>
      <c r="D4317" t="inlineStr">
        <is>
          <t>SKÅNE LÄN</t>
        </is>
      </c>
      <c r="E4317" t="inlineStr">
        <is>
          <t>HÖRBY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28785-2023</t>
        </is>
      </c>
      <c r="B4318" s="1" t="n">
        <v>45104</v>
      </c>
      <c r="C4318" s="1" t="n">
        <v>45796</v>
      </c>
      <c r="D4318" t="inlineStr">
        <is>
          <t>SKÅNE LÄN</t>
        </is>
      </c>
      <c r="E4318" t="inlineStr">
        <is>
          <t>HÖRBY</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28847-2023</t>
        </is>
      </c>
      <c r="B4319" s="1" t="n">
        <v>45104</v>
      </c>
      <c r="C4319" s="1" t="n">
        <v>45796</v>
      </c>
      <c r="D4319" t="inlineStr">
        <is>
          <t>SKÅNE LÄN</t>
        </is>
      </c>
      <c r="E4319" t="inlineStr">
        <is>
          <t>KLIPPAN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28882-2023</t>
        </is>
      </c>
      <c r="B4320" s="1" t="n">
        <v>45104</v>
      </c>
      <c r="C4320" s="1" t="n">
        <v>45796</v>
      </c>
      <c r="D4320" t="inlineStr">
        <is>
          <t>SKÅNE LÄN</t>
        </is>
      </c>
      <c r="E4320" t="inlineStr">
        <is>
          <t>BROMÖLLA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28919-2023</t>
        </is>
      </c>
      <c r="B4321" s="1" t="n">
        <v>45104</v>
      </c>
      <c r="C4321" s="1" t="n">
        <v>45796</v>
      </c>
      <c r="D4321" t="inlineStr">
        <is>
          <t>SKÅNE LÄN</t>
        </is>
      </c>
      <c r="E4321" t="inlineStr">
        <is>
          <t>SJÖBO</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28923-2023</t>
        </is>
      </c>
      <c r="B4322" s="1" t="n">
        <v>45104</v>
      </c>
      <c r="C4322" s="1" t="n">
        <v>45796</v>
      </c>
      <c r="D4322" t="inlineStr">
        <is>
          <t>SKÅNE LÄN</t>
        </is>
      </c>
      <c r="E4322" t="inlineStr">
        <is>
          <t>SJÖBO</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29030-2023</t>
        </is>
      </c>
      <c r="B4323" s="1" t="n">
        <v>45104</v>
      </c>
      <c r="C4323" s="1" t="n">
        <v>45796</v>
      </c>
      <c r="D4323" t="inlineStr">
        <is>
          <t>SKÅNE LÄN</t>
        </is>
      </c>
      <c r="E4323" t="inlineStr">
        <is>
          <t>SVEDALA</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28862-2023</t>
        </is>
      </c>
      <c r="B4324" s="1" t="n">
        <v>45104</v>
      </c>
      <c r="C4324" s="1" t="n">
        <v>45796</v>
      </c>
      <c r="D4324" t="inlineStr">
        <is>
          <t>SKÅNE LÄN</t>
        </is>
      </c>
      <c r="E4324" t="inlineStr">
        <is>
          <t>TOMELILLA</t>
        </is>
      </c>
      <c r="F4324" t="inlineStr">
        <is>
          <t>Övriga Aktiebolag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28870-2023</t>
        </is>
      </c>
      <c r="B4325" s="1" t="n">
        <v>45104</v>
      </c>
      <c r="C4325" s="1" t="n">
        <v>45796</v>
      </c>
      <c r="D4325" t="inlineStr">
        <is>
          <t>SKÅNE LÄN</t>
        </is>
      </c>
      <c r="E4325" t="inlineStr">
        <is>
          <t>BROMÖLLA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29036-2023</t>
        </is>
      </c>
      <c r="B4326" s="1" t="n">
        <v>45104</v>
      </c>
      <c r="C4326" s="1" t="n">
        <v>45796</v>
      </c>
      <c r="D4326" t="inlineStr">
        <is>
          <t>SKÅNE LÄN</t>
        </is>
      </c>
      <c r="E4326" t="inlineStr">
        <is>
          <t>LUND</t>
        </is>
      </c>
      <c r="G4326" t="n">
        <v>10.6</v>
      </c>
      <c r="H4326" t="n">
        <v>0</v>
      </c>
      <c r="I4326" t="n">
        <v>0</v>
      </c>
      <c r="J4326" t="n">
        <v>0</v>
      </c>
      <c r="K4326" t="n">
        <v>0</v>
      </c>
      <c r="L4326" t="n">
        <v>0</v>
      </c>
      <c r="M4326" t="n">
        <v>0</v>
      </c>
      <c r="N4326" t="n">
        <v>0</v>
      </c>
      <c r="O4326" t="n">
        <v>0</v>
      </c>
      <c r="P4326" t="n">
        <v>0</v>
      </c>
      <c r="Q4326" t="n">
        <v>0</v>
      </c>
      <c r="R4326" s="2" t="inlineStr"/>
    </row>
    <row r="4327" ht="15" customHeight="1">
      <c r="A4327" t="inlineStr">
        <is>
          <t>A 29075-2023</t>
        </is>
      </c>
      <c r="B4327" s="1" t="n">
        <v>45104</v>
      </c>
      <c r="C4327" s="1" t="n">
        <v>45796</v>
      </c>
      <c r="D4327" t="inlineStr">
        <is>
          <t>SKÅNE LÄN</t>
        </is>
      </c>
      <c r="E4327" t="inlineStr">
        <is>
          <t>LUND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29074-2023</t>
        </is>
      </c>
      <c r="B4328" s="1" t="n">
        <v>45104</v>
      </c>
      <c r="C4328" s="1" t="n">
        <v>45796</v>
      </c>
      <c r="D4328" t="inlineStr">
        <is>
          <t>SKÅNE LÄN</t>
        </is>
      </c>
      <c r="E4328" t="inlineStr">
        <is>
          <t>LUND</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29083-2023</t>
        </is>
      </c>
      <c r="B4329" s="1" t="n">
        <v>45105</v>
      </c>
      <c r="C4329" s="1" t="n">
        <v>45796</v>
      </c>
      <c r="D4329" t="inlineStr">
        <is>
          <t>SKÅNE LÄN</t>
        </is>
      </c>
      <c r="E4329" t="inlineStr">
        <is>
          <t>LUND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29096-2023</t>
        </is>
      </c>
      <c r="B4330" s="1" t="n">
        <v>45105</v>
      </c>
      <c r="C4330" s="1" t="n">
        <v>45796</v>
      </c>
      <c r="D4330" t="inlineStr">
        <is>
          <t>SKÅNE LÄN</t>
        </is>
      </c>
      <c r="E4330" t="inlineStr">
        <is>
          <t>HÖRBY</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29105-2023</t>
        </is>
      </c>
      <c r="B4331" s="1" t="n">
        <v>45105</v>
      </c>
      <c r="C4331" s="1" t="n">
        <v>45796</v>
      </c>
      <c r="D4331" t="inlineStr">
        <is>
          <t>SKÅNE LÄN</t>
        </is>
      </c>
      <c r="E4331" t="inlineStr">
        <is>
          <t>HÖRBY</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29212-2023</t>
        </is>
      </c>
      <c r="B4332" s="1" t="n">
        <v>45105</v>
      </c>
      <c r="C4332" s="1" t="n">
        <v>45796</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29219-2023</t>
        </is>
      </c>
      <c r="B4333" s="1" t="n">
        <v>45105</v>
      </c>
      <c r="C4333" s="1" t="n">
        <v>45796</v>
      </c>
      <c r="D4333" t="inlineStr">
        <is>
          <t>SKÅNE LÄN</t>
        </is>
      </c>
      <c r="E4333" t="inlineStr">
        <is>
          <t>HÖRBY</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29080-2023</t>
        </is>
      </c>
      <c r="B4334" s="1" t="n">
        <v>45105</v>
      </c>
      <c r="C4334" s="1" t="n">
        <v>45796</v>
      </c>
      <c r="D4334" t="inlineStr">
        <is>
          <t>SKÅNE LÄN</t>
        </is>
      </c>
      <c r="E4334" t="inlineStr">
        <is>
          <t>SJÖBO</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29117-2023</t>
        </is>
      </c>
      <c r="B4335" s="1" t="n">
        <v>45105</v>
      </c>
      <c r="C4335" s="1" t="n">
        <v>45796</v>
      </c>
      <c r="D4335" t="inlineStr">
        <is>
          <t>SKÅNE LÄN</t>
        </is>
      </c>
      <c r="E4335" t="inlineStr">
        <is>
          <t>HÖRBY</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29275-2023</t>
        </is>
      </c>
      <c r="B4336" s="1" t="n">
        <v>45105</v>
      </c>
      <c r="C4336" s="1" t="n">
        <v>45796</v>
      </c>
      <c r="D4336" t="inlineStr">
        <is>
          <t>SKÅNE LÄN</t>
        </is>
      </c>
      <c r="E4336" t="inlineStr">
        <is>
          <t>HÄSSLEHOLM</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29274-2023</t>
        </is>
      </c>
      <c r="B4337" s="1" t="n">
        <v>45105</v>
      </c>
      <c r="C4337" s="1" t="n">
        <v>45796</v>
      </c>
      <c r="D4337" t="inlineStr">
        <is>
          <t>SKÅNE LÄN</t>
        </is>
      </c>
      <c r="E4337" t="inlineStr">
        <is>
          <t>HÄSSLEHOLM</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29284-2023</t>
        </is>
      </c>
      <c r="B4338" s="1" t="n">
        <v>45105</v>
      </c>
      <c r="C4338" s="1" t="n">
        <v>45796</v>
      </c>
      <c r="D4338" t="inlineStr">
        <is>
          <t>SKÅNE LÄN</t>
        </is>
      </c>
      <c r="E4338" t="inlineStr">
        <is>
          <t>ÖSTRA GÖINGE</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29291-2023</t>
        </is>
      </c>
      <c r="B4339" s="1" t="n">
        <v>45105</v>
      </c>
      <c r="C4339" s="1" t="n">
        <v>45796</v>
      </c>
      <c r="D4339" t="inlineStr">
        <is>
          <t>SKÅNE LÄN</t>
        </is>
      </c>
      <c r="E4339" t="inlineStr">
        <is>
          <t>OSBY</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29273-2023</t>
        </is>
      </c>
      <c r="B4340" s="1" t="n">
        <v>45105</v>
      </c>
      <c r="C4340" s="1" t="n">
        <v>45796</v>
      </c>
      <c r="D4340" t="inlineStr">
        <is>
          <t>SKÅNE LÄN</t>
        </is>
      </c>
      <c r="E4340" t="inlineStr">
        <is>
          <t>ÖSTRA GÖINGE</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29281-2023</t>
        </is>
      </c>
      <c r="B4341" s="1" t="n">
        <v>45105</v>
      </c>
      <c r="C4341" s="1" t="n">
        <v>45796</v>
      </c>
      <c r="D4341" t="inlineStr">
        <is>
          <t>SKÅNE LÄN</t>
        </is>
      </c>
      <c r="E4341" t="inlineStr">
        <is>
          <t>ÖSTRA GÖINGE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29102-2023</t>
        </is>
      </c>
      <c r="B4342" s="1" t="n">
        <v>45105</v>
      </c>
      <c r="C4342" s="1" t="n">
        <v>45796</v>
      </c>
      <c r="D4342" t="inlineStr">
        <is>
          <t>SKÅNE LÄN</t>
        </is>
      </c>
      <c r="E4342" t="inlineStr">
        <is>
          <t>HÖRBY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29276-2023</t>
        </is>
      </c>
      <c r="B4343" s="1" t="n">
        <v>45105</v>
      </c>
      <c r="C4343" s="1" t="n">
        <v>45796</v>
      </c>
      <c r="D4343" t="inlineStr">
        <is>
          <t>SKÅNE LÄN</t>
        </is>
      </c>
      <c r="E4343" t="inlineStr">
        <is>
          <t>HÄSSLEHOLM</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29280-2023</t>
        </is>
      </c>
      <c r="B4344" s="1" t="n">
        <v>45105</v>
      </c>
      <c r="C4344" s="1" t="n">
        <v>45796</v>
      </c>
      <c r="D4344" t="inlineStr">
        <is>
          <t>SKÅNE LÄN</t>
        </is>
      </c>
      <c r="E4344" t="inlineStr">
        <is>
          <t>ÖSTRA GÖINGE</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29285-2023</t>
        </is>
      </c>
      <c r="B4345" s="1" t="n">
        <v>45105</v>
      </c>
      <c r="C4345" s="1" t="n">
        <v>45796</v>
      </c>
      <c r="D4345" t="inlineStr">
        <is>
          <t>SKÅNE LÄN</t>
        </is>
      </c>
      <c r="E4345" t="inlineStr">
        <is>
          <t>ÖSTRA GÖINGE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29292-2023</t>
        </is>
      </c>
      <c r="B4346" s="1" t="n">
        <v>45105</v>
      </c>
      <c r="C4346" s="1" t="n">
        <v>45796</v>
      </c>
      <c r="D4346" t="inlineStr">
        <is>
          <t>SKÅNE LÄN</t>
        </is>
      </c>
      <c r="E4346" t="inlineStr">
        <is>
          <t>OSBY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29583-2023</t>
        </is>
      </c>
      <c r="B4347" s="1" t="n">
        <v>45106</v>
      </c>
      <c r="C4347" s="1" t="n">
        <v>45796</v>
      </c>
      <c r="D4347" t="inlineStr">
        <is>
          <t>SKÅNE LÄN</t>
        </is>
      </c>
      <c r="E4347" t="inlineStr">
        <is>
          <t>TRELLEBORG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31803-2023</t>
        </is>
      </c>
      <c r="B4348" s="1" t="n">
        <v>45106</v>
      </c>
      <c r="C4348" s="1" t="n">
        <v>45796</v>
      </c>
      <c r="D4348" t="inlineStr">
        <is>
          <t>SKÅNE LÄN</t>
        </is>
      </c>
      <c r="E4348" t="inlineStr">
        <is>
          <t>PERSTORP</t>
        </is>
      </c>
      <c r="F4348" t="inlineStr">
        <is>
          <t>Övriga Aktiebolag</t>
        </is>
      </c>
      <c r="G4348" t="n">
        <v>10.9</v>
      </c>
      <c r="H4348" t="n">
        <v>0</v>
      </c>
      <c r="I4348" t="n">
        <v>0</v>
      </c>
      <c r="J4348" t="n">
        <v>0</v>
      </c>
      <c r="K4348" t="n">
        <v>0</v>
      </c>
      <c r="L4348" t="n">
        <v>0</v>
      </c>
      <c r="M4348" t="n">
        <v>0</v>
      </c>
      <c r="N4348" t="n">
        <v>0</v>
      </c>
      <c r="O4348" t="n">
        <v>0</v>
      </c>
      <c r="P4348" t="n">
        <v>0</v>
      </c>
      <c r="Q4348" t="n">
        <v>0</v>
      </c>
      <c r="R4348" s="2" t="inlineStr"/>
    </row>
    <row r="4349" ht="15" customHeight="1">
      <c r="A4349" t="inlineStr">
        <is>
          <t>A 32156-2023</t>
        </is>
      </c>
      <c r="B4349" s="1" t="n">
        <v>45106</v>
      </c>
      <c r="C4349" s="1" t="n">
        <v>45796</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31802-2023</t>
        </is>
      </c>
      <c r="B4350" s="1" t="n">
        <v>45106</v>
      </c>
      <c r="C4350" s="1" t="n">
        <v>45796</v>
      </c>
      <c r="D4350" t="inlineStr">
        <is>
          <t>SKÅNE LÄN</t>
        </is>
      </c>
      <c r="E4350" t="inlineStr">
        <is>
          <t>PERSTORP</t>
        </is>
      </c>
      <c r="F4350" t="inlineStr">
        <is>
          <t>Övriga Aktiebolag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31847-2023</t>
        </is>
      </c>
      <c r="B4351" s="1" t="n">
        <v>45106</v>
      </c>
      <c r="C4351" s="1" t="n">
        <v>45796</v>
      </c>
      <c r="D4351" t="inlineStr">
        <is>
          <t>SKÅNE LÄN</t>
        </is>
      </c>
      <c r="E4351" t="inlineStr">
        <is>
          <t>KRISTIANSTAD</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29659-2023</t>
        </is>
      </c>
      <c r="B4352" s="1" t="n">
        <v>45107</v>
      </c>
      <c r="C4352" s="1" t="n">
        <v>45796</v>
      </c>
      <c r="D4352" t="inlineStr">
        <is>
          <t>SKÅNE LÄN</t>
        </is>
      </c>
      <c r="E4352" t="inlineStr">
        <is>
          <t>KRISTIANSTAD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29867-2023</t>
        </is>
      </c>
      <c r="B4353" s="1" t="n">
        <v>45107</v>
      </c>
      <c r="C4353" s="1" t="n">
        <v>45796</v>
      </c>
      <c r="D4353" t="inlineStr">
        <is>
          <t>SKÅNE LÄN</t>
        </is>
      </c>
      <c r="E4353" t="inlineStr">
        <is>
          <t>PERSTORP</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29889-2023</t>
        </is>
      </c>
      <c r="B4354" s="1" t="n">
        <v>45107</v>
      </c>
      <c r="C4354" s="1" t="n">
        <v>45796</v>
      </c>
      <c r="D4354" t="inlineStr">
        <is>
          <t>SKÅNE LÄN</t>
        </is>
      </c>
      <c r="E4354" t="inlineStr">
        <is>
          <t>HÄSSLEHOLM</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29874-2023</t>
        </is>
      </c>
      <c r="B4355" s="1" t="n">
        <v>45107</v>
      </c>
      <c r="C4355" s="1" t="n">
        <v>45796</v>
      </c>
      <c r="D4355" t="inlineStr">
        <is>
          <t>SKÅNE LÄN</t>
        </is>
      </c>
      <c r="E4355" t="inlineStr">
        <is>
          <t>PERSTORP</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29934-2023</t>
        </is>
      </c>
      <c r="B4356" s="1" t="n">
        <v>45107</v>
      </c>
      <c r="C4356" s="1" t="n">
        <v>45796</v>
      </c>
      <c r="D4356" t="inlineStr">
        <is>
          <t>SKÅNE LÄN</t>
        </is>
      </c>
      <c r="E4356" t="inlineStr">
        <is>
          <t>KRISTIANSTAD</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31995-2023</t>
        </is>
      </c>
      <c r="B4357" s="1" t="n">
        <v>45107</v>
      </c>
      <c r="C4357" s="1" t="n">
        <v>45796</v>
      </c>
      <c r="D4357" t="inlineStr">
        <is>
          <t>SKÅNE LÄN</t>
        </is>
      </c>
      <c r="E4357" t="inlineStr">
        <is>
          <t>HÄSSLEHOLM</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31991-2023</t>
        </is>
      </c>
      <c r="B4358" s="1" t="n">
        <v>45107</v>
      </c>
      <c r="C4358" s="1" t="n">
        <v>45796</v>
      </c>
      <c r="D4358" t="inlineStr">
        <is>
          <t>SKÅNE LÄN</t>
        </is>
      </c>
      <c r="E4358" t="inlineStr">
        <is>
          <t>OSBY</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31977-2023</t>
        </is>
      </c>
      <c r="B4359" s="1" t="n">
        <v>45107</v>
      </c>
      <c r="C4359" s="1" t="n">
        <v>45796</v>
      </c>
      <c r="D4359" t="inlineStr">
        <is>
          <t>SKÅNE LÄN</t>
        </is>
      </c>
      <c r="E4359" t="inlineStr">
        <is>
          <t>OSBY</t>
        </is>
      </c>
      <c r="G4359" t="n">
        <v>13.1</v>
      </c>
      <c r="H4359" t="n">
        <v>0</v>
      </c>
      <c r="I4359" t="n">
        <v>0</v>
      </c>
      <c r="J4359" t="n">
        <v>0</v>
      </c>
      <c r="K4359" t="n">
        <v>0</v>
      </c>
      <c r="L4359" t="n">
        <v>0</v>
      </c>
      <c r="M4359" t="n">
        <v>0</v>
      </c>
      <c r="N4359" t="n">
        <v>0</v>
      </c>
      <c r="O4359" t="n">
        <v>0</v>
      </c>
      <c r="P4359" t="n">
        <v>0</v>
      </c>
      <c r="Q4359" t="n">
        <v>0</v>
      </c>
      <c r="R4359" s="2" t="inlineStr"/>
    </row>
    <row r="4360" ht="15" customHeight="1">
      <c r="A4360" t="inlineStr">
        <is>
          <t>A 29994-2023</t>
        </is>
      </c>
      <c r="B4360" s="1" t="n">
        <v>45109</v>
      </c>
      <c r="C4360" s="1" t="n">
        <v>45796</v>
      </c>
      <c r="D4360" t="inlineStr">
        <is>
          <t>SKÅNE LÄN</t>
        </is>
      </c>
      <c r="E4360" t="inlineStr">
        <is>
          <t>HÄSSLEHOLM</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30006-2023</t>
        </is>
      </c>
      <c r="B4361" s="1" t="n">
        <v>45109</v>
      </c>
      <c r="C4361" s="1" t="n">
        <v>45796</v>
      </c>
      <c r="D4361" t="inlineStr">
        <is>
          <t>SKÅNE LÄN</t>
        </is>
      </c>
      <c r="E4361" t="inlineStr">
        <is>
          <t>HÄSSLEHOLM</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30007-2023</t>
        </is>
      </c>
      <c r="B4362" s="1" t="n">
        <v>45109</v>
      </c>
      <c r="C4362" s="1" t="n">
        <v>45796</v>
      </c>
      <c r="D4362" t="inlineStr">
        <is>
          <t>SKÅNE LÄN</t>
        </is>
      </c>
      <c r="E4362" t="inlineStr">
        <is>
          <t>HÄSSLEHOLM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30036-2023</t>
        </is>
      </c>
      <c r="B4363" s="1" t="n">
        <v>45110</v>
      </c>
      <c r="C4363" s="1" t="n">
        <v>45796</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30101-2023</t>
        </is>
      </c>
      <c r="B4364" s="1" t="n">
        <v>45110</v>
      </c>
      <c r="C4364" s="1" t="n">
        <v>45796</v>
      </c>
      <c r="D4364" t="inlineStr">
        <is>
          <t>SKÅNE LÄN</t>
        </is>
      </c>
      <c r="E4364" t="inlineStr">
        <is>
          <t>BROMÖLLA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30075-2023</t>
        </is>
      </c>
      <c r="B4365" s="1" t="n">
        <v>45110</v>
      </c>
      <c r="C4365" s="1" t="n">
        <v>45796</v>
      </c>
      <c r="D4365" t="inlineStr">
        <is>
          <t>SKÅNE LÄN</t>
        </is>
      </c>
      <c r="E4365" t="inlineStr">
        <is>
          <t>BROMÖLLA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30087-2023</t>
        </is>
      </c>
      <c r="B4366" s="1" t="n">
        <v>45110</v>
      </c>
      <c r="C4366" s="1" t="n">
        <v>45796</v>
      </c>
      <c r="D4366" t="inlineStr">
        <is>
          <t>SKÅNE LÄN</t>
        </is>
      </c>
      <c r="E4366" t="inlineStr">
        <is>
          <t>HÖÖR</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30092-2023</t>
        </is>
      </c>
      <c r="B4367" s="1" t="n">
        <v>45110</v>
      </c>
      <c r="C4367" s="1" t="n">
        <v>45796</v>
      </c>
      <c r="D4367" t="inlineStr">
        <is>
          <t>SKÅNE LÄN</t>
        </is>
      </c>
      <c r="E4367" t="inlineStr">
        <is>
          <t>KRISTIANSTAD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30065-2023</t>
        </is>
      </c>
      <c r="B4368" s="1" t="n">
        <v>45110</v>
      </c>
      <c r="C4368" s="1" t="n">
        <v>45796</v>
      </c>
      <c r="D4368" t="inlineStr">
        <is>
          <t>SKÅNE LÄN</t>
        </is>
      </c>
      <c r="E4368" t="inlineStr">
        <is>
          <t>KRISTIANSTAD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30112-2023</t>
        </is>
      </c>
      <c r="B4369" s="1" t="n">
        <v>45110</v>
      </c>
      <c r="C4369" s="1" t="n">
        <v>45796</v>
      </c>
      <c r="D4369" t="inlineStr">
        <is>
          <t>SKÅNE LÄN</t>
        </is>
      </c>
      <c r="E4369" t="inlineStr">
        <is>
          <t>BROMÖLLA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30233-2023</t>
        </is>
      </c>
      <c r="B4370" s="1" t="n">
        <v>45110</v>
      </c>
      <c r="C4370" s="1" t="n">
        <v>45796</v>
      </c>
      <c r="D4370" t="inlineStr">
        <is>
          <t>SKÅNE LÄN</t>
        </is>
      </c>
      <c r="E4370" t="inlineStr">
        <is>
          <t>KRISTIANSTAD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30275-2023</t>
        </is>
      </c>
      <c r="B4371" s="1" t="n">
        <v>45110</v>
      </c>
      <c r="C4371" s="1" t="n">
        <v>45796</v>
      </c>
      <c r="D4371" t="inlineStr">
        <is>
          <t>SKÅNE LÄN</t>
        </is>
      </c>
      <c r="E4371" t="inlineStr">
        <is>
          <t>OSBY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30021-2023</t>
        </is>
      </c>
      <c r="B4372" s="1" t="n">
        <v>45110</v>
      </c>
      <c r="C4372" s="1" t="n">
        <v>45796</v>
      </c>
      <c r="D4372" t="inlineStr">
        <is>
          <t>SKÅNE LÄN</t>
        </is>
      </c>
      <c r="E4372" t="inlineStr">
        <is>
          <t>HÄSSLEHOLM</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30089-2023</t>
        </is>
      </c>
      <c r="B4373" s="1" t="n">
        <v>45110</v>
      </c>
      <c r="C4373" s="1" t="n">
        <v>45796</v>
      </c>
      <c r="D4373" t="inlineStr">
        <is>
          <t>SKÅNE LÄN</t>
        </is>
      </c>
      <c r="E4373" t="inlineStr">
        <is>
          <t>BROMÖLLA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30211-2023</t>
        </is>
      </c>
      <c r="B4374" s="1" t="n">
        <v>45110</v>
      </c>
      <c r="C4374" s="1" t="n">
        <v>45796</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30192-2023</t>
        </is>
      </c>
      <c r="B4375" s="1" t="n">
        <v>45110</v>
      </c>
      <c r="C4375" s="1" t="n">
        <v>45796</v>
      </c>
      <c r="D4375" t="inlineStr">
        <is>
          <t>SKÅNE LÄN</t>
        </is>
      </c>
      <c r="E4375" t="inlineStr">
        <is>
          <t>HÄSSLEHOLM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30277-2023</t>
        </is>
      </c>
      <c r="B4376" s="1" t="n">
        <v>45110</v>
      </c>
      <c r="C4376" s="1" t="n">
        <v>45796</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30367-2023</t>
        </is>
      </c>
      <c r="B4377" s="1" t="n">
        <v>45111</v>
      </c>
      <c r="C4377" s="1" t="n">
        <v>45796</v>
      </c>
      <c r="D4377" t="inlineStr">
        <is>
          <t>SKÅNE LÄN</t>
        </is>
      </c>
      <c r="E4377" t="inlineStr">
        <is>
          <t>KRISTIANSTAD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32616-2023</t>
        </is>
      </c>
      <c r="B4378" s="1" t="n">
        <v>45111</v>
      </c>
      <c r="C4378" s="1" t="n">
        <v>45796</v>
      </c>
      <c r="D4378" t="inlineStr">
        <is>
          <t>SKÅNE LÄN</t>
        </is>
      </c>
      <c r="E4378" t="inlineStr">
        <is>
          <t>HÄSSLEHOLM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32620-2023</t>
        </is>
      </c>
      <c r="B4379" s="1" t="n">
        <v>45111</v>
      </c>
      <c r="C4379" s="1" t="n">
        <v>45796</v>
      </c>
      <c r="D4379" t="inlineStr">
        <is>
          <t>SKÅNE LÄN</t>
        </is>
      </c>
      <c r="E4379" t="inlineStr">
        <is>
          <t>SVALÖV</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30638-2023</t>
        </is>
      </c>
      <c r="B4380" s="1" t="n">
        <v>45112</v>
      </c>
      <c r="C4380" s="1" t="n">
        <v>45796</v>
      </c>
      <c r="D4380" t="inlineStr">
        <is>
          <t>SKÅNE LÄN</t>
        </is>
      </c>
      <c r="E4380" t="inlineStr">
        <is>
          <t>ÖRKELLJUNGA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30667-2023</t>
        </is>
      </c>
      <c r="B4381" s="1" t="n">
        <v>45112</v>
      </c>
      <c r="C4381" s="1" t="n">
        <v>45796</v>
      </c>
      <c r="D4381" t="inlineStr">
        <is>
          <t>SKÅNE LÄN</t>
        </is>
      </c>
      <c r="E4381" t="inlineStr">
        <is>
          <t>SIMRISHAMN</t>
        </is>
      </c>
      <c r="F4381" t="inlineStr">
        <is>
          <t>Övriga Aktiebolag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30858-2023</t>
        </is>
      </c>
      <c r="B4382" s="1" t="n">
        <v>45113</v>
      </c>
      <c r="C4382" s="1" t="n">
        <v>45796</v>
      </c>
      <c r="D4382" t="inlineStr">
        <is>
          <t>SKÅNE LÄN</t>
        </is>
      </c>
      <c r="E4382" t="inlineStr">
        <is>
          <t>KRISTIANSTAD</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30673-2023</t>
        </is>
      </c>
      <c r="B4383" s="1" t="n">
        <v>45112</v>
      </c>
      <c r="C4383" s="1" t="n">
        <v>45796</v>
      </c>
      <c r="D4383" t="inlineStr">
        <is>
          <t>SKÅNE LÄN</t>
        </is>
      </c>
      <c r="E4383" t="inlineStr">
        <is>
          <t>TOMELILLA</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30856-2023</t>
        </is>
      </c>
      <c r="B4384" s="1" t="n">
        <v>45112</v>
      </c>
      <c r="C4384" s="1" t="n">
        <v>45796</v>
      </c>
      <c r="D4384" t="inlineStr">
        <is>
          <t>SKÅNE LÄN</t>
        </is>
      </c>
      <c r="E4384" t="inlineStr">
        <is>
          <t>KRISTIANSTAD</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30806-2023</t>
        </is>
      </c>
      <c r="B4385" s="1" t="n">
        <v>45112</v>
      </c>
      <c r="C4385" s="1" t="n">
        <v>45796</v>
      </c>
      <c r="D4385" t="inlineStr">
        <is>
          <t>SKÅNE LÄN</t>
        </is>
      </c>
      <c r="E4385" t="inlineStr">
        <is>
          <t>TOMELILLA</t>
        </is>
      </c>
      <c r="F4385" t="inlineStr">
        <is>
          <t>Övriga Aktiebolag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30857-2023</t>
        </is>
      </c>
      <c r="B4386" s="1" t="n">
        <v>45112</v>
      </c>
      <c r="C4386" s="1" t="n">
        <v>45796</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30927-2023</t>
        </is>
      </c>
      <c r="B4387" s="1" t="n">
        <v>45113</v>
      </c>
      <c r="C4387" s="1" t="n">
        <v>45796</v>
      </c>
      <c r="D4387" t="inlineStr">
        <is>
          <t>SKÅNE LÄN</t>
        </is>
      </c>
      <c r="E4387" t="inlineStr">
        <is>
          <t>HÖÖR</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31008-2023</t>
        </is>
      </c>
      <c r="B4388" s="1" t="n">
        <v>45113</v>
      </c>
      <c r="C4388" s="1" t="n">
        <v>45796</v>
      </c>
      <c r="D4388" t="inlineStr">
        <is>
          <t>SKÅNE LÄN</t>
        </is>
      </c>
      <c r="E4388" t="inlineStr">
        <is>
          <t>HÄSSLEHOLM</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30951-2023</t>
        </is>
      </c>
      <c r="B4389" s="1" t="n">
        <v>45113</v>
      </c>
      <c r="C4389" s="1" t="n">
        <v>45796</v>
      </c>
      <c r="D4389" t="inlineStr">
        <is>
          <t>SKÅNE LÄN</t>
        </is>
      </c>
      <c r="E4389" t="inlineStr">
        <is>
          <t>HÖÖR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31118-2023</t>
        </is>
      </c>
      <c r="B4390" s="1" t="n">
        <v>45113</v>
      </c>
      <c r="C4390" s="1" t="n">
        <v>45796</v>
      </c>
      <c r="D4390" t="inlineStr">
        <is>
          <t>SKÅNE LÄN</t>
        </is>
      </c>
      <c r="E4390" t="inlineStr">
        <is>
          <t>ÖSTRA GÖINGE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31092-2023</t>
        </is>
      </c>
      <c r="B4391" s="1" t="n">
        <v>45113</v>
      </c>
      <c r="C4391" s="1" t="n">
        <v>45796</v>
      </c>
      <c r="D4391" t="inlineStr">
        <is>
          <t>SKÅNE LÄN</t>
        </is>
      </c>
      <c r="E4391" t="inlineStr">
        <is>
          <t>HÖÖR</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31168-2023</t>
        </is>
      </c>
      <c r="B4392" s="1" t="n">
        <v>45113</v>
      </c>
      <c r="C4392" s="1" t="n">
        <v>45796</v>
      </c>
      <c r="D4392" t="inlineStr">
        <is>
          <t>SKÅNE LÄN</t>
        </is>
      </c>
      <c r="E4392" t="inlineStr">
        <is>
          <t>OSBY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31203-2023</t>
        </is>
      </c>
      <c r="B4393" s="1" t="n">
        <v>45113</v>
      </c>
      <c r="C4393" s="1" t="n">
        <v>45796</v>
      </c>
      <c r="D4393" t="inlineStr">
        <is>
          <t>SKÅNE LÄN</t>
        </is>
      </c>
      <c r="E4393" t="inlineStr">
        <is>
          <t>YSTAD</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31180-2023</t>
        </is>
      </c>
      <c r="B4394" s="1" t="n">
        <v>45113</v>
      </c>
      <c r="C4394" s="1" t="n">
        <v>45796</v>
      </c>
      <c r="D4394" t="inlineStr">
        <is>
          <t>SKÅNE LÄN</t>
        </is>
      </c>
      <c r="E4394" t="inlineStr">
        <is>
          <t>ESLÖV</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32946-2023</t>
        </is>
      </c>
      <c r="B4395" s="1" t="n">
        <v>45113</v>
      </c>
      <c r="C4395" s="1" t="n">
        <v>45796</v>
      </c>
      <c r="D4395" t="inlineStr">
        <is>
          <t>SKÅNE LÄN</t>
        </is>
      </c>
      <c r="E4395" t="inlineStr">
        <is>
          <t>ÖRKELLJUNGA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31403-2023</t>
        </is>
      </c>
      <c r="B4396" s="1" t="n">
        <v>45114</v>
      </c>
      <c r="C4396" s="1" t="n">
        <v>45796</v>
      </c>
      <c r="D4396" t="inlineStr">
        <is>
          <t>SKÅNE LÄN</t>
        </is>
      </c>
      <c r="E4396" t="inlineStr">
        <is>
          <t>SJÖBO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31459-2023</t>
        </is>
      </c>
      <c r="B4397" s="1" t="n">
        <v>45114</v>
      </c>
      <c r="C4397" s="1" t="n">
        <v>45796</v>
      </c>
      <c r="D4397" t="inlineStr">
        <is>
          <t>SKÅNE LÄN</t>
        </is>
      </c>
      <c r="E4397" t="inlineStr">
        <is>
          <t>HÖRBY</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31391-2023</t>
        </is>
      </c>
      <c r="B4398" s="1" t="n">
        <v>45114</v>
      </c>
      <c r="C4398" s="1" t="n">
        <v>45796</v>
      </c>
      <c r="D4398" t="inlineStr">
        <is>
          <t>SKÅNE LÄN</t>
        </is>
      </c>
      <c r="E4398" t="inlineStr">
        <is>
          <t>HÄSSLEHOLM</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31502-2023</t>
        </is>
      </c>
      <c r="B4399" s="1" t="n">
        <v>45115</v>
      </c>
      <c r="C4399" s="1" t="n">
        <v>45796</v>
      </c>
      <c r="D4399" t="inlineStr">
        <is>
          <t>SKÅNE LÄN</t>
        </is>
      </c>
      <c r="E4399" t="inlineStr">
        <is>
          <t>ÄNGELHOLM</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31503-2023</t>
        </is>
      </c>
      <c r="B4400" s="1" t="n">
        <v>45115</v>
      </c>
      <c r="C4400" s="1" t="n">
        <v>45796</v>
      </c>
      <c r="D4400" t="inlineStr">
        <is>
          <t>SKÅNE LÄN</t>
        </is>
      </c>
      <c r="E4400" t="inlineStr">
        <is>
          <t>ÄNGELHOLM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31526-2023</t>
        </is>
      </c>
      <c r="B4401" s="1" t="n">
        <v>45116</v>
      </c>
      <c r="C4401" s="1" t="n">
        <v>45796</v>
      </c>
      <c r="D4401" t="inlineStr">
        <is>
          <t>SKÅNE LÄN</t>
        </is>
      </c>
      <c r="E4401" t="inlineStr">
        <is>
          <t>KRISTIANSTAD</t>
        </is>
      </c>
      <c r="F4401" t="inlineStr">
        <is>
          <t>Sveaskog</t>
        </is>
      </c>
      <c r="G4401" t="n">
        <v>15.2</v>
      </c>
      <c r="H4401" t="n">
        <v>0</v>
      </c>
      <c r="I4401" t="n">
        <v>0</v>
      </c>
      <c r="J4401" t="n">
        <v>0</v>
      </c>
      <c r="K4401" t="n">
        <v>0</v>
      </c>
      <c r="L4401" t="n">
        <v>0</v>
      </c>
      <c r="M4401" t="n">
        <v>0</v>
      </c>
      <c r="N4401" t="n">
        <v>0</v>
      </c>
      <c r="O4401" t="n">
        <v>0</v>
      </c>
      <c r="P4401" t="n">
        <v>0</v>
      </c>
      <c r="Q4401" t="n">
        <v>0</v>
      </c>
      <c r="R4401" s="2" t="inlineStr"/>
    </row>
    <row r="4402" ht="15" customHeight="1">
      <c r="A4402" t="inlineStr">
        <is>
          <t>A 31524-2023</t>
        </is>
      </c>
      <c r="B4402" s="1" t="n">
        <v>45116</v>
      </c>
      <c r="C4402" s="1" t="n">
        <v>45796</v>
      </c>
      <c r="D4402" t="inlineStr">
        <is>
          <t>SKÅNE LÄN</t>
        </is>
      </c>
      <c r="E4402" t="inlineStr">
        <is>
          <t>KRISTIANSTAD</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31536-2023</t>
        </is>
      </c>
      <c r="B4403" s="1" t="n">
        <v>45116</v>
      </c>
      <c r="C4403" s="1" t="n">
        <v>45796</v>
      </c>
      <c r="D4403" t="inlineStr">
        <is>
          <t>SKÅNE LÄN</t>
        </is>
      </c>
      <c r="E4403" t="inlineStr">
        <is>
          <t>KRISTIANSTAD</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31525-2023</t>
        </is>
      </c>
      <c r="B4404" s="1" t="n">
        <v>45116</v>
      </c>
      <c r="C4404" s="1" t="n">
        <v>45796</v>
      </c>
      <c r="D4404" t="inlineStr">
        <is>
          <t>SKÅNE LÄN</t>
        </is>
      </c>
      <c r="E4404" t="inlineStr">
        <is>
          <t>KRISTIANSTAD</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31598-2023</t>
        </is>
      </c>
      <c r="B4405" s="1" t="n">
        <v>45117</v>
      </c>
      <c r="C4405" s="1" t="n">
        <v>45796</v>
      </c>
      <c r="D4405" t="inlineStr">
        <is>
          <t>SKÅNE LÄN</t>
        </is>
      </c>
      <c r="E4405" t="inlineStr">
        <is>
          <t>HÖRBY</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31624-2023</t>
        </is>
      </c>
      <c r="B4406" s="1" t="n">
        <v>45117</v>
      </c>
      <c r="C4406" s="1" t="n">
        <v>45796</v>
      </c>
      <c r="D4406" t="inlineStr">
        <is>
          <t>SKÅNE LÄN</t>
        </is>
      </c>
      <c r="E4406" t="inlineStr">
        <is>
          <t>OSBY</t>
        </is>
      </c>
      <c r="F4406" t="inlineStr">
        <is>
          <t>Sveaskog</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31649-2023</t>
        </is>
      </c>
      <c r="B4407" s="1" t="n">
        <v>45117</v>
      </c>
      <c r="C4407" s="1" t="n">
        <v>45796</v>
      </c>
      <c r="D4407" t="inlineStr">
        <is>
          <t>SKÅNE LÄN</t>
        </is>
      </c>
      <c r="E4407" t="inlineStr">
        <is>
          <t>BROMÖLLA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31658-2023</t>
        </is>
      </c>
      <c r="B4408" s="1" t="n">
        <v>45117</v>
      </c>
      <c r="C4408" s="1" t="n">
        <v>45796</v>
      </c>
      <c r="D4408" t="inlineStr">
        <is>
          <t>SKÅNE LÄN</t>
        </is>
      </c>
      <c r="E4408" t="inlineStr">
        <is>
          <t>KRISTIANSTAD</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31694-2023</t>
        </is>
      </c>
      <c r="B4409" s="1" t="n">
        <v>45117</v>
      </c>
      <c r="C4409" s="1" t="n">
        <v>45796</v>
      </c>
      <c r="D4409" t="inlineStr">
        <is>
          <t>SKÅNE LÄN</t>
        </is>
      </c>
      <c r="E4409" t="inlineStr">
        <is>
          <t>SVEDALA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31581-2023</t>
        </is>
      </c>
      <c r="B4410" s="1" t="n">
        <v>45117</v>
      </c>
      <c r="C4410" s="1" t="n">
        <v>45796</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31629-2023</t>
        </is>
      </c>
      <c r="B4411" s="1" t="n">
        <v>45117</v>
      </c>
      <c r="C4411" s="1" t="n">
        <v>45796</v>
      </c>
      <c r="D4411" t="inlineStr">
        <is>
          <t>SKÅNE LÄN</t>
        </is>
      </c>
      <c r="E4411" t="inlineStr">
        <is>
          <t>ÖSTRA GÖINGE</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31690-2023</t>
        </is>
      </c>
      <c r="B4412" s="1" t="n">
        <v>45117</v>
      </c>
      <c r="C4412" s="1" t="n">
        <v>45796</v>
      </c>
      <c r="D4412" t="inlineStr">
        <is>
          <t>SKÅNE LÄN</t>
        </is>
      </c>
      <c r="E4412" t="inlineStr">
        <is>
          <t>SVEDALA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31704-2023</t>
        </is>
      </c>
      <c r="B4413" s="1" t="n">
        <v>45117</v>
      </c>
      <c r="C4413" s="1" t="n">
        <v>45796</v>
      </c>
      <c r="D4413" t="inlineStr">
        <is>
          <t>SKÅNE LÄN</t>
        </is>
      </c>
      <c r="E4413" t="inlineStr">
        <is>
          <t>ÖRKELLJUNGA</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31710-2023</t>
        </is>
      </c>
      <c r="B4414" s="1" t="n">
        <v>45117</v>
      </c>
      <c r="C4414" s="1" t="n">
        <v>45796</v>
      </c>
      <c r="D4414" t="inlineStr">
        <is>
          <t>SKÅNE LÄN</t>
        </is>
      </c>
      <c r="E4414" t="inlineStr">
        <is>
          <t>SIMRISHAMN</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31596-2023</t>
        </is>
      </c>
      <c r="B4415" s="1" t="n">
        <v>45117</v>
      </c>
      <c r="C4415" s="1" t="n">
        <v>45796</v>
      </c>
      <c r="D4415" t="inlineStr">
        <is>
          <t>SKÅNE LÄN</t>
        </is>
      </c>
      <c r="E4415" t="inlineStr">
        <is>
          <t>HÖRBY</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31626-2023</t>
        </is>
      </c>
      <c r="B4416" s="1" t="n">
        <v>45117</v>
      </c>
      <c r="C4416" s="1" t="n">
        <v>45796</v>
      </c>
      <c r="D4416" t="inlineStr">
        <is>
          <t>SKÅNE LÄN</t>
        </is>
      </c>
      <c r="E4416" t="inlineStr">
        <is>
          <t>OSBY</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31701-2023</t>
        </is>
      </c>
      <c r="B4417" s="1" t="n">
        <v>45117</v>
      </c>
      <c r="C4417" s="1" t="n">
        <v>45796</v>
      </c>
      <c r="D4417" t="inlineStr">
        <is>
          <t>SKÅNE LÄN</t>
        </is>
      </c>
      <c r="E4417" t="inlineStr">
        <is>
          <t>SVEDALA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31721-2023</t>
        </is>
      </c>
      <c r="B4418" s="1" t="n">
        <v>45117</v>
      </c>
      <c r="C4418" s="1" t="n">
        <v>45796</v>
      </c>
      <c r="D4418" t="inlineStr">
        <is>
          <t>SKÅNE LÄN</t>
        </is>
      </c>
      <c r="E4418" t="inlineStr">
        <is>
          <t>OSBY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31720-2023</t>
        </is>
      </c>
      <c r="B4419" s="1" t="n">
        <v>45117</v>
      </c>
      <c r="C4419" s="1" t="n">
        <v>45796</v>
      </c>
      <c r="D4419" t="inlineStr">
        <is>
          <t>SKÅNE LÄN</t>
        </is>
      </c>
      <c r="E4419" t="inlineStr">
        <is>
          <t>ÄNGELHOLM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33305-2023</t>
        </is>
      </c>
      <c r="B4420" s="1" t="n">
        <v>45117</v>
      </c>
      <c r="C4420" s="1" t="n">
        <v>45796</v>
      </c>
      <c r="D4420" t="inlineStr">
        <is>
          <t>SKÅNE LÄN</t>
        </is>
      </c>
      <c r="E4420" t="inlineStr">
        <is>
          <t>ÖSTRA GÖINGE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31588-2023</t>
        </is>
      </c>
      <c r="B4421" s="1" t="n">
        <v>45117</v>
      </c>
      <c r="C4421" s="1" t="n">
        <v>45796</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31593-2023</t>
        </is>
      </c>
      <c r="B4422" s="1" t="n">
        <v>45117</v>
      </c>
      <c r="C4422" s="1" t="n">
        <v>45796</v>
      </c>
      <c r="D4422" t="inlineStr">
        <is>
          <t>SKÅNE LÄN</t>
        </is>
      </c>
      <c r="E4422" t="inlineStr">
        <is>
          <t>HÖRBY</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31623-2023</t>
        </is>
      </c>
      <c r="B4423" s="1" t="n">
        <v>45117</v>
      </c>
      <c r="C4423" s="1" t="n">
        <v>45796</v>
      </c>
      <c r="D4423" t="inlineStr">
        <is>
          <t>SKÅNE LÄN</t>
        </is>
      </c>
      <c r="E4423" t="inlineStr">
        <is>
          <t>OSBY</t>
        </is>
      </c>
      <c r="F4423" t="inlineStr">
        <is>
          <t>Sveaskog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31627-2023</t>
        </is>
      </c>
      <c r="B4424" s="1" t="n">
        <v>45117</v>
      </c>
      <c r="C4424" s="1" t="n">
        <v>45796</v>
      </c>
      <c r="D4424" t="inlineStr">
        <is>
          <t>SKÅNE LÄN</t>
        </is>
      </c>
      <c r="E4424" t="inlineStr">
        <is>
          <t>ÖSTRA GÖINGE</t>
        </is>
      </c>
      <c r="F4424" t="inlineStr">
        <is>
          <t>Sveaskog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31693-2023</t>
        </is>
      </c>
      <c r="B4425" s="1" t="n">
        <v>45117</v>
      </c>
      <c r="C4425" s="1" t="n">
        <v>45796</v>
      </c>
      <c r="D4425" t="inlineStr">
        <is>
          <t>SKÅNE LÄN</t>
        </is>
      </c>
      <c r="E4425" t="inlineStr">
        <is>
          <t>SVEDALA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31703-2023</t>
        </is>
      </c>
      <c r="B4426" s="1" t="n">
        <v>45117</v>
      </c>
      <c r="C4426" s="1" t="n">
        <v>45796</v>
      </c>
      <c r="D4426" t="inlineStr">
        <is>
          <t>SKÅNE LÄN</t>
        </is>
      </c>
      <c r="E4426" t="inlineStr">
        <is>
          <t>ÖRKELLJUNGA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31709-2023</t>
        </is>
      </c>
      <c r="B4427" s="1" t="n">
        <v>45117</v>
      </c>
      <c r="C4427" s="1" t="n">
        <v>45796</v>
      </c>
      <c r="D4427" t="inlineStr">
        <is>
          <t>SKÅNE LÄN</t>
        </is>
      </c>
      <c r="E4427" t="inlineStr">
        <is>
          <t>ÄNGELHOLM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31747-2023</t>
        </is>
      </c>
      <c r="B4428" s="1" t="n">
        <v>45118</v>
      </c>
      <c r="C4428" s="1" t="n">
        <v>45796</v>
      </c>
      <c r="D4428" t="inlineStr">
        <is>
          <t>SKÅNE LÄN</t>
        </is>
      </c>
      <c r="E4428" t="inlineStr">
        <is>
          <t>ÖRKELLJUNGA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31751-2023</t>
        </is>
      </c>
      <c r="B4429" s="1" t="n">
        <v>45118</v>
      </c>
      <c r="C4429" s="1" t="n">
        <v>45796</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31748-2023</t>
        </is>
      </c>
      <c r="B4430" s="1" t="n">
        <v>45118</v>
      </c>
      <c r="C4430" s="1" t="n">
        <v>45796</v>
      </c>
      <c r="D4430" t="inlineStr">
        <is>
          <t>SKÅNE LÄN</t>
        </is>
      </c>
      <c r="E4430" t="inlineStr">
        <is>
          <t>ÖRKELLJUNGA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31773-2023</t>
        </is>
      </c>
      <c r="B4431" s="1" t="n">
        <v>45118</v>
      </c>
      <c r="C4431" s="1" t="n">
        <v>45796</v>
      </c>
      <c r="D4431" t="inlineStr">
        <is>
          <t>SKÅNE LÄN</t>
        </is>
      </c>
      <c r="E4431" t="inlineStr">
        <is>
          <t>LUND</t>
        </is>
      </c>
      <c r="F4431" t="inlineStr">
        <is>
          <t>Kommuner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31750-2023</t>
        </is>
      </c>
      <c r="B4432" s="1" t="n">
        <v>45118</v>
      </c>
      <c r="C4432" s="1" t="n">
        <v>45796</v>
      </c>
      <c r="D4432" t="inlineStr">
        <is>
          <t>SKÅNE LÄN</t>
        </is>
      </c>
      <c r="E4432" t="inlineStr">
        <is>
          <t>ÖRKELLJUNGA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31789-2023</t>
        </is>
      </c>
      <c r="B4433" s="1" t="n">
        <v>45118</v>
      </c>
      <c r="C4433" s="1" t="n">
        <v>45796</v>
      </c>
      <c r="D4433" t="inlineStr">
        <is>
          <t>SKÅNE LÄN</t>
        </is>
      </c>
      <c r="E4433" t="inlineStr">
        <is>
          <t>ÄNGELHOLM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31872-2023</t>
        </is>
      </c>
      <c r="B4434" s="1" t="n">
        <v>45118</v>
      </c>
      <c r="C4434" s="1" t="n">
        <v>45796</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31907-2023</t>
        </is>
      </c>
      <c r="B4435" s="1" t="n">
        <v>45118</v>
      </c>
      <c r="C4435" s="1" t="n">
        <v>45796</v>
      </c>
      <c r="D4435" t="inlineStr">
        <is>
          <t>SKÅNE LÄN</t>
        </is>
      </c>
      <c r="E4435" t="inlineStr">
        <is>
          <t>ÄNGELHOLM</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31836-2023</t>
        </is>
      </c>
      <c r="B4436" s="1" t="n">
        <v>45118</v>
      </c>
      <c r="C4436" s="1" t="n">
        <v>45796</v>
      </c>
      <c r="D4436" t="inlineStr">
        <is>
          <t>SKÅNE LÄN</t>
        </is>
      </c>
      <c r="E4436" t="inlineStr">
        <is>
          <t>ÄNGELHOLM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31908-2023</t>
        </is>
      </c>
      <c r="B4437" s="1" t="n">
        <v>45118</v>
      </c>
      <c r="C4437" s="1" t="n">
        <v>45796</v>
      </c>
      <c r="D4437" t="inlineStr">
        <is>
          <t>SKÅNE LÄN</t>
        </is>
      </c>
      <c r="E4437" t="inlineStr">
        <is>
          <t>ÄNGELHOLM</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31946-2023</t>
        </is>
      </c>
      <c r="B4438" s="1" t="n">
        <v>45119</v>
      </c>
      <c r="C4438" s="1" t="n">
        <v>45796</v>
      </c>
      <c r="D4438" t="inlineStr">
        <is>
          <t>SKÅNE LÄN</t>
        </is>
      </c>
      <c r="E4438" t="inlineStr">
        <is>
          <t>HÄSSLEHOLM</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31970-2023</t>
        </is>
      </c>
      <c r="B4439" s="1" t="n">
        <v>45119</v>
      </c>
      <c r="C4439" s="1" t="n">
        <v>45796</v>
      </c>
      <c r="D4439" t="inlineStr">
        <is>
          <t>SKÅNE LÄN</t>
        </is>
      </c>
      <c r="E4439" t="inlineStr">
        <is>
          <t>OSBY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31986-2023</t>
        </is>
      </c>
      <c r="B4440" s="1" t="n">
        <v>45119</v>
      </c>
      <c r="C4440" s="1" t="n">
        <v>45796</v>
      </c>
      <c r="D4440" t="inlineStr">
        <is>
          <t>SKÅNE LÄN</t>
        </is>
      </c>
      <c r="E4440" t="inlineStr">
        <is>
          <t>HÄSSLEHOLM</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32001-2023</t>
        </is>
      </c>
      <c r="B4441" s="1" t="n">
        <v>45119</v>
      </c>
      <c r="C4441" s="1" t="n">
        <v>45796</v>
      </c>
      <c r="D4441" t="inlineStr">
        <is>
          <t>SKÅNE LÄN</t>
        </is>
      </c>
      <c r="E4441" t="inlineStr">
        <is>
          <t>OSBY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32015-2023</t>
        </is>
      </c>
      <c r="B4442" s="1" t="n">
        <v>45119</v>
      </c>
      <c r="C4442" s="1" t="n">
        <v>45796</v>
      </c>
      <c r="D4442" t="inlineStr">
        <is>
          <t>SKÅNE LÄN</t>
        </is>
      </c>
      <c r="E4442" t="inlineStr">
        <is>
          <t>KRISTIANSTAD</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32061-2023</t>
        </is>
      </c>
      <c r="B4443" s="1" t="n">
        <v>45119</v>
      </c>
      <c r="C4443" s="1" t="n">
        <v>45796</v>
      </c>
      <c r="D4443" t="inlineStr">
        <is>
          <t>SKÅNE LÄN</t>
        </is>
      </c>
      <c r="E4443" t="inlineStr">
        <is>
          <t>HÄSSLEHOLM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32103-2023</t>
        </is>
      </c>
      <c r="B4444" s="1" t="n">
        <v>45119</v>
      </c>
      <c r="C4444" s="1" t="n">
        <v>45796</v>
      </c>
      <c r="D4444" t="inlineStr">
        <is>
          <t>SKÅNE LÄN</t>
        </is>
      </c>
      <c r="E4444" t="inlineStr">
        <is>
          <t>KRISTIANSTAD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32126-2023</t>
        </is>
      </c>
      <c r="B4445" s="1" t="n">
        <v>45119</v>
      </c>
      <c r="C4445" s="1" t="n">
        <v>45796</v>
      </c>
      <c r="D4445" t="inlineStr">
        <is>
          <t>SKÅNE LÄN</t>
        </is>
      </c>
      <c r="E4445" t="inlineStr">
        <is>
          <t>HÖRBY</t>
        </is>
      </c>
      <c r="F4445" t="inlineStr">
        <is>
          <t>Sveaskog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32099-2023</t>
        </is>
      </c>
      <c r="B4446" s="1" t="n">
        <v>45119</v>
      </c>
      <c r="C4446" s="1" t="n">
        <v>45796</v>
      </c>
      <c r="D4446" t="inlineStr">
        <is>
          <t>SKÅNE LÄN</t>
        </is>
      </c>
      <c r="E4446" t="inlineStr">
        <is>
          <t>KRISTIANSTAD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32127-2023</t>
        </is>
      </c>
      <c r="B4447" s="1" t="n">
        <v>45119</v>
      </c>
      <c r="C4447" s="1" t="n">
        <v>45796</v>
      </c>
      <c r="D4447" t="inlineStr">
        <is>
          <t>SKÅNE LÄN</t>
        </is>
      </c>
      <c r="E4447" t="inlineStr">
        <is>
          <t>HÖRBY</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31944-2023</t>
        </is>
      </c>
      <c r="B4448" s="1" t="n">
        <v>45119</v>
      </c>
      <c r="C4448" s="1" t="n">
        <v>45796</v>
      </c>
      <c r="D4448" t="inlineStr">
        <is>
          <t>SKÅNE LÄN</t>
        </is>
      </c>
      <c r="E4448" t="inlineStr">
        <is>
          <t>HÄSSLEHOLM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31989-2023</t>
        </is>
      </c>
      <c r="B4449" s="1" t="n">
        <v>45119</v>
      </c>
      <c r="C4449" s="1" t="n">
        <v>45796</v>
      </c>
      <c r="D4449" t="inlineStr">
        <is>
          <t>SKÅNE LÄN</t>
        </is>
      </c>
      <c r="E4449" t="inlineStr">
        <is>
          <t>HÖRBY</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32033-2023</t>
        </is>
      </c>
      <c r="B4450" s="1" t="n">
        <v>45119</v>
      </c>
      <c r="C4450" s="1" t="n">
        <v>45796</v>
      </c>
      <c r="D4450" t="inlineStr">
        <is>
          <t>SKÅNE LÄN</t>
        </is>
      </c>
      <c r="E4450" t="inlineStr">
        <is>
          <t>OSBY</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32132-2023</t>
        </is>
      </c>
      <c r="B4451" s="1" t="n">
        <v>45119</v>
      </c>
      <c r="C4451" s="1" t="n">
        <v>45796</v>
      </c>
      <c r="D4451" t="inlineStr">
        <is>
          <t>SKÅNE LÄN</t>
        </is>
      </c>
      <c r="E4451" t="inlineStr">
        <is>
          <t>HÖRBY</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32139-2023</t>
        </is>
      </c>
      <c r="B4452" s="1" t="n">
        <v>45119</v>
      </c>
      <c r="C4452" s="1" t="n">
        <v>45796</v>
      </c>
      <c r="D4452" t="inlineStr">
        <is>
          <t>SKÅNE LÄN</t>
        </is>
      </c>
      <c r="E4452" t="inlineStr">
        <is>
          <t>KLIPPAN</t>
        </is>
      </c>
      <c r="F4452" t="inlineStr">
        <is>
          <t>Sveaskog</t>
        </is>
      </c>
      <c r="G4452" t="n">
        <v>12.2</v>
      </c>
      <c r="H4452" t="n">
        <v>0</v>
      </c>
      <c r="I4452" t="n">
        <v>0</v>
      </c>
      <c r="J4452" t="n">
        <v>0</v>
      </c>
      <c r="K4452" t="n">
        <v>0</v>
      </c>
      <c r="L4452" t="n">
        <v>0</v>
      </c>
      <c r="M4452" t="n">
        <v>0</v>
      </c>
      <c r="N4452" t="n">
        <v>0</v>
      </c>
      <c r="O4452" t="n">
        <v>0</v>
      </c>
      <c r="P4452" t="n">
        <v>0</v>
      </c>
      <c r="Q4452" t="n">
        <v>0</v>
      </c>
      <c r="R4452" s="2" t="inlineStr"/>
    </row>
    <row r="4453" ht="15" customHeight="1">
      <c r="A4453" t="inlineStr">
        <is>
          <t>A 32145-2023</t>
        </is>
      </c>
      <c r="B4453" s="1" t="n">
        <v>45119</v>
      </c>
      <c r="C4453" s="1" t="n">
        <v>45796</v>
      </c>
      <c r="D4453" t="inlineStr">
        <is>
          <t>SKÅNE LÄN</t>
        </is>
      </c>
      <c r="E4453" t="inlineStr">
        <is>
          <t>HÖRBY</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31993-2023</t>
        </is>
      </c>
      <c r="B4454" s="1" t="n">
        <v>45119</v>
      </c>
      <c r="C4454" s="1" t="n">
        <v>45796</v>
      </c>
      <c r="D4454" t="inlineStr">
        <is>
          <t>SKÅNE LÄN</t>
        </is>
      </c>
      <c r="E4454" t="inlineStr">
        <is>
          <t>TOMELILLA</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31998-2023</t>
        </is>
      </c>
      <c r="B4455" s="1" t="n">
        <v>45119</v>
      </c>
      <c r="C4455" s="1" t="n">
        <v>45796</v>
      </c>
      <c r="D4455" t="inlineStr">
        <is>
          <t>SKÅNE LÄN</t>
        </is>
      </c>
      <c r="E4455" t="inlineStr">
        <is>
          <t>HÄSSLEHOLM</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32013-2023</t>
        </is>
      </c>
      <c r="B4456" s="1" t="n">
        <v>45119</v>
      </c>
      <c r="C4456" s="1" t="n">
        <v>45796</v>
      </c>
      <c r="D4456" t="inlineStr">
        <is>
          <t>SKÅNE LÄN</t>
        </is>
      </c>
      <c r="E4456" t="inlineStr">
        <is>
          <t>KRISTIANSTAD</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32021-2023</t>
        </is>
      </c>
      <c r="B4457" s="1" t="n">
        <v>45119</v>
      </c>
      <c r="C4457" s="1" t="n">
        <v>45796</v>
      </c>
      <c r="D4457" t="inlineStr">
        <is>
          <t>SKÅNE LÄN</t>
        </is>
      </c>
      <c r="E4457" t="inlineStr">
        <is>
          <t>KRISTIANSTAD</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32106-2023</t>
        </is>
      </c>
      <c r="B4458" s="1" t="n">
        <v>45119</v>
      </c>
      <c r="C4458" s="1" t="n">
        <v>45796</v>
      </c>
      <c r="D4458" t="inlineStr">
        <is>
          <t>SKÅNE LÄN</t>
        </is>
      </c>
      <c r="E4458" t="inlineStr">
        <is>
          <t>KRISTIANSTAD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32274-2023</t>
        </is>
      </c>
      <c r="B4459" s="1" t="n">
        <v>45120</v>
      </c>
      <c r="C4459" s="1" t="n">
        <v>45796</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32277-2023</t>
        </is>
      </c>
      <c r="B4460" s="1" t="n">
        <v>45120</v>
      </c>
      <c r="C4460" s="1" t="n">
        <v>45796</v>
      </c>
      <c r="D4460" t="inlineStr">
        <is>
          <t>SKÅNE LÄN</t>
        </is>
      </c>
      <c r="E4460" t="inlineStr">
        <is>
          <t>ÄNGELHOLM</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32372-2023</t>
        </is>
      </c>
      <c r="B4461" s="1" t="n">
        <v>45120</v>
      </c>
      <c r="C4461" s="1" t="n">
        <v>45796</v>
      </c>
      <c r="D4461" t="inlineStr">
        <is>
          <t>SKÅNE LÄN</t>
        </is>
      </c>
      <c r="E4461" t="inlineStr">
        <is>
          <t>ÖRKELLJUNGA</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32378-2023</t>
        </is>
      </c>
      <c r="B4462" s="1" t="n">
        <v>45120</v>
      </c>
      <c r="C4462" s="1" t="n">
        <v>45796</v>
      </c>
      <c r="D4462" t="inlineStr">
        <is>
          <t>SKÅNE LÄN</t>
        </is>
      </c>
      <c r="E4462" t="inlineStr">
        <is>
          <t>SJÖBO</t>
        </is>
      </c>
      <c r="F4462" t="inlineStr">
        <is>
          <t>Övriga Aktiebolag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32364-2023</t>
        </is>
      </c>
      <c r="B4463" s="1" t="n">
        <v>45120</v>
      </c>
      <c r="C4463" s="1" t="n">
        <v>45796</v>
      </c>
      <c r="D4463" t="inlineStr">
        <is>
          <t>SKÅNE LÄN</t>
        </is>
      </c>
      <c r="E4463" t="inlineStr">
        <is>
          <t>ÄNGELHOLM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32362-2023</t>
        </is>
      </c>
      <c r="B4464" s="1" t="n">
        <v>45120</v>
      </c>
      <c r="C4464" s="1" t="n">
        <v>45796</v>
      </c>
      <c r="D4464" t="inlineStr">
        <is>
          <t>SKÅNE LÄN</t>
        </is>
      </c>
      <c r="E4464" t="inlineStr">
        <is>
          <t>ÄNGELHOLM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32375-2023</t>
        </is>
      </c>
      <c r="B4465" s="1" t="n">
        <v>45120</v>
      </c>
      <c r="C4465" s="1" t="n">
        <v>45796</v>
      </c>
      <c r="D4465" t="inlineStr">
        <is>
          <t>SKÅNE LÄN</t>
        </is>
      </c>
      <c r="E4465" t="inlineStr">
        <is>
          <t>SJÖBO</t>
        </is>
      </c>
      <c r="F4465" t="inlineStr">
        <is>
          <t>Övriga Aktiebolag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32397-2023</t>
        </is>
      </c>
      <c r="B4466" s="1" t="n">
        <v>45120</v>
      </c>
      <c r="C4466" s="1" t="n">
        <v>45796</v>
      </c>
      <c r="D4466" t="inlineStr">
        <is>
          <t>SKÅNE LÄN</t>
        </is>
      </c>
      <c r="E4466" t="inlineStr">
        <is>
          <t>KRISTIANSTAD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32430-2023</t>
        </is>
      </c>
      <c r="B4467" s="1" t="n">
        <v>45120</v>
      </c>
      <c r="C4467" s="1" t="n">
        <v>45796</v>
      </c>
      <c r="D4467" t="inlineStr">
        <is>
          <t>SKÅNE LÄN</t>
        </is>
      </c>
      <c r="E4467" t="inlineStr">
        <is>
          <t>ÄNGELHOLM</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32459-2023</t>
        </is>
      </c>
      <c r="B4468" s="1" t="n">
        <v>45120</v>
      </c>
      <c r="C4468" s="1" t="n">
        <v>45796</v>
      </c>
      <c r="D4468" t="inlineStr">
        <is>
          <t>SKÅNE LÄN</t>
        </is>
      </c>
      <c r="E4468" t="inlineStr">
        <is>
          <t>ÄNGELHOLM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32484-2023</t>
        </is>
      </c>
      <c r="B4469" s="1" t="n">
        <v>45121</v>
      </c>
      <c r="C4469" s="1" t="n">
        <v>45796</v>
      </c>
      <c r="D4469" t="inlineStr">
        <is>
          <t>SKÅNE LÄN</t>
        </is>
      </c>
      <c r="E4469" t="inlineStr">
        <is>
          <t>OSBY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32506-2023</t>
        </is>
      </c>
      <c r="B4470" s="1" t="n">
        <v>45121</v>
      </c>
      <c r="C4470" s="1" t="n">
        <v>45796</v>
      </c>
      <c r="D4470" t="inlineStr">
        <is>
          <t>SKÅNE LÄN</t>
        </is>
      </c>
      <c r="E4470" t="inlineStr">
        <is>
          <t>OSBY</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32517-2023</t>
        </is>
      </c>
      <c r="B4471" s="1" t="n">
        <v>45121</v>
      </c>
      <c r="C4471" s="1" t="n">
        <v>45796</v>
      </c>
      <c r="D4471" t="inlineStr">
        <is>
          <t>SKÅNE LÄN</t>
        </is>
      </c>
      <c r="E4471" t="inlineStr">
        <is>
          <t>ÖSTRA GÖINGE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32507-2023</t>
        </is>
      </c>
      <c r="B4472" s="1" t="n">
        <v>45121</v>
      </c>
      <c r="C4472" s="1" t="n">
        <v>45796</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32525-2023</t>
        </is>
      </c>
      <c r="B4473" s="1" t="n">
        <v>45121</v>
      </c>
      <c r="C4473" s="1" t="n">
        <v>45796</v>
      </c>
      <c r="D4473" t="inlineStr">
        <is>
          <t>SKÅNE LÄN</t>
        </is>
      </c>
      <c r="E4473" t="inlineStr">
        <is>
          <t>KRISTIANSTAD</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32567-2023</t>
        </is>
      </c>
      <c r="B4474" s="1" t="n">
        <v>45121</v>
      </c>
      <c r="C4474" s="1" t="n">
        <v>45796</v>
      </c>
      <c r="D4474" t="inlineStr">
        <is>
          <t>SKÅNE LÄN</t>
        </is>
      </c>
      <c r="E4474" t="inlineStr">
        <is>
          <t>HÄSSLEHOLM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32671-2023</t>
        </is>
      </c>
      <c r="B4475" s="1" t="n">
        <v>45121</v>
      </c>
      <c r="C4475" s="1" t="n">
        <v>45796</v>
      </c>
      <c r="D4475" t="inlineStr">
        <is>
          <t>SKÅNE LÄN</t>
        </is>
      </c>
      <c r="E4475" t="inlineStr">
        <is>
          <t>HÖRBY</t>
        </is>
      </c>
      <c r="F4475" t="inlineStr">
        <is>
          <t>Sveaskog</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32702-2023</t>
        </is>
      </c>
      <c r="B4476" s="1" t="n">
        <v>45121</v>
      </c>
      <c r="C4476" s="1" t="n">
        <v>45796</v>
      </c>
      <c r="D4476" t="inlineStr">
        <is>
          <t>SKÅNE LÄN</t>
        </is>
      </c>
      <c r="E4476" t="inlineStr">
        <is>
          <t>KRISTIANSTAD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32710-2023</t>
        </is>
      </c>
      <c r="B4477" s="1" t="n">
        <v>45121</v>
      </c>
      <c r="C4477" s="1" t="n">
        <v>45796</v>
      </c>
      <c r="D4477" t="inlineStr">
        <is>
          <t>SKÅNE LÄN</t>
        </is>
      </c>
      <c r="E4477" t="inlineStr">
        <is>
          <t>KRISTIANSTAD</t>
        </is>
      </c>
      <c r="F4477" t="inlineStr">
        <is>
          <t>Sveaskog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32714-2023</t>
        </is>
      </c>
      <c r="B4478" s="1" t="n">
        <v>45121</v>
      </c>
      <c r="C4478" s="1" t="n">
        <v>45796</v>
      </c>
      <c r="D4478" t="inlineStr">
        <is>
          <t>SKÅNE LÄN</t>
        </is>
      </c>
      <c r="E4478" t="inlineStr">
        <is>
          <t>KRISTIANSTAD</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32718-2023</t>
        </is>
      </c>
      <c r="B4479" s="1" t="n">
        <v>45121</v>
      </c>
      <c r="C4479" s="1" t="n">
        <v>45796</v>
      </c>
      <c r="D4479" t="inlineStr">
        <is>
          <t>SKÅNE LÄN</t>
        </is>
      </c>
      <c r="E4479" t="inlineStr">
        <is>
          <t>KRISTIANSTAD</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32700-2023</t>
        </is>
      </c>
      <c r="B4480" s="1" t="n">
        <v>45121</v>
      </c>
      <c r="C4480" s="1" t="n">
        <v>45796</v>
      </c>
      <c r="D4480" t="inlineStr">
        <is>
          <t>SKÅNE LÄN</t>
        </is>
      </c>
      <c r="E4480" t="inlineStr">
        <is>
          <t>KRISTIANSTAD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32704-2023</t>
        </is>
      </c>
      <c r="B4481" s="1" t="n">
        <v>45121</v>
      </c>
      <c r="C4481" s="1" t="n">
        <v>45796</v>
      </c>
      <c r="D4481" t="inlineStr">
        <is>
          <t>SKÅNE LÄN</t>
        </is>
      </c>
      <c r="E4481" t="inlineStr">
        <is>
          <t>KRISTIANSTAD</t>
        </is>
      </c>
      <c r="F4481" t="inlineStr">
        <is>
          <t>Sveaskog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32708-2023</t>
        </is>
      </c>
      <c r="B4482" s="1" t="n">
        <v>45121</v>
      </c>
      <c r="C4482" s="1" t="n">
        <v>45796</v>
      </c>
      <c r="D4482" t="inlineStr">
        <is>
          <t>SKÅNE LÄN</t>
        </is>
      </c>
      <c r="E4482" t="inlineStr">
        <is>
          <t>KRISTIANSTAD</t>
        </is>
      </c>
      <c r="F4482" t="inlineStr">
        <is>
          <t>Sveaskog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32712-2023</t>
        </is>
      </c>
      <c r="B4483" s="1" t="n">
        <v>45121</v>
      </c>
      <c r="C4483" s="1" t="n">
        <v>45796</v>
      </c>
      <c r="D4483" t="inlineStr">
        <is>
          <t>SKÅNE LÄN</t>
        </is>
      </c>
      <c r="E4483" t="inlineStr">
        <is>
          <t>KRISTIANSTAD</t>
        </is>
      </c>
      <c r="F4483" t="inlineStr">
        <is>
          <t>Sveaskog</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32716-2023</t>
        </is>
      </c>
      <c r="B4484" s="1" t="n">
        <v>45121</v>
      </c>
      <c r="C4484" s="1" t="n">
        <v>45796</v>
      </c>
      <c r="D4484" t="inlineStr">
        <is>
          <t>SKÅNE LÄN</t>
        </is>
      </c>
      <c r="E4484" t="inlineStr">
        <is>
          <t>KRISTIANSTAD</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32701-2023</t>
        </is>
      </c>
      <c r="B4485" s="1" t="n">
        <v>45121</v>
      </c>
      <c r="C4485" s="1" t="n">
        <v>45796</v>
      </c>
      <c r="D4485" t="inlineStr">
        <is>
          <t>SKÅNE LÄN</t>
        </is>
      </c>
      <c r="E4485" t="inlineStr">
        <is>
          <t>KRISTIANSTAD</t>
        </is>
      </c>
      <c r="F4485" t="inlineStr">
        <is>
          <t>Sveaskog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32705-2023</t>
        </is>
      </c>
      <c r="B4486" s="1" t="n">
        <v>45121</v>
      </c>
      <c r="C4486" s="1" t="n">
        <v>45796</v>
      </c>
      <c r="D4486" t="inlineStr">
        <is>
          <t>SKÅNE LÄN</t>
        </is>
      </c>
      <c r="E4486" t="inlineStr">
        <is>
          <t>KRISTIANSTAD</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32709-2023</t>
        </is>
      </c>
      <c r="B4487" s="1" t="n">
        <v>45121</v>
      </c>
      <c r="C4487" s="1" t="n">
        <v>45796</v>
      </c>
      <c r="D4487" t="inlineStr">
        <is>
          <t>SKÅNE LÄN</t>
        </is>
      </c>
      <c r="E4487" t="inlineStr">
        <is>
          <t>KRISTIANSTAD</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32713-2023</t>
        </is>
      </c>
      <c r="B4488" s="1" t="n">
        <v>45121</v>
      </c>
      <c r="C4488" s="1" t="n">
        <v>45796</v>
      </c>
      <c r="D4488" t="inlineStr">
        <is>
          <t>SKÅNE LÄN</t>
        </is>
      </c>
      <c r="E4488" t="inlineStr">
        <is>
          <t>KRISTIANSTAD</t>
        </is>
      </c>
      <c r="F4488" t="inlineStr">
        <is>
          <t>Sveaskog</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32717-2023</t>
        </is>
      </c>
      <c r="B4489" s="1" t="n">
        <v>45121</v>
      </c>
      <c r="C4489" s="1" t="n">
        <v>45796</v>
      </c>
      <c r="D4489" t="inlineStr">
        <is>
          <t>SKÅNE LÄN</t>
        </is>
      </c>
      <c r="E4489" t="inlineStr">
        <is>
          <t>KRISTIANSTAD</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32514-2023</t>
        </is>
      </c>
      <c r="B4490" s="1" t="n">
        <v>45121</v>
      </c>
      <c r="C4490" s="1" t="n">
        <v>45796</v>
      </c>
      <c r="D4490" t="inlineStr">
        <is>
          <t>SKÅNE LÄN</t>
        </is>
      </c>
      <c r="E4490" t="inlineStr">
        <is>
          <t>ÖSTRA GÖINGE</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32707-2023</t>
        </is>
      </c>
      <c r="B4491" s="1" t="n">
        <v>45121</v>
      </c>
      <c r="C4491" s="1" t="n">
        <v>45796</v>
      </c>
      <c r="D4491" t="inlineStr">
        <is>
          <t>SKÅNE LÄN</t>
        </is>
      </c>
      <c r="E4491" t="inlineStr">
        <is>
          <t>KRISTIANSTAD</t>
        </is>
      </c>
      <c r="F4491" t="inlineStr">
        <is>
          <t>Sveaskog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32711-2023</t>
        </is>
      </c>
      <c r="B4492" s="1" t="n">
        <v>45121</v>
      </c>
      <c r="C4492" s="1" t="n">
        <v>45796</v>
      </c>
      <c r="D4492" t="inlineStr">
        <is>
          <t>SKÅNE LÄN</t>
        </is>
      </c>
      <c r="E4492" t="inlineStr">
        <is>
          <t>KRISTIANSTAD</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32715-2023</t>
        </is>
      </c>
      <c r="B4493" s="1" t="n">
        <v>45121</v>
      </c>
      <c r="C4493" s="1" t="n">
        <v>45796</v>
      </c>
      <c r="D4493" t="inlineStr">
        <is>
          <t>SKÅNE LÄN</t>
        </is>
      </c>
      <c r="E4493" t="inlineStr">
        <is>
          <t>KRISTIANSTAD</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32814-2023</t>
        </is>
      </c>
      <c r="B4494" s="1" t="n">
        <v>45124</v>
      </c>
      <c r="C4494" s="1" t="n">
        <v>45796</v>
      </c>
      <c r="D4494" t="inlineStr">
        <is>
          <t>SKÅNE LÄN</t>
        </is>
      </c>
      <c r="E4494" t="inlineStr">
        <is>
          <t>KRISTIANSTAD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32855-2023</t>
        </is>
      </c>
      <c r="B4495" s="1" t="n">
        <v>45124</v>
      </c>
      <c r="C4495" s="1" t="n">
        <v>45796</v>
      </c>
      <c r="D4495" t="inlineStr">
        <is>
          <t>SKÅNE LÄN</t>
        </is>
      </c>
      <c r="E4495" t="inlineStr">
        <is>
          <t>ÖRKELLJUNGA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32794-2023</t>
        </is>
      </c>
      <c r="B4496" s="1" t="n">
        <v>45124</v>
      </c>
      <c r="C4496" s="1" t="n">
        <v>45796</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32808-2023</t>
        </is>
      </c>
      <c r="B4497" s="1" t="n">
        <v>45124</v>
      </c>
      <c r="C4497" s="1" t="n">
        <v>45796</v>
      </c>
      <c r="D4497" t="inlineStr">
        <is>
          <t>SKÅNE LÄN</t>
        </is>
      </c>
      <c r="E4497" t="inlineStr">
        <is>
          <t>ÖSTRA GÖINGE</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32807-2023</t>
        </is>
      </c>
      <c r="B4498" s="1" t="n">
        <v>45124</v>
      </c>
      <c r="C4498" s="1" t="n">
        <v>45796</v>
      </c>
      <c r="D4498" t="inlineStr">
        <is>
          <t>SKÅNE LÄN</t>
        </is>
      </c>
      <c r="E4498" t="inlineStr">
        <is>
          <t>ÖSTRA GÖINGE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33938-2023</t>
        </is>
      </c>
      <c r="B4499" s="1" t="n">
        <v>45124</v>
      </c>
      <c r="C4499" s="1" t="n">
        <v>45796</v>
      </c>
      <c r="D4499" t="inlineStr">
        <is>
          <t>SKÅNE LÄN</t>
        </is>
      </c>
      <c r="E4499" t="inlineStr">
        <is>
          <t>HÄSSLEHOLM</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33949-2023</t>
        </is>
      </c>
      <c r="B4500" s="1" t="n">
        <v>45124</v>
      </c>
      <c r="C4500" s="1" t="n">
        <v>45796</v>
      </c>
      <c r="D4500" t="inlineStr">
        <is>
          <t>SKÅNE LÄN</t>
        </is>
      </c>
      <c r="E4500" t="inlineStr">
        <is>
          <t>KRISTIANSTAD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32967-2023</t>
        </is>
      </c>
      <c r="B4501" s="1" t="n">
        <v>45125</v>
      </c>
      <c r="C4501" s="1" t="n">
        <v>45796</v>
      </c>
      <c r="D4501" t="inlineStr">
        <is>
          <t>SKÅNE LÄN</t>
        </is>
      </c>
      <c r="E4501" t="inlineStr">
        <is>
          <t>HÄSSLEHOLM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33013-2023</t>
        </is>
      </c>
      <c r="B4502" s="1" t="n">
        <v>45125</v>
      </c>
      <c r="C4502" s="1" t="n">
        <v>45796</v>
      </c>
      <c r="D4502" t="inlineStr">
        <is>
          <t>SKÅNE LÄN</t>
        </is>
      </c>
      <c r="E4502" t="inlineStr">
        <is>
          <t>OSBY</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32968-2023</t>
        </is>
      </c>
      <c r="B4503" s="1" t="n">
        <v>45125</v>
      </c>
      <c r="C4503" s="1" t="n">
        <v>45796</v>
      </c>
      <c r="D4503" t="inlineStr">
        <is>
          <t>SKÅNE LÄN</t>
        </is>
      </c>
      <c r="E4503" t="inlineStr">
        <is>
          <t>HÄSSLEHOLM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32999-2023</t>
        </is>
      </c>
      <c r="B4504" s="1" t="n">
        <v>45125</v>
      </c>
      <c r="C4504" s="1" t="n">
        <v>45796</v>
      </c>
      <c r="D4504" t="inlineStr">
        <is>
          <t>SKÅNE LÄN</t>
        </is>
      </c>
      <c r="E4504" t="inlineStr">
        <is>
          <t>HÄSSLEHOLM</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33024-2023</t>
        </is>
      </c>
      <c r="B4505" s="1" t="n">
        <v>45125</v>
      </c>
      <c r="C4505" s="1" t="n">
        <v>45796</v>
      </c>
      <c r="D4505" t="inlineStr">
        <is>
          <t>SKÅNE LÄN</t>
        </is>
      </c>
      <c r="E4505" t="inlineStr">
        <is>
          <t>KRISTIANSTAD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32957-2023</t>
        </is>
      </c>
      <c r="B4506" s="1" t="n">
        <v>45125</v>
      </c>
      <c r="C4506" s="1" t="n">
        <v>45796</v>
      </c>
      <c r="D4506" t="inlineStr">
        <is>
          <t>SKÅNE LÄN</t>
        </is>
      </c>
      <c r="E4506" t="inlineStr">
        <is>
          <t>HÄSSLEHOLM</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32958-2023</t>
        </is>
      </c>
      <c r="B4507" s="1" t="n">
        <v>45125</v>
      </c>
      <c r="C4507" s="1" t="n">
        <v>45796</v>
      </c>
      <c r="D4507" t="inlineStr">
        <is>
          <t>SKÅNE LÄN</t>
        </is>
      </c>
      <c r="E4507" t="inlineStr">
        <is>
          <t>HÄSSLEHOLM</t>
        </is>
      </c>
      <c r="G4507" t="n">
        <v>7.9</v>
      </c>
      <c r="H4507" t="n">
        <v>0</v>
      </c>
      <c r="I4507" t="n">
        <v>0</v>
      </c>
      <c r="J4507" t="n">
        <v>0</v>
      </c>
      <c r="K4507" t="n">
        <v>0</v>
      </c>
      <c r="L4507" t="n">
        <v>0</v>
      </c>
      <c r="M4507" t="n">
        <v>0</v>
      </c>
      <c r="N4507" t="n">
        <v>0</v>
      </c>
      <c r="O4507" t="n">
        <v>0</v>
      </c>
      <c r="P4507" t="n">
        <v>0</v>
      </c>
      <c r="Q4507" t="n">
        <v>0</v>
      </c>
      <c r="R4507" s="2" t="inlineStr"/>
    </row>
    <row r="4508" ht="15" customHeight="1">
      <c r="A4508" t="inlineStr">
        <is>
          <t>A 33064-2023</t>
        </is>
      </c>
      <c r="B4508" s="1" t="n">
        <v>45126</v>
      </c>
      <c r="C4508" s="1" t="n">
        <v>45796</v>
      </c>
      <c r="D4508" t="inlineStr">
        <is>
          <t>SKÅNE LÄN</t>
        </is>
      </c>
      <c r="E4508" t="inlineStr">
        <is>
          <t>OSBY</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33095-2023</t>
        </is>
      </c>
      <c r="B4509" s="1" t="n">
        <v>45126</v>
      </c>
      <c r="C4509" s="1" t="n">
        <v>45796</v>
      </c>
      <c r="D4509" t="inlineStr">
        <is>
          <t>SKÅNE LÄN</t>
        </is>
      </c>
      <c r="E4509" t="inlineStr">
        <is>
          <t>HÄSSLEHOLM</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33056-2023</t>
        </is>
      </c>
      <c r="B4510" s="1" t="n">
        <v>45126</v>
      </c>
      <c r="C4510" s="1" t="n">
        <v>45796</v>
      </c>
      <c r="D4510" t="inlineStr">
        <is>
          <t>SKÅNE LÄN</t>
        </is>
      </c>
      <c r="E4510" t="inlineStr">
        <is>
          <t>HÄSSLEHOLM</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34216-2023</t>
        </is>
      </c>
      <c r="B4511" s="1" t="n">
        <v>45126</v>
      </c>
      <c r="C4511" s="1" t="n">
        <v>45796</v>
      </c>
      <c r="D4511" t="inlineStr">
        <is>
          <t>SKÅNE LÄN</t>
        </is>
      </c>
      <c r="E4511" t="inlineStr">
        <is>
          <t>BROMÖLLA</t>
        </is>
      </c>
      <c r="F4511" t="inlineStr">
        <is>
          <t>Kyrkan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33188-2023</t>
        </is>
      </c>
      <c r="B4512" s="1" t="n">
        <v>45127</v>
      </c>
      <c r="C4512" s="1" t="n">
        <v>45796</v>
      </c>
      <c r="D4512" t="inlineStr">
        <is>
          <t>SKÅNE LÄN</t>
        </is>
      </c>
      <c r="E4512" t="inlineStr">
        <is>
          <t>ÄNGELHOLM</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33290-2023</t>
        </is>
      </c>
      <c r="B4513" s="1" t="n">
        <v>45127</v>
      </c>
      <c r="C4513" s="1" t="n">
        <v>45796</v>
      </c>
      <c r="D4513" t="inlineStr">
        <is>
          <t>SKÅNE LÄN</t>
        </is>
      </c>
      <c r="E4513" t="inlineStr">
        <is>
          <t>KRISTIANSTAD</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33255-2023</t>
        </is>
      </c>
      <c r="B4514" s="1" t="n">
        <v>45127</v>
      </c>
      <c r="C4514" s="1" t="n">
        <v>45796</v>
      </c>
      <c r="D4514" t="inlineStr">
        <is>
          <t>SKÅNE LÄN</t>
        </is>
      </c>
      <c r="E4514" t="inlineStr">
        <is>
          <t>BROMÖLLA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33320-2023</t>
        </is>
      </c>
      <c r="B4515" s="1" t="n">
        <v>45127</v>
      </c>
      <c r="C4515" s="1" t="n">
        <v>45796</v>
      </c>
      <c r="D4515" t="inlineStr">
        <is>
          <t>SKÅNE LÄN</t>
        </is>
      </c>
      <c r="E4515" t="inlineStr">
        <is>
          <t>KRISTIANSTAD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33362-2023</t>
        </is>
      </c>
      <c r="B4516" s="1" t="n">
        <v>45128</v>
      </c>
      <c r="C4516" s="1" t="n">
        <v>45796</v>
      </c>
      <c r="D4516" t="inlineStr">
        <is>
          <t>SKÅNE LÄN</t>
        </is>
      </c>
      <c r="E4516" t="inlineStr">
        <is>
          <t>KRISTIANSTAD</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33358-2023</t>
        </is>
      </c>
      <c r="B4517" s="1" t="n">
        <v>45128</v>
      </c>
      <c r="C4517" s="1" t="n">
        <v>45796</v>
      </c>
      <c r="D4517" t="inlineStr">
        <is>
          <t>SKÅNE LÄN</t>
        </is>
      </c>
      <c r="E4517" t="inlineStr">
        <is>
          <t>HÖRBY</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33407-2023</t>
        </is>
      </c>
      <c r="B4518" s="1" t="n">
        <v>45128</v>
      </c>
      <c r="C4518" s="1" t="n">
        <v>45796</v>
      </c>
      <c r="D4518" t="inlineStr">
        <is>
          <t>SKÅNE LÄN</t>
        </is>
      </c>
      <c r="E4518" t="inlineStr">
        <is>
          <t>OSBY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33359-2023</t>
        </is>
      </c>
      <c r="B4519" s="1" t="n">
        <v>45128</v>
      </c>
      <c r="C4519" s="1" t="n">
        <v>45796</v>
      </c>
      <c r="D4519" t="inlineStr">
        <is>
          <t>SKÅNE LÄN</t>
        </is>
      </c>
      <c r="E4519" t="inlineStr">
        <is>
          <t>HÖRBY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33409-2023</t>
        </is>
      </c>
      <c r="B4520" s="1" t="n">
        <v>45128</v>
      </c>
      <c r="C4520" s="1" t="n">
        <v>45796</v>
      </c>
      <c r="D4520" t="inlineStr">
        <is>
          <t>SKÅNE LÄN</t>
        </is>
      </c>
      <c r="E4520" t="inlineStr">
        <is>
          <t>OSBY</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33403-2023</t>
        </is>
      </c>
      <c r="B4521" s="1" t="n">
        <v>45128</v>
      </c>
      <c r="C4521" s="1" t="n">
        <v>45796</v>
      </c>
      <c r="D4521" t="inlineStr">
        <is>
          <t>SKÅNE LÄN</t>
        </is>
      </c>
      <c r="E4521" t="inlineStr">
        <is>
          <t>OSBY</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33471-2023</t>
        </is>
      </c>
      <c r="B4522" s="1" t="n">
        <v>45131</v>
      </c>
      <c r="C4522" s="1" t="n">
        <v>45796</v>
      </c>
      <c r="D4522" t="inlineStr">
        <is>
          <t>SKÅNE LÄN</t>
        </is>
      </c>
      <c r="E4522" t="inlineStr">
        <is>
          <t>OSBY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33520-2023</t>
        </is>
      </c>
      <c r="B4523" s="1" t="n">
        <v>45131</v>
      </c>
      <c r="C4523" s="1" t="n">
        <v>45796</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33474-2023</t>
        </is>
      </c>
      <c r="B4524" s="1" t="n">
        <v>45131</v>
      </c>
      <c r="C4524" s="1" t="n">
        <v>45796</v>
      </c>
      <c r="D4524" t="inlineStr">
        <is>
          <t>SKÅNE LÄN</t>
        </is>
      </c>
      <c r="E4524" t="inlineStr">
        <is>
          <t>OSBY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33473-2023</t>
        </is>
      </c>
      <c r="B4525" s="1" t="n">
        <v>45131</v>
      </c>
      <c r="C4525" s="1" t="n">
        <v>45796</v>
      </c>
      <c r="D4525" t="inlineStr">
        <is>
          <t>SKÅNE LÄN</t>
        </is>
      </c>
      <c r="E4525" t="inlineStr">
        <is>
          <t>OSBY</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33597-2023</t>
        </is>
      </c>
      <c r="B4526" s="1" t="n">
        <v>45132</v>
      </c>
      <c r="C4526" s="1" t="n">
        <v>45796</v>
      </c>
      <c r="D4526" t="inlineStr">
        <is>
          <t>SKÅNE LÄN</t>
        </is>
      </c>
      <c r="E4526" t="inlineStr">
        <is>
          <t>HÄSSLEHOLM</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33598-2023</t>
        </is>
      </c>
      <c r="B4527" s="1" t="n">
        <v>45132</v>
      </c>
      <c r="C4527" s="1" t="n">
        <v>45796</v>
      </c>
      <c r="D4527" t="inlineStr">
        <is>
          <t>SKÅNE LÄN</t>
        </is>
      </c>
      <c r="E4527" t="inlineStr">
        <is>
          <t>HÄSSLEHOLM</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33592-2023</t>
        </is>
      </c>
      <c r="B4528" s="1" t="n">
        <v>45132</v>
      </c>
      <c r="C4528" s="1" t="n">
        <v>45796</v>
      </c>
      <c r="D4528" t="inlineStr">
        <is>
          <t>SKÅNE LÄN</t>
        </is>
      </c>
      <c r="E4528" t="inlineStr">
        <is>
          <t>KRISTIANSTAD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33599-2023</t>
        </is>
      </c>
      <c r="B4529" s="1" t="n">
        <v>45132</v>
      </c>
      <c r="C4529" s="1" t="n">
        <v>45796</v>
      </c>
      <c r="D4529" t="inlineStr">
        <is>
          <t>SKÅNE LÄN</t>
        </is>
      </c>
      <c r="E4529" t="inlineStr">
        <is>
          <t>HÄSSLEHOLM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33796-2023</t>
        </is>
      </c>
      <c r="B4530" s="1" t="n">
        <v>45133</v>
      </c>
      <c r="C4530" s="1" t="n">
        <v>45796</v>
      </c>
      <c r="D4530" t="inlineStr">
        <is>
          <t>SKÅNE LÄN</t>
        </is>
      </c>
      <c r="E4530" t="inlineStr">
        <is>
          <t>ÖRKELLJUNGA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33787-2023</t>
        </is>
      </c>
      <c r="B4531" s="1" t="n">
        <v>45133</v>
      </c>
      <c r="C4531" s="1" t="n">
        <v>45796</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33789-2023</t>
        </is>
      </c>
      <c r="B4532" s="1" t="n">
        <v>45133</v>
      </c>
      <c r="C4532" s="1" t="n">
        <v>45796</v>
      </c>
      <c r="D4532" t="inlineStr">
        <is>
          <t>SKÅNE LÄN</t>
        </is>
      </c>
      <c r="E4532" t="inlineStr">
        <is>
          <t>ÖRKELLJUNGA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33988-2023</t>
        </is>
      </c>
      <c r="B4533" s="1" t="n">
        <v>45134</v>
      </c>
      <c r="C4533" s="1" t="n">
        <v>45796</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34536-2023</t>
        </is>
      </c>
      <c r="B4534" s="1" t="n">
        <v>45134</v>
      </c>
      <c r="C4534" s="1" t="n">
        <v>45796</v>
      </c>
      <c r="D4534" t="inlineStr">
        <is>
          <t>SKÅNE LÄN</t>
        </is>
      </c>
      <c r="E4534" t="inlineStr">
        <is>
          <t>HÖÖR</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34018-2023</t>
        </is>
      </c>
      <c r="B4535" s="1" t="n">
        <v>45135</v>
      </c>
      <c r="C4535" s="1" t="n">
        <v>45796</v>
      </c>
      <c r="D4535" t="inlineStr">
        <is>
          <t>SKÅNE LÄN</t>
        </is>
      </c>
      <c r="E4535" t="inlineStr">
        <is>
          <t>OSBY</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34187-2023</t>
        </is>
      </c>
      <c r="B4536" s="1" t="n">
        <v>45138</v>
      </c>
      <c r="C4536" s="1" t="n">
        <v>45796</v>
      </c>
      <c r="D4536" t="inlineStr">
        <is>
          <t>SKÅNE LÄN</t>
        </is>
      </c>
      <c r="E4536" t="inlineStr">
        <is>
          <t>HÄSSLEHOLM</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34257-2023</t>
        </is>
      </c>
      <c r="B4537" s="1" t="n">
        <v>45138</v>
      </c>
      <c r="C4537" s="1" t="n">
        <v>45796</v>
      </c>
      <c r="D4537" t="inlineStr">
        <is>
          <t>SKÅNE LÄN</t>
        </is>
      </c>
      <c r="E4537" t="inlineStr">
        <is>
          <t>ÖSTRA GÖINGE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34170-2023</t>
        </is>
      </c>
      <c r="B4538" s="1" t="n">
        <v>45138</v>
      </c>
      <c r="C4538" s="1" t="n">
        <v>45796</v>
      </c>
      <c r="D4538" t="inlineStr">
        <is>
          <t>SKÅNE LÄN</t>
        </is>
      </c>
      <c r="E4538" t="inlineStr">
        <is>
          <t>ESLÖV</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34279-2023</t>
        </is>
      </c>
      <c r="B4539" s="1" t="n">
        <v>45138</v>
      </c>
      <c r="C4539" s="1" t="n">
        <v>45796</v>
      </c>
      <c r="D4539" t="inlineStr">
        <is>
          <t>SKÅNE LÄN</t>
        </is>
      </c>
      <c r="E4539" t="inlineStr">
        <is>
          <t>ÖRKELLJUNGA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34256-2023</t>
        </is>
      </c>
      <c r="B4540" s="1" t="n">
        <v>45138</v>
      </c>
      <c r="C4540" s="1" t="n">
        <v>45796</v>
      </c>
      <c r="D4540" t="inlineStr">
        <is>
          <t>SKÅNE LÄN</t>
        </is>
      </c>
      <c r="E4540" t="inlineStr">
        <is>
          <t>ÖSTRA GÖINGE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34254-2023</t>
        </is>
      </c>
      <c r="B4541" s="1" t="n">
        <v>45138</v>
      </c>
      <c r="C4541" s="1" t="n">
        <v>45796</v>
      </c>
      <c r="D4541" t="inlineStr">
        <is>
          <t>SKÅNE LÄN</t>
        </is>
      </c>
      <c r="E4541" t="inlineStr">
        <is>
          <t>ÖSTRA GÖINGE</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34369-2023</t>
        </is>
      </c>
      <c r="B4542" s="1" t="n">
        <v>45139</v>
      </c>
      <c r="C4542" s="1" t="n">
        <v>45796</v>
      </c>
      <c r="D4542" t="inlineStr">
        <is>
          <t>SKÅNE LÄN</t>
        </is>
      </c>
      <c r="E4542" t="inlineStr">
        <is>
          <t>HÄSSLEHOLM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34649-2023</t>
        </is>
      </c>
      <c r="B4543" s="1" t="n">
        <v>45139</v>
      </c>
      <c r="C4543" s="1" t="n">
        <v>45796</v>
      </c>
      <c r="D4543" t="inlineStr">
        <is>
          <t>SKÅNE LÄN</t>
        </is>
      </c>
      <c r="E4543" t="inlineStr">
        <is>
          <t>ÖSTRA GÖINGE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34725-2023</t>
        </is>
      </c>
      <c r="B4544" s="1" t="n">
        <v>45139</v>
      </c>
      <c r="C4544" s="1" t="n">
        <v>45796</v>
      </c>
      <c r="D4544" t="inlineStr">
        <is>
          <t>SKÅNE LÄN</t>
        </is>
      </c>
      <c r="E4544" t="inlineStr">
        <is>
          <t>ÖSTRA GÖINGE</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34466-2023</t>
        </is>
      </c>
      <c r="B4545" s="1" t="n">
        <v>45139</v>
      </c>
      <c r="C4545" s="1" t="n">
        <v>45796</v>
      </c>
      <c r="D4545" t="inlineStr">
        <is>
          <t>SKÅNE LÄN</t>
        </is>
      </c>
      <c r="E4545" t="inlineStr">
        <is>
          <t>ESLÖV</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34468-2023</t>
        </is>
      </c>
      <c r="B4546" s="1" t="n">
        <v>45139</v>
      </c>
      <c r="C4546" s="1" t="n">
        <v>45796</v>
      </c>
      <c r="D4546" t="inlineStr">
        <is>
          <t>SKÅNE LÄN</t>
        </is>
      </c>
      <c r="E4546" t="inlineStr">
        <is>
          <t>ESLÖV</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34722-2023</t>
        </is>
      </c>
      <c r="B4547" s="1" t="n">
        <v>45139</v>
      </c>
      <c r="C4547" s="1" t="n">
        <v>45796</v>
      </c>
      <c r="D4547" t="inlineStr">
        <is>
          <t>SKÅNE LÄN</t>
        </is>
      </c>
      <c r="E4547" t="inlineStr">
        <is>
          <t>ÖSTRA GÖINGE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34514-2023</t>
        </is>
      </c>
      <c r="B4548" s="1" t="n">
        <v>45140</v>
      </c>
      <c r="C4548" s="1" t="n">
        <v>45796</v>
      </c>
      <c r="D4548" t="inlineStr">
        <is>
          <t>SKÅNE LÄN</t>
        </is>
      </c>
      <c r="E4548" t="inlineStr">
        <is>
          <t>ÄNGELHOLM</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34522-2023</t>
        </is>
      </c>
      <c r="B4549" s="1" t="n">
        <v>45140</v>
      </c>
      <c r="C4549" s="1" t="n">
        <v>45796</v>
      </c>
      <c r="D4549" t="inlineStr">
        <is>
          <t>SKÅNE LÄN</t>
        </is>
      </c>
      <c r="E4549" t="inlineStr">
        <is>
          <t>ÖRKELLJUNGA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34579-2023</t>
        </is>
      </c>
      <c r="B4550" s="1" t="n">
        <v>45140</v>
      </c>
      <c r="C4550" s="1" t="n">
        <v>45796</v>
      </c>
      <c r="D4550" t="inlineStr">
        <is>
          <t>SKÅNE LÄN</t>
        </is>
      </c>
      <c r="E4550" t="inlineStr">
        <is>
          <t>OSBY</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34516-2023</t>
        </is>
      </c>
      <c r="B4551" s="1" t="n">
        <v>45140</v>
      </c>
      <c r="C4551" s="1" t="n">
        <v>45796</v>
      </c>
      <c r="D4551" t="inlineStr">
        <is>
          <t>SKÅNE LÄN</t>
        </is>
      </c>
      <c r="E4551" t="inlineStr">
        <is>
          <t>ÖRKELLJUNGA</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34513-2023</t>
        </is>
      </c>
      <c r="B4552" s="1" t="n">
        <v>45140</v>
      </c>
      <c r="C4552" s="1" t="n">
        <v>45796</v>
      </c>
      <c r="D4552" t="inlineStr">
        <is>
          <t>SKÅNE LÄN</t>
        </is>
      </c>
      <c r="E4552" t="inlineStr">
        <is>
          <t>ÄNGELHOLM</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34517-2023</t>
        </is>
      </c>
      <c r="B4553" s="1" t="n">
        <v>45140</v>
      </c>
      <c r="C4553" s="1" t="n">
        <v>45796</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34520-2023</t>
        </is>
      </c>
      <c r="B4554" s="1" t="n">
        <v>45140</v>
      </c>
      <c r="C4554" s="1" t="n">
        <v>45796</v>
      </c>
      <c r="D4554" t="inlineStr">
        <is>
          <t>SKÅNE LÄN</t>
        </is>
      </c>
      <c r="E4554" t="inlineStr">
        <is>
          <t>ÖRKELLJUNGA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34521-2023</t>
        </is>
      </c>
      <c r="B4555" s="1" t="n">
        <v>45140</v>
      </c>
      <c r="C4555" s="1" t="n">
        <v>45796</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34591-2023</t>
        </is>
      </c>
      <c r="B4556" s="1" t="n">
        <v>45140</v>
      </c>
      <c r="C4556" s="1" t="n">
        <v>45796</v>
      </c>
      <c r="D4556" t="inlineStr">
        <is>
          <t>SKÅNE LÄN</t>
        </is>
      </c>
      <c r="E4556" t="inlineStr">
        <is>
          <t>ÖRKELLJUNGA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34565-2023</t>
        </is>
      </c>
      <c r="B4557" s="1" t="n">
        <v>45140</v>
      </c>
      <c r="C4557" s="1" t="n">
        <v>45796</v>
      </c>
      <c r="D4557" t="inlineStr">
        <is>
          <t>SKÅNE LÄN</t>
        </is>
      </c>
      <c r="E4557" t="inlineStr">
        <is>
          <t>OSBY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34581-2023</t>
        </is>
      </c>
      <c r="B4558" s="1" t="n">
        <v>45140</v>
      </c>
      <c r="C4558" s="1" t="n">
        <v>45796</v>
      </c>
      <c r="D4558" t="inlineStr">
        <is>
          <t>SKÅNE LÄN</t>
        </is>
      </c>
      <c r="E4558" t="inlineStr">
        <is>
          <t>OSBY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34595-2023</t>
        </is>
      </c>
      <c r="B4559" s="1" t="n">
        <v>45140</v>
      </c>
      <c r="C4559" s="1" t="n">
        <v>45796</v>
      </c>
      <c r="D4559" t="inlineStr">
        <is>
          <t>SKÅNE LÄN</t>
        </is>
      </c>
      <c r="E4559" t="inlineStr">
        <is>
          <t>ÖRKELLJUNGA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34601-2023</t>
        </is>
      </c>
      <c r="B4560" s="1" t="n">
        <v>45140</v>
      </c>
      <c r="C4560" s="1" t="n">
        <v>45796</v>
      </c>
      <c r="D4560" t="inlineStr">
        <is>
          <t>SKÅNE LÄN</t>
        </is>
      </c>
      <c r="E4560" t="inlineStr">
        <is>
          <t>ÖRKELLJUNGA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34776-2023</t>
        </is>
      </c>
      <c r="B4561" s="1" t="n">
        <v>45140</v>
      </c>
      <c r="C4561" s="1" t="n">
        <v>45796</v>
      </c>
      <c r="D4561" t="inlineStr">
        <is>
          <t>SKÅNE LÄN</t>
        </is>
      </c>
      <c r="E4561" t="inlineStr">
        <is>
          <t>SJÖBO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34764-2023</t>
        </is>
      </c>
      <c r="B4562" s="1" t="n">
        <v>45141</v>
      </c>
      <c r="C4562" s="1" t="n">
        <v>45796</v>
      </c>
      <c r="D4562" t="inlineStr">
        <is>
          <t>SKÅNE LÄN</t>
        </is>
      </c>
      <c r="E4562" t="inlineStr">
        <is>
          <t>BROMÖLLA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34793-2023</t>
        </is>
      </c>
      <c r="B4563" s="1" t="n">
        <v>45141</v>
      </c>
      <c r="C4563" s="1" t="n">
        <v>45796</v>
      </c>
      <c r="D4563" t="inlineStr">
        <is>
          <t>SKÅNE LÄN</t>
        </is>
      </c>
      <c r="E4563" t="inlineStr">
        <is>
          <t>ÖSTRA GÖINGE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34723-2023</t>
        </is>
      </c>
      <c r="B4564" s="1" t="n">
        <v>45141</v>
      </c>
      <c r="C4564" s="1" t="n">
        <v>45796</v>
      </c>
      <c r="D4564" t="inlineStr">
        <is>
          <t>SKÅNE LÄN</t>
        </is>
      </c>
      <c r="E4564" t="inlineStr">
        <is>
          <t>KRISTIANSTAD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34810-2023</t>
        </is>
      </c>
      <c r="B4565" s="1" t="n">
        <v>45141</v>
      </c>
      <c r="C4565" s="1" t="n">
        <v>45796</v>
      </c>
      <c r="D4565" t="inlineStr">
        <is>
          <t>SKÅNE LÄN</t>
        </is>
      </c>
      <c r="E4565" t="inlineStr">
        <is>
          <t>SVALÖV</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34934-2023</t>
        </is>
      </c>
      <c r="B4566" s="1" t="n">
        <v>45141</v>
      </c>
      <c r="C4566" s="1" t="n">
        <v>45796</v>
      </c>
      <c r="D4566" t="inlineStr">
        <is>
          <t>SKÅNE LÄN</t>
        </is>
      </c>
      <c r="E4566" t="inlineStr">
        <is>
          <t>OSBY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34966-2023</t>
        </is>
      </c>
      <c r="B4567" s="1" t="n">
        <v>45141</v>
      </c>
      <c r="C4567" s="1" t="n">
        <v>45796</v>
      </c>
      <c r="D4567" t="inlineStr">
        <is>
          <t>SKÅNE LÄN</t>
        </is>
      </c>
      <c r="E4567" t="inlineStr">
        <is>
          <t>OSBY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34924-2023</t>
        </is>
      </c>
      <c r="B4568" s="1" t="n">
        <v>45141</v>
      </c>
      <c r="C4568" s="1" t="n">
        <v>45796</v>
      </c>
      <c r="D4568" t="inlineStr">
        <is>
          <t>SKÅNE LÄN</t>
        </is>
      </c>
      <c r="E4568" t="inlineStr">
        <is>
          <t>OSBY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34972-2023</t>
        </is>
      </c>
      <c r="B4569" s="1" t="n">
        <v>45141</v>
      </c>
      <c r="C4569" s="1" t="n">
        <v>45796</v>
      </c>
      <c r="D4569" t="inlineStr">
        <is>
          <t>SKÅNE LÄN</t>
        </is>
      </c>
      <c r="E4569" t="inlineStr">
        <is>
          <t>OSBY</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34724-2023</t>
        </is>
      </c>
      <c r="B4570" s="1" t="n">
        <v>45141</v>
      </c>
      <c r="C4570" s="1" t="n">
        <v>45796</v>
      </c>
      <c r="D4570" t="inlineStr">
        <is>
          <t>SKÅNE LÄN</t>
        </is>
      </c>
      <c r="E4570" t="inlineStr">
        <is>
          <t>KRISTIANSTAD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34730-2023</t>
        </is>
      </c>
      <c r="B4571" s="1" t="n">
        <v>45141</v>
      </c>
      <c r="C4571" s="1" t="n">
        <v>45796</v>
      </c>
      <c r="D4571" t="inlineStr">
        <is>
          <t>SKÅNE LÄN</t>
        </is>
      </c>
      <c r="E4571" t="inlineStr">
        <is>
          <t>KRISTIANSTAD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34834-2023</t>
        </is>
      </c>
      <c r="B4572" s="1" t="n">
        <v>45141</v>
      </c>
      <c r="C4572" s="1" t="n">
        <v>45796</v>
      </c>
      <c r="D4572" t="inlineStr">
        <is>
          <t>SKÅNE LÄN</t>
        </is>
      </c>
      <c r="E4572" t="inlineStr">
        <is>
          <t>HÄSSLEHOLM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34948-2023</t>
        </is>
      </c>
      <c r="B4573" s="1" t="n">
        <v>45141</v>
      </c>
      <c r="C4573" s="1" t="n">
        <v>45796</v>
      </c>
      <c r="D4573" t="inlineStr">
        <is>
          <t>SKÅNE LÄN</t>
        </is>
      </c>
      <c r="E4573" t="inlineStr">
        <is>
          <t>OSBY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34813-2023</t>
        </is>
      </c>
      <c r="B4574" s="1" t="n">
        <v>45141</v>
      </c>
      <c r="C4574" s="1" t="n">
        <v>45796</v>
      </c>
      <c r="D4574" t="inlineStr">
        <is>
          <t>SKÅNE LÄN</t>
        </is>
      </c>
      <c r="E4574" t="inlineStr">
        <is>
          <t>SVALÖV</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34832-2023</t>
        </is>
      </c>
      <c r="B4575" s="1" t="n">
        <v>45141</v>
      </c>
      <c r="C4575" s="1" t="n">
        <v>45796</v>
      </c>
      <c r="D4575" t="inlineStr">
        <is>
          <t>SKÅNE LÄN</t>
        </is>
      </c>
      <c r="E4575" t="inlineStr">
        <is>
          <t>BROMÖLLA</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34968-2023</t>
        </is>
      </c>
      <c r="B4576" s="1" t="n">
        <v>45141</v>
      </c>
      <c r="C4576" s="1" t="n">
        <v>45796</v>
      </c>
      <c r="D4576" t="inlineStr">
        <is>
          <t>SKÅNE LÄN</t>
        </is>
      </c>
      <c r="E4576" t="inlineStr">
        <is>
          <t>OSBY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34876-2023</t>
        </is>
      </c>
      <c r="B4577" s="1" t="n">
        <v>45142</v>
      </c>
      <c r="C4577" s="1" t="n">
        <v>45796</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34884-2023</t>
        </is>
      </c>
      <c r="B4578" s="1" t="n">
        <v>45142</v>
      </c>
      <c r="C4578" s="1" t="n">
        <v>45796</v>
      </c>
      <c r="D4578" t="inlineStr">
        <is>
          <t>SKÅNE LÄN</t>
        </is>
      </c>
      <c r="E4578" t="inlineStr">
        <is>
          <t>HÄSSLEHOLM</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34890-2023</t>
        </is>
      </c>
      <c r="B4579" s="1" t="n">
        <v>45142</v>
      </c>
      <c r="C4579" s="1" t="n">
        <v>45796</v>
      </c>
      <c r="D4579" t="inlineStr">
        <is>
          <t>SKÅNE LÄN</t>
        </is>
      </c>
      <c r="E4579" t="inlineStr">
        <is>
          <t>HÄSSLEHOLM</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34874-2023</t>
        </is>
      </c>
      <c r="B4580" s="1" t="n">
        <v>45142</v>
      </c>
      <c r="C4580" s="1" t="n">
        <v>45796</v>
      </c>
      <c r="D4580" t="inlineStr">
        <is>
          <t>SKÅNE LÄN</t>
        </is>
      </c>
      <c r="E4580" t="inlineStr">
        <is>
          <t>SJÖBO</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34886-2023</t>
        </is>
      </c>
      <c r="B4581" s="1" t="n">
        <v>45142</v>
      </c>
      <c r="C4581" s="1" t="n">
        <v>45796</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34887-2023</t>
        </is>
      </c>
      <c r="B4582" s="1" t="n">
        <v>45142</v>
      </c>
      <c r="C4582" s="1" t="n">
        <v>45796</v>
      </c>
      <c r="D4582" t="inlineStr">
        <is>
          <t>SKÅNE LÄN</t>
        </is>
      </c>
      <c r="E4582" t="inlineStr">
        <is>
          <t>HÄSSLEHOLM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34931-2023</t>
        </is>
      </c>
      <c r="B4583" s="1" t="n">
        <v>45142</v>
      </c>
      <c r="C4583" s="1" t="n">
        <v>45796</v>
      </c>
      <c r="D4583" t="inlineStr">
        <is>
          <t>SKÅNE LÄN</t>
        </is>
      </c>
      <c r="E4583" t="inlineStr">
        <is>
          <t>ÖSTRA GÖINGE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34883-2023</t>
        </is>
      </c>
      <c r="B4584" s="1" t="n">
        <v>45142</v>
      </c>
      <c r="C4584" s="1" t="n">
        <v>45796</v>
      </c>
      <c r="D4584" t="inlineStr">
        <is>
          <t>SKÅNE LÄN</t>
        </is>
      </c>
      <c r="E4584" t="inlineStr">
        <is>
          <t>HÄSSLEHOLM</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34888-2023</t>
        </is>
      </c>
      <c r="B4585" s="1" t="n">
        <v>45142</v>
      </c>
      <c r="C4585" s="1" t="n">
        <v>45796</v>
      </c>
      <c r="D4585" t="inlineStr">
        <is>
          <t>SKÅNE LÄN</t>
        </is>
      </c>
      <c r="E4585" t="inlineStr">
        <is>
          <t>HÄSSLEHOLM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34976-2023</t>
        </is>
      </c>
      <c r="B4586" s="1" t="n">
        <v>45142</v>
      </c>
      <c r="C4586" s="1" t="n">
        <v>45796</v>
      </c>
      <c r="D4586" t="inlineStr">
        <is>
          <t>SKÅNE LÄN</t>
        </is>
      </c>
      <c r="E4586" t="inlineStr">
        <is>
          <t>ÖSTRA GÖINGE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34987-2023</t>
        </is>
      </c>
      <c r="B4587" s="1" t="n">
        <v>45142</v>
      </c>
      <c r="C4587" s="1" t="n">
        <v>45796</v>
      </c>
      <c r="D4587" t="inlineStr">
        <is>
          <t>SKÅNE LÄN</t>
        </is>
      </c>
      <c r="E4587" t="inlineStr">
        <is>
          <t>ÖSTRA GÖINGE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35022-2023</t>
        </is>
      </c>
      <c r="B4588" s="1" t="n">
        <v>45144</v>
      </c>
      <c r="C4588" s="1" t="n">
        <v>45796</v>
      </c>
      <c r="D4588" t="inlineStr">
        <is>
          <t>SKÅNE LÄN</t>
        </is>
      </c>
      <c r="E4588" t="inlineStr">
        <is>
          <t>KRISTIANSTAD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35026-2023</t>
        </is>
      </c>
      <c r="B4589" s="1" t="n">
        <v>45144</v>
      </c>
      <c r="C4589" s="1" t="n">
        <v>45796</v>
      </c>
      <c r="D4589" t="inlineStr">
        <is>
          <t>SKÅNE LÄN</t>
        </is>
      </c>
      <c r="E4589" t="inlineStr">
        <is>
          <t>KRISTIANSTAD</t>
        </is>
      </c>
      <c r="F4589" t="inlineStr">
        <is>
          <t>Övriga Aktiebolag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35023-2023</t>
        </is>
      </c>
      <c r="B4590" s="1" t="n">
        <v>45144</v>
      </c>
      <c r="C4590" s="1" t="n">
        <v>45796</v>
      </c>
      <c r="D4590" t="inlineStr">
        <is>
          <t>SKÅNE LÄN</t>
        </is>
      </c>
      <c r="E4590" t="inlineStr">
        <is>
          <t>KRISTIANSTAD</t>
        </is>
      </c>
      <c r="F4590" t="inlineStr">
        <is>
          <t>Övriga Aktiebolag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35024-2023</t>
        </is>
      </c>
      <c r="B4591" s="1" t="n">
        <v>45144</v>
      </c>
      <c r="C4591" s="1" t="n">
        <v>45796</v>
      </c>
      <c r="D4591" t="inlineStr">
        <is>
          <t>SKÅNE LÄN</t>
        </is>
      </c>
      <c r="E4591" t="inlineStr">
        <is>
          <t>KRISTIANSTAD</t>
        </is>
      </c>
      <c r="F4591" t="inlineStr">
        <is>
          <t>Övriga Aktiebolag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35034-2023</t>
        </is>
      </c>
      <c r="B4592" s="1" t="n">
        <v>45145</v>
      </c>
      <c r="C4592" s="1" t="n">
        <v>45796</v>
      </c>
      <c r="D4592" t="inlineStr">
        <is>
          <t>SKÅNE LÄN</t>
        </is>
      </c>
      <c r="E4592" t="inlineStr">
        <is>
          <t>BROMÖLLA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35082-2023</t>
        </is>
      </c>
      <c r="B4593" s="1" t="n">
        <v>45145</v>
      </c>
      <c r="C4593" s="1" t="n">
        <v>45796</v>
      </c>
      <c r="D4593" t="inlineStr">
        <is>
          <t>SKÅNE LÄN</t>
        </is>
      </c>
      <c r="E4593" t="inlineStr">
        <is>
          <t>HÄSSLEHOLM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35150-2023</t>
        </is>
      </c>
      <c r="B4594" s="1" t="n">
        <v>45145</v>
      </c>
      <c r="C4594" s="1" t="n">
        <v>45796</v>
      </c>
      <c r="D4594" t="inlineStr">
        <is>
          <t>SKÅNE LÄN</t>
        </is>
      </c>
      <c r="E4594" t="inlineStr">
        <is>
          <t>HÄSSLEHOLM</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35194-2023</t>
        </is>
      </c>
      <c r="B4595" s="1" t="n">
        <v>45145</v>
      </c>
      <c r="C4595" s="1" t="n">
        <v>45796</v>
      </c>
      <c r="D4595" t="inlineStr">
        <is>
          <t>SKÅNE LÄN</t>
        </is>
      </c>
      <c r="E4595" t="inlineStr">
        <is>
          <t>PERSTORP</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35089-2023</t>
        </is>
      </c>
      <c r="B4596" s="1" t="n">
        <v>45145</v>
      </c>
      <c r="C4596" s="1" t="n">
        <v>45796</v>
      </c>
      <c r="D4596" t="inlineStr">
        <is>
          <t>SKÅNE LÄN</t>
        </is>
      </c>
      <c r="E4596" t="inlineStr">
        <is>
          <t>HÄSSLEHOLM</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35237-2023</t>
        </is>
      </c>
      <c r="B4597" s="1" t="n">
        <v>45145</v>
      </c>
      <c r="C4597" s="1" t="n">
        <v>45796</v>
      </c>
      <c r="D4597" t="inlineStr">
        <is>
          <t>SKÅNE LÄN</t>
        </is>
      </c>
      <c r="E4597" t="inlineStr">
        <is>
          <t>HÄSSLEHOLM</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35085-2023</t>
        </is>
      </c>
      <c r="B4598" s="1" t="n">
        <v>45145</v>
      </c>
      <c r="C4598" s="1" t="n">
        <v>45796</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35108-2023</t>
        </is>
      </c>
      <c r="B4599" s="1" t="n">
        <v>45145</v>
      </c>
      <c r="C4599" s="1" t="n">
        <v>45796</v>
      </c>
      <c r="D4599" t="inlineStr">
        <is>
          <t>SKÅNE LÄN</t>
        </is>
      </c>
      <c r="E4599" t="inlineStr">
        <is>
          <t>HÄSSLEHOLM</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35299-2023</t>
        </is>
      </c>
      <c r="B4600" s="1" t="n">
        <v>45146</v>
      </c>
      <c r="C4600" s="1" t="n">
        <v>45796</v>
      </c>
      <c r="D4600" t="inlineStr">
        <is>
          <t>SKÅNE LÄN</t>
        </is>
      </c>
      <c r="E4600" t="inlineStr">
        <is>
          <t>HÄSSLEHOLM</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35462-2023</t>
        </is>
      </c>
      <c r="B4601" s="1" t="n">
        <v>45146</v>
      </c>
      <c r="C4601" s="1" t="n">
        <v>45796</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35545-2023</t>
        </is>
      </c>
      <c r="B4602" s="1" t="n">
        <v>45146</v>
      </c>
      <c r="C4602" s="1" t="n">
        <v>45796</v>
      </c>
      <c r="D4602" t="inlineStr">
        <is>
          <t>SKÅNE LÄN</t>
        </is>
      </c>
      <c r="E4602" t="inlineStr">
        <is>
          <t>ÖSTRA GÖINGE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35468-2023</t>
        </is>
      </c>
      <c r="B4603" s="1" t="n">
        <v>45146</v>
      </c>
      <c r="C4603" s="1" t="n">
        <v>45796</v>
      </c>
      <c r="D4603" t="inlineStr">
        <is>
          <t>SKÅNE LÄN</t>
        </is>
      </c>
      <c r="E4603" t="inlineStr">
        <is>
          <t>HÄSSLEHOLM</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35552-2023</t>
        </is>
      </c>
      <c r="B4604" s="1" t="n">
        <v>45146</v>
      </c>
      <c r="C4604" s="1" t="n">
        <v>45796</v>
      </c>
      <c r="D4604" t="inlineStr">
        <is>
          <t>SKÅNE LÄN</t>
        </is>
      </c>
      <c r="E4604" t="inlineStr">
        <is>
          <t>ÖSTRA GÖINGE</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35547-2023</t>
        </is>
      </c>
      <c r="B4605" s="1" t="n">
        <v>45146</v>
      </c>
      <c r="C4605" s="1" t="n">
        <v>45796</v>
      </c>
      <c r="D4605" t="inlineStr">
        <is>
          <t>SKÅNE LÄN</t>
        </is>
      </c>
      <c r="E4605" t="inlineStr">
        <is>
          <t>ÖSTRA GÖINGE</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35642-2023</t>
        </is>
      </c>
      <c r="B4606" s="1" t="n">
        <v>45147</v>
      </c>
      <c r="C4606" s="1" t="n">
        <v>45796</v>
      </c>
      <c r="D4606" t="inlineStr">
        <is>
          <t>SKÅNE LÄN</t>
        </is>
      </c>
      <c r="E4606" t="inlineStr">
        <is>
          <t>HELSINGBORG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35715-2023</t>
        </is>
      </c>
      <c r="B4607" s="1" t="n">
        <v>45147</v>
      </c>
      <c r="C4607" s="1" t="n">
        <v>45796</v>
      </c>
      <c r="D4607" t="inlineStr">
        <is>
          <t>SKÅNE LÄN</t>
        </is>
      </c>
      <c r="E4607" t="inlineStr">
        <is>
          <t>OSBY</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35676-2023</t>
        </is>
      </c>
      <c r="B4608" s="1" t="n">
        <v>45147</v>
      </c>
      <c r="C4608" s="1" t="n">
        <v>45796</v>
      </c>
      <c r="D4608" t="inlineStr">
        <is>
          <t>SKÅNE LÄN</t>
        </is>
      </c>
      <c r="E4608" t="inlineStr">
        <is>
          <t>ÖSTRA GÖINGE</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35680-2023</t>
        </is>
      </c>
      <c r="B4609" s="1" t="n">
        <v>45147</v>
      </c>
      <c r="C4609" s="1" t="n">
        <v>45796</v>
      </c>
      <c r="D4609" t="inlineStr">
        <is>
          <t>SKÅNE LÄN</t>
        </is>
      </c>
      <c r="E4609" t="inlineStr">
        <is>
          <t>ÖSTRA GÖINGE</t>
        </is>
      </c>
      <c r="G4609" t="n">
        <v>15.4</v>
      </c>
      <c r="H4609" t="n">
        <v>0</v>
      </c>
      <c r="I4609" t="n">
        <v>0</v>
      </c>
      <c r="J4609" t="n">
        <v>0</v>
      </c>
      <c r="K4609" t="n">
        <v>0</v>
      </c>
      <c r="L4609" t="n">
        <v>0</v>
      </c>
      <c r="M4609" t="n">
        <v>0</v>
      </c>
      <c r="N4609" t="n">
        <v>0</v>
      </c>
      <c r="O4609" t="n">
        <v>0</v>
      </c>
      <c r="P4609" t="n">
        <v>0</v>
      </c>
      <c r="Q4609" t="n">
        <v>0</v>
      </c>
      <c r="R4609" s="2" t="inlineStr"/>
    </row>
    <row r="4610" ht="15" customHeight="1">
      <c r="A4610" t="inlineStr">
        <is>
          <t>A 35640-2023</t>
        </is>
      </c>
      <c r="B4610" s="1" t="n">
        <v>45147</v>
      </c>
      <c r="C4610" s="1" t="n">
        <v>45796</v>
      </c>
      <c r="D4610" t="inlineStr">
        <is>
          <t>SKÅNE LÄN</t>
        </is>
      </c>
      <c r="E4610" t="inlineStr">
        <is>
          <t>HÄSSLEHOLM</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35644-2023</t>
        </is>
      </c>
      <c r="B4611" s="1" t="n">
        <v>45147</v>
      </c>
      <c r="C4611" s="1" t="n">
        <v>45796</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35669-2023</t>
        </is>
      </c>
      <c r="B4612" s="1" t="n">
        <v>45147</v>
      </c>
      <c r="C4612" s="1" t="n">
        <v>45796</v>
      </c>
      <c r="D4612" t="inlineStr">
        <is>
          <t>SKÅNE LÄN</t>
        </is>
      </c>
      <c r="E4612" t="inlineStr">
        <is>
          <t>ÖSTRA GÖINGE</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35673-2023</t>
        </is>
      </c>
      <c r="B4613" s="1" t="n">
        <v>45147</v>
      </c>
      <c r="C4613" s="1" t="n">
        <v>45796</v>
      </c>
      <c r="D4613" t="inlineStr">
        <is>
          <t>SKÅNE LÄN</t>
        </is>
      </c>
      <c r="E4613" t="inlineStr">
        <is>
          <t>ÖSTRA GÖINGE</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35681-2023</t>
        </is>
      </c>
      <c r="B4614" s="1" t="n">
        <v>45147</v>
      </c>
      <c r="C4614" s="1" t="n">
        <v>45796</v>
      </c>
      <c r="D4614" t="inlineStr">
        <is>
          <t>SKÅNE LÄN</t>
        </is>
      </c>
      <c r="E4614" t="inlineStr">
        <is>
          <t>ÖSTRA GÖINGE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35685-2023</t>
        </is>
      </c>
      <c r="B4615" s="1" t="n">
        <v>45147</v>
      </c>
      <c r="C4615" s="1" t="n">
        <v>45796</v>
      </c>
      <c r="D4615" t="inlineStr">
        <is>
          <t>SKÅNE LÄN</t>
        </is>
      </c>
      <c r="E4615" t="inlineStr">
        <is>
          <t>ÖSTRA GÖINGE</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35825-2023</t>
        </is>
      </c>
      <c r="B4616" s="1" t="n">
        <v>45147</v>
      </c>
      <c r="C4616" s="1" t="n">
        <v>45796</v>
      </c>
      <c r="D4616" t="inlineStr">
        <is>
          <t>SKÅNE LÄN</t>
        </is>
      </c>
      <c r="E4616" t="inlineStr">
        <is>
          <t>ÖSTRA GÖINGE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35798-2023</t>
        </is>
      </c>
      <c r="B4617" s="1" t="n">
        <v>45148</v>
      </c>
      <c r="C4617" s="1" t="n">
        <v>45796</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35804-2023</t>
        </is>
      </c>
      <c r="B4618" s="1" t="n">
        <v>45148</v>
      </c>
      <c r="C4618" s="1" t="n">
        <v>45796</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35874-2023</t>
        </is>
      </c>
      <c r="B4619" s="1" t="n">
        <v>45148</v>
      </c>
      <c r="C4619" s="1" t="n">
        <v>45796</v>
      </c>
      <c r="D4619" t="inlineStr">
        <is>
          <t>SKÅNE LÄN</t>
        </is>
      </c>
      <c r="E4619" t="inlineStr">
        <is>
          <t>OSBY</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35890-2023</t>
        </is>
      </c>
      <c r="B4620" s="1" t="n">
        <v>45148</v>
      </c>
      <c r="C4620" s="1" t="n">
        <v>45796</v>
      </c>
      <c r="D4620" t="inlineStr">
        <is>
          <t>SKÅNE LÄN</t>
        </is>
      </c>
      <c r="E4620" t="inlineStr">
        <is>
          <t>HÄSSLEHOLM</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35894-2023</t>
        </is>
      </c>
      <c r="B4621" s="1" t="n">
        <v>45148</v>
      </c>
      <c r="C4621" s="1" t="n">
        <v>45796</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35810-2023</t>
        </is>
      </c>
      <c r="B4622" s="1" t="n">
        <v>45148</v>
      </c>
      <c r="C4622" s="1" t="n">
        <v>45796</v>
      </c>
      <c r="D4622" t="inlineStr">
        <is>
          <t>SKÅNE LÄN</t>
        </is>
      </c>
      <c r="E4622" t="inlineStr">
        <is>
          <t>HÄSSLEHOLM</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35875-2023</t>
        </is>
      </c>
      <c r="B4623" s="1" t="n">
        <v>45148</v>
      </c>
      <c r="C4623" s="1" t="n">
        <v>45796</v>
      </c>
      <c r="D4623" t="inlineStr">
        <is>
          <t>SKÅNE LÄN</t>
        </is>
      </c>
      <c r="E4623" t="inlineStr">
        <is>
          <t>OSBY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35892-2023</t>
        </is>
      </c>
      <c r="B4624" s="1" t="n">
        <v>45148</v>
      </c>
      <c r="C4624" s="1" t="n">
        <v>45796</v>
      </c>
      <c r="D4624" t="inlineStr">
        <is>
          <t>SKÅNE LÄN</t>
        </is>
      </c>
      <c r="E4624" t="inlineStr">
        <is>
          <t>HÄSSLEHOLM</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35795-2023</t>
        </is>
      </c>
      <c r="B4625" s="1" t="n">
        <v>45148</v>
      </c>
      <c r="C4625" s="1" t="n">
        <v>45796</v>
      </c>
      <c r="D4625" t="inlineStr">
        <is>
          <t>SKÅNE LÄN</t>
        </is>
      </c>
      <c r="E4625" t="inlineStr">
        <is>
          <t>BROMÖLLA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35802-2023</t>
        </is>
      </c>
      <c r="B4626" s="1" t="n">
        <v>45148</v>
      </c>
      <c r="C4626" s="1" t="n">
        <v>45796</v>
      </c>
      <c r="D4626" t="inlineStr">
        <is>
          <t>SKÅNE LÄN</t>
        </is>
      </c>
      <c r="E4626" t="inlineStr">
        <is>
          <t>BROMÖLLA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35833-2023</t>
        </is>
      </c>
      <c r="B4627" s="1" t="n">
        <v>45148</v>
      </c>
      <c r="C4627" s="1" t="n">
        <v>45796</v>
      </c>
      <c r="D4627" t="inlineStr">
        <is>
          <t>SKÅNE LÄN</t>
        </is>
      </c>
      <c r="E4627" t="inlineStr">
        <is>
          <t>HÄSSLEHOLM</t>
        </is>
      </c>
      <c r="F4627" t="inlineStr">
        <is>
          <t>Kommuner</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35889-2023</t>
        </is>
      </c>
      <c r="B4628" s="1" t="n">
        <v>45148</v>
      </c>
      <c r="C4628" s="1" t="n">
        <v>45796</v>
      </c>
      <c r="D4628" t="inlineStr">
        <is>
          <t>SKÅNE LÄN</t>
        </is>
      </c>
      <c r="E4628" t="inlineStr">
        <is>
          <t>HÄSSLEHOLM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35893-2023</t>
        </is>
      </c>
      <c r="B4629" s="1" t="n">
        <v>45148</v>
      </c>
      <c r="C4629" s="1" t="n">
        <v>45796</v>
      </c>
      <c r="D4629" t="inlineStr">
        <is>
          <t>SKÅNE LÄN</t>
        </is>
      </c>
      <c r="E4629" t="inlineStr">
        <is>
          <t>HÄSSLEHOLM</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35901-2023</t>
        </is>
      </c>
      <c r="B4630" s="1" t="n">
        <v>45148</v>
      </c>
      <c r="C4630" s="1" t="n">
        <v>45796</v>
      </c>
      <c r="D4630" t="inlineStr">
        <is>
          <t>SKÅNE LÄN</t>
        </is>
      </c>
      <c r="E4630" t="inlineStr">
        <is>
          <t>KRISTIANSTAD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35895-2023</t>
        </is>
      </c>
      <c r="B4631" s="1" t="n">
        <v>45148</v>
      </c>
      <c r="C4631" s="1" t="n">
        <v>45796</v>
      </c>
      <c r="D4631" t="inlineStr">
        <is>
          <t>SKÅNE LÄN</t>
        </is>
      </c>
      <c r="E4631" t="inlineStr">
        <is>
          <t>HÄSSLEHOLM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35911-2023</t>
        </is>
      </c>
      <c r="B4632" s="1" t="n">
        <v>45148</v>
      </c>
      <c r="C4632" s="1" t="n">
        <v>45796</v>
      </c>
      <c r="D4632" t="inlineStr">
        <is>
          <t>SKÅNE LÄN</t>
        </is>
      </c>
      <c r="E4632" t="inlineStr">
        <is>
          <t>SVALÖV</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36160-2023</t>
        </is>
      </c>
      <c r="B4633" s="1" t="n">
        <v>45149</v>
      </c>
      <c r="C4633" s="1" t="n">
        <v>45796</v>
      </c>
      <c r="D4633" t="inlineStr">
        <is>
          <t>SKÅNE LÄN</t>
        </is>
      </c>
      <c r="E4633" t="inlineStr">
        <is>
          <t>KRISTIANSTAD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36130-2023</t>
        </is>
      </c>
      <c r="B4634" s="1" t="n">
        <v>45149</v>
      </c>
      <c r="C4634" s="1" t="n">
        <v>45796</v>
      </c>
      <c r="D4634" t="inlineStr">
        <is>
          <t>SKÅNE LÄN</t>
        </is>
      </c>
      <c r="E4634" t="inlineStr">
        <is>
          <t>KRISTIANSTAD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36158-2023</t>
        </is>
      </c>
      <c r="B4635" s="1" t="n">
        <v>45149</v>
      </c>
      <c r="C4635" s="1" t="n">
        <v>45796</v>
      </c>
      <c r="D4635" t="inlineStr">
        <is>
          <t>SKÅNE LÄN</t>
        </is>
      </c>
      <c r="E4635" t="inlineStr">
        <is>
          <t>KRISTIANSTAD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36127-2023</t>
        </is>
      </c>
      <c r="B4636" s="1" t="n">
        <v>45149</v>
      </c>
      <c r="C4636" s="1" t="n">
        <v>45796</v>
      </c>
      <c r="D4636" t="inlineStr">
        <is>
          <t>SKÅNE LÄN</t>
        </is>
      </c>
      <c r="E4636" t="inlineStr">
        <is>
          <t>KRISTIANSTAD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36240-2023</t>
        </is>
      </c>
      <c r="B4637" s="1" t="n">
        <v>45150</v>
      </c>
      <c r="C4637" s="1" t="n">
        <v>45796</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36414-2023</t>
        </is>
      </c>
      <c r="B4638" s="1" t="n">
        <v>45152</v>
      </c>
      <c r="C4638" s="1" t="n">
        <v>45796</v>
      </c>
      <c r="D4638" t="inlineStr">
        <is>
          <t>SKÅNE LÄN</t>
        </is>
      </c>
      <c r="E4638" t="inlineStr">
        <is>
          <t>SJÖBO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36715-2023</t>
        </is>
      </c>
      <c r="B4639" s="1" t="n">
        <v>45153</v>
      </c>
      <c r="C4639" s="1" t="n">
        <v>45796</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36713-2023</t>
        </is>
      </c>
      <c r="B4640" s="1" t="n">
        <v>45153</v>
      </c>
      <c r="C4640" s="1" t="n">
        <v>45796</v>
      </c>
      <c r="D4640" t="inlineStr">
        <is>
          <t>SKÅNE LÄN</t>
        </is>
      </c>
      <c r="E4640" t="inlineStr">
        <is>
          <t>LANDSKRONA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36733-2023</t>
        </is>
      </c>
      <c r="B4641" s="1" t="n">
        <v>45153</v>
      </c>
      <c r="C4641" s="1" t="n">
        <v>45796</v>
      </c>
      <c r="D4641" t="inlineStr">
        <is>
          <t>SKÅNE LÄN</t>
        </is>
      </c>
      <c r="E4641" t="inlineStr">
        <is>
          <t>HÄSSLEHOLM</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36818-2023</t>
        </is>
      </c>
      <c r="B4642" s="1" t="n">
        <v>45154</v>
      </c>
      <c r="C4642" s="1" t="n">
        <v>45796</v>
      </c>
      <c r="D4642" t="inlineStr">
        <is>
          <t>SKÅNE LÄN</t>
        </is>
      </c>
      <c r="E4642" t="inlineStr">
        <is>
          <t>HÄSSLEHOLM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36811-2023</t>
        </is>
      </c>
      <c r="B4643" s="1" t="n">
        <v>45154</v>
      </c>
      <c r="C4643" s="1" t="n">
        <v>45796</v>
      </c>
      <c r="D4643" t="inlineStr">
        <is>
          <t>SKÅNE LÄN</t>
        </is>
      </c>
      <c r="E4643" t="inlineStr">
        <is>
          <t>HÄSSLEHOLM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36855-2023</t>
        </is>
      </c>
      <c r="B4644" s="1" t="n">
        <v>45154</v>
      </c>
      <c r="C4644" s="1" t="n">
        <v>45796</v>
      </c>
      <c r="D4644" t="inlineStr">
        <is>
          <t>SKÅNE LÄN</t>
        </is>
      </c>
      <c r="E4644" t="inlineStr">
        <is>
          <t>PERSTORP</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36884-2023</t>
        </is>
      </c>
      <c r="B4645" s="1" t="n">
        <v>45154</v>
      </c>
      <c r="C4645" s="1" t="n">
        <v>45796</v>
      </c>
      <c r="D4645" t="inlineStr">
        <is>
          <t>SKÅNE LÄN</t>
        </is>
      </c>
      <c r="E4645" t="inlineStr">
        <is>
          <t>HÖÖR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36911-2023</t>
        </is>
      </c>
      <c r="B4646" s="1" t="n">
        <v>45154</v>
      </c>
      <c r="C4646" s="1" t="n">
        <v>45796</v>
      </c>
      <c r="D4646" t="inlineStr">
        <is>
          <t>SKÅNE LÄN</t>
        </is>
      </c>
      <c r="E4646" t="inlineStr">
        <is>
          <t>HÄSSLEHOLM</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36940-2023</t>
        </is>
      </c>
      <c r="B4647" s="1" t="n">
        <v>45154</v>
      </c>
      <c r="C4647" s="1" t="n">
        <v>45796</v>
      </c>
      <c r="D4647" t="inlineStr">
        <is>
          <t>SKÅNE LÄN</t>
        </is>
      </c>
      <c r="E4647" t="inlineStr">
        <is>
          <t>ÄNGELHOLM</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36952-2023</t>
        </is>
      </c>
      <c r="B4648" s="1" t="n">
        <v>45154</v>
      </c>
      <c r="C4648" s="1" t="n">
        <v>45796</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36795-2023</t>
        </is>
      </c>
      <c r="B4649" s="1" t="n">
        <v>45154</v>
      </c>
      <c r="C4649" s="1" t="n">
        <v>45796</v>
      </c>
      <c r="D4649" t="inlineStr">
        <is>
          <t>SKÅNE LÄN</t>
        </is>
      </c>
      <c r="E4649" t="inlineStr">
        <is>
          <t>HÄSSLEHOLM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36813-2023</t>
        </is>
      </c>
      <c r="B4650" s="1" t="n">
        <v>45154</v>
      </c>
      <c r="C4650" s="1" t="n">
        <v>45796</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36951-2023</t>
        </is>
      </c>
      <c r="B4651" s="1" t="n">
        <v>45154</v>
      </c>
      <c r="C4651" s="1" t="n">
        <v>45796</v>
      </c>
      <c r="D4651" t="inlineStr">
        <is>
          <t>SKÅNE LÄN</t>
        </is>
      </c>
      <c r="E4651" t="inlineStr">
        <is>
          <t>OSBY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37082-2023</t>
        </is>
      </c>
      <c r="B4652" s="1" t="n">
        <v>45155</v>
      </c>
      <c r="C4652" s="1" t="n">
        <v>45796</v>
      </c>
      <c r="D4652" t="inlineStr">
        <is>
          <t>SKÅNE LÄN</t>
        </is>
      </c>
      <c r="E4652" t="inlineStr">
        <is>
          <t>HÖRBY</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37044-2023</t>
        </is>
      </c>
      <c r="B4653" s="1" t="n">
        <v>45155</v>
      </c>
      <c r="C4653" s="1" t="n">
        <v>45796</v>
      </c>
      <c r="D4653" t="inlineStr">
        <is>
          <t>SKÅNE LÄN</t>
        </is>
      </c>
      <c r="E4653" t="inlineStr">
        <is>
          <t>KLIPPAN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37086-2023</t>
        </is>
      </c>
      <c r="B4654" s="1" t="n">
        <v>45155</v>
      </c>
      <c r="C4654" s="1" t="n">
        <v>45796</v>
      </c>
      <c r="D4654" t="inlineStr">
        <is>
          <t>SKÅNE LÄN</t>
        </is>
      </c>
      <c r="E4654" t="inlineStr">
        <is>
          <t>HÖRBY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37068-2023</t>
        </is>
      </c>
      <c r="B4655" s="1" t="n">
        <v>45155</v>
      </c>
      <c r="C4655" s="1" t="n">
        <v>45796</v>
      </c>
      <c r="D4655" t="inlineStr">
        <is>
          <t>SKÅNE LÄN</t>
        </is>
      </c>
      <c r="E4655" t="inlineStr">
        <is>
          <t>KLIPPAN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37079-2023</t>
        </is>
      </c>
      <c r="B4656" s="1" t="n">
        <v>45155</v>
      </c>
      <c r="C4656" s="1" t="n">
        <v>45796</v>
      </c>
      <c r="D4656" t="inlineStr">
        <is>
          <t>SKÅNE LÄN</t>
        </is>
      </c>
      <c r="E4656" t="inlineStr">
        <is>
          <t>HÖRBY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37294-2023</t>
        </is>
      </c>
      <c r="B4657" s="1" t="n">
        <v>45156</v>
      </c>
      <c r="C4657" s="1" t="n">
        <v>45796</v>
      </c>
      <c r="D4657" t="inlineStr">
        <is>
          <t>SKÅNE LÄN</t>
        </is>
      </c>
      <c r="E4657" t="inlineStr">
        <is>
          <t>HÄSSLEHOLM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37303-2023</t>
        </is>
      </c>
      <c r="B4658" s="1" t="n">
        <v>45156</v>
      </c>
      <c r="C4658" s="1" t="n">
        <v>45796</v>
      </c>
      <c r="D4658" t="inlineStr">
        <is>
          <t>SKÅNE LÄN</t>
        </is>
      </c>
      <c r="E4658" t="inlineStr">
        <is>
          <t>ÖSTRA GÖINGE</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37300-2023</t>
        </is>
      </c>
      <c r="B4659" s="1" t="n">
        <v>45156</v>
      </c>
      <c r="C4659" s="1" t="n">
        <v>45796</v>
      </c>
      <c r="D4659" t="inlineStr">
        <is>
          <t>SKÅNE LÄN</t>
        </is>
      </c>
      <c r="E4659" t="inlineStr">
        <is>
          <t>HÄSSLEHOLM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37375-2023</t>
        </is>
      </c>
      <c r="B4660" s="1" t="n">
        <v>45156</v>
      </c>
      <c r="C4660" s="1" t="n">
        <v>45796</v>
      </c>
      <c r="D4660" t="inlineStr">
        <is>
          <t>SKÅNE LÄN</t>
        </is>
      </c>
      <c r="E4660" t="inlineStr">
        <is>
          <t>HÖÖR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37382-2023</t>
        </is>
      </c>
      <c r="B4661" s="1" t="n">
        <v>45156</v>
      </c>
      <c r="C4661" s="1" t="n">
        <v>45796</v>
      </c>
      <c r="D4661" t="inlineStr">
        <is>
          <t>SKÅNE LÄN</t>
        </is>
      </c>
      <c r="E4661" t="inlineStr">
        <is>
          <t>HÖÖR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37387-2023</t>
        </is>
      </c>
      <c r="B4662" s="1" t="n">
        <v>45156</v>
      </c>
      <c r="C4662" s="1" t="n">
        <v>45796</v>
      </c>
      <c r="D4662" t="inlineStr">
        <is>
          <t>SKÅNE LÄN</t>
        </is>
      </c>
      <c r="E4662" t="inlineStr">
        <is>
          <t>PERSTORP</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37598-2023</t>
        </is>
      </c>
      <c r="B4663" s="1" t="n">
        <v>45159</v>
      </c>
      <c r="C4663" s="1" t="n">
        <v>45796</v>
      </c>
      <c r="D4663" t="inlineStr">
        <is>
          <t>SKÅNE LÄN</t>
        </is>
      </c>
      <c r="E4663" t="inlineStr">
        <is>
          <t>OSBY</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37620-2023</t>
        </is>
      </c>
      <c r="B4664" s="1" t="n">
        <v>45159</v>
      </c>
      <c r="C4664" s="1" t="n">
        <v>45796</v>
      </c>
      <c r="D4664" t="inlineStr">
        <is>
          <t>SKÅNE LÄN</t>
        </is>
      </c>
      <c r="E4664" t="inlineStr">
        <is>
          <t>ÖRKELLJUNGA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37628-2023</t>
        </is>
      </c>
      <c r="B4665" s="1" t="n">
        <v>45159</v>
      </c>
      <c r="C4665" s="1" t="n">
        <v>45796</v>
      </c>
      <c r="D4665" t="inlineStr">
        <is>
          <t>SKÅNE LÄN</t>
        </is>
      </c>
      <c r="E4665" t="inlineStr">
        <is>
          <t>ÖRKELLJUNGA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37675-2023</t>
        </is>
      </c>
      <c r="B4666" s="1" t="n">
        <v>45159</v>
      </c>
      <c r="C4666" s="1" t="n">
        <v>45796</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38021-2023</t>
        </is>
      </c>
      <c r="B4667" s="1" t="n">
        <v>45159</v>
      </c>
      <c r="C4667" s="1" t="n">
        <v>45796</v>
      </c>
      <c r="D4667" t="inlineStr">
        <is>
          <t>SKÅNE LÄN</t>
        </is>
      </c>
      <c r="E4667" t="inlineStr">
        <is>
          <t>KRISTIANSTAD</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38017-2023</t>
        </is>
      </c>
      <c r="B4668" s="1" t="n">
        <v>45159</v>
      </c>
      <c r="C4668" s="1" t="n">
        <v>45796</v>
      </c>
      <c r="D4668" t="inlineStr">
        <is>
          <t>SKÅNE LÄN</t>
        </is>
      </c>
      <c r="E4668" t="inlineStr">
        <is>
          <t>KRISTIANSTAD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38011-2023</t>
        </is>
      </c>
      <c r="B4669" s="1" t="n">
        <v>45160</v>
      </c>
      <c r="C4669" s="1" t="n">
        <v>45796</v>
      </c>
      <c r="D4669" t="inlineStr">
        <is>
          <t>SKÅNE LÄN</t>
        </is>
      </c>
      <c r="E4669" t="inlineStr">
        <is>
          <t>SVEDALA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38018-2023</t>
        </is>
      </c>
      <c r="B4670" s="1" t="n">
        <v>45160</v>
      </c>
      <c r="C4670" s="1" t="n">
        <v>45796</v>
      </c>
      <c r="D4670" t="inlineStr">
        <is>
          <t>SKÅNE LÄN</t>
        </is>
      </c>
      <c r="E4670" t="inlineStr">
        <is>
          <t>SVALÖV</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38006-2023</t>
        </is>
      </c>
      <c r="B4671" s="1" t="n">
        <v>45160</v>
      </c>
      <c r="C4671" s="1" t="n">
        <v>45796</v>
      </c>
      <c r="D4671" t="inlineStr">
        <is>
          <t>SKÅNE LÄN</t>
        </is>
      </c>
      <c r="E4671" t="inlineStr">
        <is>
          <t>SVALÖV</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38139-2023</t>
        </is>
      </c>
      <c r="B4672" s="1" t="n">
        <v>45160</v>
      </c>
      <c r="C4672" s="1" t="n">
        <v>45796</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38211-2023</t>
        </is>
      </c>
      <c r="B4673" s="1" t="n">
        <v>45161</v>
      </c>
      <c r="C4673" s="1" t="n">
        <v>45796</v>
      </c>
      <c r="D4673" t="inlineStr">
        <is>
          <t>SKÅNE LÄN</t>
        </is>
      </c>
      <c r="E4673" t="inlineStr">
        <is>
          <t>HÄSSLEHOLM</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38307-2023</t>
        </is>
      </c>
      <c r="B4674" s="1" t="n">
        <v>45161</v>
      </c>
      <c r="C4674" s="1" t="n">
        <v>45796</v>
      </c>
      <c r="D4674" t="inlineStr">
        <is>
          <t>SKÅNE LÄN</t>
        </is>
      </c>
      <c r="E4674" t="inlineStr">
        <is>
          <t>HÄSSLEHOLM</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38325-2023</t>
        </is>
      </c>
      <c r="B4675" s="1" t="n">
        <v>45161</v>
      </c>
      <c r="C4675" s="1" t="n">
        <v>45796</v>
      </c>
      <c r="D4675" t="inlineStr">
        <is>
          <t>SKÅNE LÄN</t>
        </is>
      </c>
      <c r="E4675" t="inlineStr">
        <is>
          <t>KLIPPAN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38329-2023</t>
        </is>
      </c>
      <c r="B4676" s="1" t="n">
        <v>45161</v>
      </c>
      <c r="C4676" s="1" t="n">
        <v>45796</v>
      </c>
      <c r="D4676" t="inlineStr">
        <is>
          <t>SKÅNE LÄN</t>
        </is>
      </c>
      <c r="E4676" t="inlineStr">
        <is>
          <t>PERSTORP</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38326-2023</t>
        </is>
      </c>
      <c r="B4677" s="1" t="n">
        <v>45161</v>
      </c>
      <c r="C4677" s="1" t="n">
        <v>45796</v>
      </c>
      <c r="D4677" t="inlineStr">
        <is>
          <t>SKÅNE LÄN</t>
        </is>
      </c>
      <c r="E4677" t="inlineStr">
        <is>
          <t>PERSTORP</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38888-2023</t>
        </is>
      </c>
      <c r="B4678" s="1" t="n">
        <v>45161</v>
      </c>
      <c r="C4678" s="1" t="n">
        <v>45796</v>
      </c>
      <c r="D4678" t="inlineStr">
        <is>
          <t>SKÅNE LÄN</t>
        </is>
      </c>
      <c r="E4678" t="inlineStr">
        <is>
          <t>HÄSSLEHOLM</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38173-2023</t>
        </is>
      </c>
      <c r="B4679" s="1" t="n">
        <v>45161</v>
      </c>
      <c r="C4679" s="1" t="n">
        <v>45796</v>
      </c>
      <c r="D4679" t="inlineStr">
        <is>
          <t>SKÅNE LÄN</t>
        </is>
      </c>
      <c r="E4679" t="inlineStr">
        <is>
          <t>ESLÖV</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38214-2023</t>
        </is>
      </c>
      <c r="B4680" s="1" t="n">
        <v>45161</v>
      </c>
      <c r="C4680" s="1" t="n">
        <v>45796</v>
      </c>
      <c r="D4680" t="inlineStr">
        <is>
          <t>SKÅNE LÄN</t>
        </is>
      </c>
      <c r="E4680" t="inlineStr">
        <is>
          <t>ÖRKELLJUNGA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38222-2023</t>
        </is>
      </c>
      <c r="B4681" s="1" t="n">
        <v>45161</v>
      </c>
      <c r="C4681" s="1" t="n">
        <v>45796</v>
      </c>
      <c r="D4681" t="inlineStr">
        <is>
          <t>SKÅNE LÄN</t>
        </is>
      </c>
      <c r="E4681" t="inlineStr">
        <is>
          <t>HÄSSLEHOLM</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38324-2023</t>
        </is>
      </c>
      <c r="B4682" s="1" t="n">
        <v>45161</v>
      </c>
      <c r="C4682" s="1" t="n">
        <v>45796</v>
      </c>
      <c r="D4682" t="inlineStr">
        <is>
          <t>SKÅNE LÄN</t>
        </is>
      </c>
      <c r="E4682" t="inlineStr">
        <is>
          <t>PERSTORP</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38328-2023</t>
        </is>
      </c>
      <c r="B4683" s="1" t="n">
        <v>45161</v>
      </c>
      <c r="C4683" s="1" t="n">
        <v>45796</v>
      </c>
      <c r="D4683" t="inlineStr">
        <is>
          <t>SKÅNE LÄN</t>
        </is>
      </c>
      <c r="E4683" t="inlineStr">
        <is>
          <t>PERSTORP</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38221-2023</t>
        </is>
      </c>
      <c r="B4684" s="1" t="n">
        <v>45161</v>
      </c>
      <c r="C4684" s="1" t="n">
        <v>45796</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38323-2023</t>
        </is>
      </c>
      <c r="B4685" s="1" t="n">
        <v>45161</v>
      </c>
      <c r="C4685" s="1" t="n">
        <v>45796</v>
      </c>
      <c r="D4685" t="inlineStr">
        <is>
          <t>SKÅNE LÄN</t>
        </is>
      </c>
      <c r="E4685" t="inlineStr">
        <is>
          <t>KLIPPAN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38488-2023</t>
        </is>
      </c>
      <c r="B4686" s="1" t="n">
        <v>45162</v>
      </c>
      <c r="C4686" s="1" t="n">
        <v>45796</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39015-2023</t>
        </is>
      </c>
      <c r="B4687" s="1" t="n">
        <v>45162</v>
      </c>
      <c r="C4687" s="1" t="n">
        <v>45796</v>
      </c>
      <c r="D4687" t="inlineStr">
        <is>
          <t>SKÅNE LÄN</t>
        </is>
      </c>
      <c r="E4687" t="inlineStr">
        <is>
          <t>SIMRISHAMN</t>
        </is>
      </c>
      <c r="G4687" t="n">
        <v>9</v>
      </c>
      <c r="H4687" t="n">
        <v>0</v>
      </c>
      <c r="I4687" t="n">
        <v>0</v>
      </c>
      <c r="J4687" t="n">
        <v>0</v>
      </c>
      <c r="K4687" t="n">
        <v>0</v>
      </c>
      <c r="L4687" t="n">
        <v>0</v>
      </c>
      <c r="M4687" t="n">
        <v>0</v>
      </c>
      <c r="N4687" t="n">
        <v>0</v>
      </c>
      <c r="O4687" t="n">
        <v>0</v>
      </c>
      <c r="P4687" t="n">
        <v>0</v>
      </c>
      <c r="Q4687" t="n">
        <v>0</v>
      </c>
      <c r="R4687" s="2" t="inlineStr"/>
    </row>
    <row r="4688" ht="15" customHeight="1">
      <c r="A4688" t="inlineStr">
        <is>
          <t>A 38486-2023</t>
        </is>
      </c>
      <c r="B4688" s="1" t="n">
        <v>45162</v>
      </c>
      <c r="C4688" s="1" t="n">
        <v>45796</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38485-2023</t>
        </is>
      </c>
      <c r="B4689" s="1" t="n">
        <v>45162</v>
      </c>
      <c r="C4689" s="1" t="n">
        <v>45796</v>
      </c>
      <c r="D4689" t="inlineStr">
        <is>
          <t>SKÅNE LÄN</t>
        </is>
      </c>
      <c r="E4689" t="inlineStr">
        <is>
          <t>OSBY</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39221-2023</t>
        </is>
      </c>
      <c r="B4690" s="1" t="n">
        <v>45162</v>
      </c>
      <c r="C4690" s="1" t="n">
        <v>45796</v>
      </c>
      <c r="D4690" t="inlineStr">
        <is>
          <t>SKÅNE LÄN</t>
        </is>
      </c>
      <c r="E4690" t="inlineStr">
        <is>
          <t>SIMRISHAMN</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39238-2023</t>
        </is>
      </c>
      <c r="B4691" s="1" t="n">
        <v>45162</v>
      </c>
      <c r="C4691" s="1" t="n">
        <v>45796</v>
      </c>
      <c r="D4691" t="inlineStr">
        <is>
          <t>SKÅNE LÄN</t>
        </is>
      </c>
      <c r="E4691" t="inlineStr">
        <is>
          <t>SIMRISHAMN</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38562-2023</t>
        </is>
      </c>
      <c r="B4692" s="1" t="n">
        <v>45162</v>
      </c>
      <c r="C4692" s="1" t="n">
        <v>45796</v>
      </c>
      <c r="D4692" t="inlineStr">
        <is>
          <t>SKÅNE LÄN</t>
        </is>
      </c>
      <c r="E4692" t="inlineStr">
        <is>
          <t>TOMELILLA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38631-2023</t>
        </is>
      </c>
      <c r="B4693" s="1" t="n">
        <v>45162</v>
      </c>
      <c r="C4693" s="1" t="n">
        <v>45796</v>
      </c>
      <c r="D4693" t="inlineStr">
        <is>
          <t>SKÅNE LÄN</t>
        </is>
      </c>
      <c r="E4693" t="inlineStr">
        <is>
          <t>YSTAD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38638-2023</t>
        </is>
      </c>
      <c r="B4694" s="1" t="n">
        <v>45162</v>
      </c>
      <c r="C4694" s="1" t="n">
        <v>45796</v>
      </c>
      <c r="D4694" t="inlineStr">
        <is>
          <t>SKÅNE LÄN</t>
        </is>
      </c>
      <c r="E4694" t="inlineStr">
        <is>
          <t>KRISTIANSTAD</t>
        </is>
      </c>
      <c r="G4694" t="n">
        <v>7.6</v>
      </c>
      <c r="H4694" t="n">
        <v>0</v>
      </c>
      <c r="I4694" t="n">
        <v>0</v>
      </c>
      <c r="J4694" t="n">
        <v>0</v>
      </c>
      <c r="K4694" t="n">
        <v>0</v>
      </c>
      <c r="L4694" t="n">
        <v>0</v>
      </c>
      <c r="M4694" t="n">
        <v>0</v>
      </c>
      <c r="N4694" t="n">
        <v>0</v>
      </c>
      <c r="O4694" t="n">
        <v>0</v>
      </c>
      <c r="P4694" t="n">
        <v>0</v>
      </c>
      <c r="Q4694" t="n">
        <v>0</v>
      </c>
      <c r="R4694" s="2" t="inlineStr"/>
    </row>
    <row r="4695" ht="15" customHeight="1">
      <c r="A4695" t="inlineStr">
        <is>
          <t>A 38724-2023</t>
        </is>
      </c>
      <c r="B4695" s="1" t="n">
        <v>45163</v>
      </c>
      <c r="C4695" s="1" t="n">
        <v>45796</v>
      </c>
      <c r="D4695" t="inlineStr">
        <is>
          <t>SKÅNE LÄN</t>
        </is>
      </c>
      <c r="E4695" t="inlineStr">
        <is>
          <t>KLIPPAN</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38936-2023</t>
        </is>
      </c>
      <c r="B4696" s="1" t="n">
        <v>45163</v>
      </c>
      <c r="C4696" s="1" t="n">
        <v>45796</v>
      </c>
      <c r="D4696" t="inlineStr">
        <is>
          <t>SKÅNE LÄN</t>
        </is>
      </c>
      <c r="E4696" t="inlineStr">
        <is>
          <t>PERSTORP</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38945-2023</t>
        </is>
      </c>
      <c r="B4697" s="1" t="n">
        <v>45163</v>
      </c>
      <c r="C4697" s="1" t="n">
        <v>45796</v>
      </c>
      <c r="D4697" t="inlineStr">
        <is>
          <t>SKÅNE LÄN</t>
        </is>
      </c>
      <c r="E4697" t="inlineStr">
        <is>
          <t>KLIPPAN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39014-2023</t>
        </is>
      </c>
      <c r="B4698" s="1" t="n">
        <v>45163</v>
      </c>
      <c r="C4698" s="1" t="n">
        <v>45796</v>
      </c>
      <c r="D4698" t="inlineStr">
        <is>
          <t>SKÅNE LÄN</t>
        </is>
      </c>
      <c r="E4698" t="inlineStr">
        <is>
          <t>ÄNGELHOLM</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39020-2023</t>
        </is>
      </c>
      <c r="B4699" s="1" t="n">
        <v>45163</v>
      </c>
      <c r="C4699" s="1" t="n">
        <v>45796</v>
      </c>
      <c r="D4699" t="inlineStr">
        <is>
          <t>SKÅNE LÄN</t>
        </is>
      </c>
      <c r="E4699" t="inlineStr">
        <is>
          <t>KRISTIANSTAD</t>
        </is>
      </c>
      <c r="F4699" t="inlineStr">
        <is>
          <t>Sveaskog</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39407-2023</t>
        </is>
      </c>
      <c r="B4700" s="1" t="n">
        <v>45163</v>
      </c>
      <c r="C4700" s="1" t="n">
        <v>45796</v>
      </c>
      <c r="D4700" t="inlineStr">
        <is>
          <t>SKÅNE LÄN</t>
        </is>
      </c>
      <c r="E4700" t="inlineStr">
        <is>
          <t>SJÖBO</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38759-2023</t>
        </is>
      </c>
      <c r="B4701" s="1" t="n">
        <v>45163</v>
      </c>
      <c r="C4701" s="1" t="n">
        <v>45796</v>
      </c>
      <c r="D4701" t="inlineStr">
        <is>
          <t>SKÅNE LÄN</t>
        </is>
      </c>
      <c r="E4701" t="inlineStr">
        <is>
          <t>OSBY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38719-2023</t>
        </is>
      </c>
      <c r="B4702" s="1" t="n">
        <v>45163</v>
      </c>
      <c r="C4702" s="1" t="n">
        <v>45796</v>
      </c>
      <c r="D4702" t="inlineStr">
        <is>
          <t>SKÅNE LÄN</t>
        </is>
      </c>
      <c r="E4702" t="inlineStr">
        <is>
          <t>KLIPPAN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39414-2023</t>
        </is>
      </c>
      <c r="B4703" s="1" t="n">
        <v>45163</v>
      </c>
      <c r="C4703" s="1" t="n">
        <v>45796</v>
      </c>
      <c r="D4703" t="inlineStr">
        <is>
          <t>SKÅNE LÄN</t>
        </is>
      </c>
      <c r="E4703" t="inlineStr">
        <is>
          <t>SJÖBO</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39622-2023</t>
        </is>
      </c>
      <c r="B4704" s="1" t="n">
        <v>45163</v>
      </c>
      <c r="C4704" s="1" t="n">
        <v>45796</v>
      </c>
      <c r="D4704" t="inlineStr">
        <is>
          <t>SKÅNE LÄN</t>
        </is>
      </c>
      <c r="E4704" t="inlineStr">
        <is>
          <t>ÖRKELLJUNGA</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39609-2023</t>
        </is>
      </c>
      <c r="B4705" s="1" t="n">
        <v>45163</v>
      </c>
      <c r="C4705" s="1" t="n">
        <v>45796</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39111-2023</t>
        </is>
      </c>
      <c r="B4706" s="1" t="n">
        <v>45164</v>
      </c>
      <c r="C4706" s="1" t="n">
        <v>45796</v>
      </c>
      <c r="D4706" t="inlineStr">
        <is>
          <t>SKÅNE LÄN</t>
        </is>
      </c>
      <c r="E4706" t="inlineStr">
        <is>
          <t>HÄSSLEHOLM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39117-2023</t>
        </is>
      </c>
      <c r="B4707" s="1" t="n">
        <v>45165</v>
      </c>
      <c r="C4707" s="1" t="n">
        <v>45796</v>
      </c>
      <c r="D4707" t="inlineStr">
        <is>
          <t>SKÅNE LÄN</t>
        </is>
      </c>
      <c r="E4707" t="inlineStr">
        <is>
          <t>KRISTIANSTAD</t>
        </is>
      </c>
      <c r="F4707" t="inlineStr">
        <is>
          <t>Sveaskog</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39166-2023</t>
        </is>
      </c>
      <c r="B4708" s="1" t="n">
        <v>45166</v>
      </c>
      <c r="C4708" s="1" t="n">
        <v>45796</v>
      </c>
      <c r="D4708" t="inlineStr">
        <is>
          <t>SKÅNE LÄN</t>
        </is>
      </c>
      <c r="E4708" t="inlineStr">
        <is>
          <t>ÖSTRA GÖINGE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36358-2023</t>
        </is>
      </c>
      <c r="B4709" s="1" t="n">
        <v>45166</v>
      </c>
      <c r="C4709" s="1" t="n">
        <v>45796</v>
      </c>
      <c r="D4709" t="inlineStr">
        <is>
          <t>SKÅNE LÄN</t>
        </is>
      </c>
      <c r="E4709" t="inlineStr">
        <is>
          <t>KRISTIANSTAD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39298-2023</t>
        </is>
      </c>
      <c r="B4710" s="1" t="n">
        <v>45166</v>
      </c>
      <c r="C4710" s="1" t="n">
        <v>45796</v>
      </c>
      <c r="D4710" t="inlineStr">
        <is>
          <t>SKÅNE LÄN</t>
        </is>
      </c>
      <c r="E4710" t="inlineStr">
        <is>
          <t>HÖRBY</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39898-2023</t>
        </is>
      </c>
      <c r="B4711" s="1" t="n">
        <v>45166</v>
      </c>
      <c r="C4711" s="1" t="n">
        <v>45796</v>
      </c>
      <c r="D4711" t="inlineStr">
        <is>
          <t>SKÅNE LÄN</t>
        </is>
      </c>
      <c r="E4711" t="inlineStr">
        <is>
          <t>KRISTIANSTAD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39900-2023</t>
        </is>
      </c>
      <c r="B4712" s="1" t="n">
        <v>45166</v>
      </c>
      <c r="C4712" s="1" t="n">
        <v>45796</v>
      </c>
      <c r="D4712" t="inlineStr">
        <is>
          <t>SKÅNE LÄN</t>
        </is>
      </c>
      <c r="E4712" t="inlineStr">
        <is>
          <t>KRISTIANSTAD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39531-2023</t>
        </is>
      </c>
      <c r="B4713" s="1" t="n">
        <v>45167</v>
      </c>
      <c r="C4713" s="1" t="n">
        <v>45796</v>
      </c>
      <c r="D4713" t="inlineStr">
        <is>
          <t>SKÅNE LÄN</t>
        </is>
      </c>
      <c r="E4713" t="inlineStr">
        <is>
          <t>ÖRKELLJUNGA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39585-2023</t>
        </is>
      </c>
      <c r="B4714" s="1" t="n">
        <v>45167</v>
      </c>
      <c r="C4714" s="1" t="n">
        <v>45796</v>
      </c>
      <c r="D4714" t="inlineStr">
        <is>
          <t>SKÅNE LÄN</t>
        </is>
      </c>
      <c r="E4714" t="inlineStr">
        <is>
          <t>HÖÖR</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39530-2023</t>
        </is>
      </c>
      <c r="B4715" s="1" t="n">
        <v>45167</v>
      </c>
      <c r="C4715" s="1" t="n">
        <v>45796</v>
      </c>
      <c r="D4715" t="inlineStr">
        <is>
          <t>SKÅNE LÄN</t>
        </is>
      </c>
      <c r="E4715" t="inlineStr">
        <is>
          <t>KLIPPAN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39534-2023</t>
        </is>
      </c>
      <c r="B4716" s="1" t="n">
        <v>45167</v>
      </c>
      <c r="C4716" s="1" t="n">
        <v>45796</v>
      </c>
      <c r="D4716" t="inlineStr">
        <is>
          <t>SKÅNE LÄN</t>
        </is>
      </c>
      <c r="E4716" t="inlineStr">
        <is>
          <t>ÖRKELLJUNGA</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39603-2023</t>
        </is>
      </c>
      <c r="B4717" s="1" t="n">
        <v>45167</v>
      </c>
      <c r="C4717" s="1" t="n">
        <v>45796</v>
      </c>
      <c r="D4717" t="inlineStr">
        <is>
          <t>SKÅNE LÄN</t>
        </is>
      </c>
      <c r="E4717" t="inlineStr">
        <is>
          <t>HÖÖR</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39659-2023</t>
        </is>
      </c>
      <c r="B4718" s="1" t="n">
        <v>45167</v>
      </c>
      <c r="C4718" s="1" t="n">
        <v>45796</v>
      </c>
      <c r="D4718" t="inlineStr">
        <is>
          <t>SKÅNE LÄN</t>
        </is>
      </c>
      <c r="E4718" t="inlineStr">
        <is>
          <t>ÖRKELLJUNGA</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39753-2023</t>
        </is>
      </c>
      <c r="B4719" s="1" t="n">
        <v>45167</v>
      </c>
      <c r="C4719" s="1" t="n">
        <v>45796</v>
      </c>
      <c r="D4719" t="inlineStr">
        <is>
          <t>SKÅNE LÄN</t>
        </is>
      </c>
      <c r="E4719" t="inlineStr">
        <is>
          <t>OSBY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40054-2023</t>
        </is>
      </c>
      <c r="B4720" s="1" t="n">
        <v>45167</v>
      </c>
      <c r="C4720" s="1" t="n">
        <v>45796</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39650-2023</t>
        </is>
      </c>
      <c r="B4721" s="1" t="n">
        <v>45167</v>
      </c>
      <c r="C4721" s="1" t="n">
        <v>45796</v>
      </c>
      <c r="D4721" t="inlineStr">
        <is>
          <t>SKÅNE LÄN</t>
        </is>
      </c>
      <c r="E4721" t="inlineStr">
        <is>
          <t>ÖRKELLJUNGA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39915-2023</t>
        </is>
      </c>
      <c r="B4722" s="1" t="n">
        <v>45168</v>
      </c>
      <c r="C4722" s="1" t="n">
        <v>45796</v>
      </c>
      <c r="D4722" t="inlineStr">
        <is>
          <t>SKÅNE LÄN</t>
        </is>
      </c>
      <c r="E4722" t="inlineStr">
        <is>
          <t>HÄSSLEHOLM</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39935-2023</t>
        </is>
      </c>
      <c r="B4723" s="1" t="n">
        <v>45168</v>
      </c>
      <c r="C4723" s="1" t="n">
        <v>45796</v>
      </c>
      <c r="D4723" t="inlineStr">
        <is>
          <t>SKÅNE LÄN</t>
        </is>
      </c>
      <c r="E4723" t="inlineStr">
        <is>
          <t>KRISTIANSTAD</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40017-2023</t>
        </is>
      </c>
      <c r="B4724" s="1" t="n">
        <v>45168</v>
      </c>
      <c r="C4724" s="1" t="n">
        <v>45796</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40289-2023</t>
        </is>
      </c>
      <c r="B4725" s="1" t="n">
        <v>45169</v>
      </c>
      <c r="C4725" s="1" t="n">
        <v>45796</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40224-2023</t>
        </is>
      </c>
      <c r="B4726" s="1" t="n">
        <v>45169</v>
      </c>
      <c r="C4726" s="1" t="n">
        <v>45796</v>
      </c>
      <c r="D4726" t="inlineStr">
        <is>
          <t>SKÅNE LÄN</t>
        </is>
      </c>
      <c r="E4726" t="inlineStr">
        <is>
          <t>KRISTIANSTAD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40226-2023</t>
        </is>
      </c>
      <c r="B4727" s="1" t="n">
        <v>45169</v>
      </c>
      <c r="C4727" s="1" t="n">
        <v>45796</v>
      </c>
      <c r="D4727" t="inlineStr">
        <is>
          <t>SKÅNE LÄN</t>
        </is>
      </c>
      <c r="E4727" t="inlineStr">
        <is>
          <t>KRISTIANSTAD</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40278-2023</t>
        </is>
      </c>
      <c r="B4728" s="1" t="n">
        <v>45169</v>
      </c>
      <c r="C4728" s="1" t="n">
        <v>45796</v>
      </c>
      <c r="D4728" t="inlineStr">
        <is>
          <t>SKÅNE LÄN</t>
        </is>
      </c>
      <c r="E4728" t="inlineStr">
        <is>
          <t>ÄNGELHOLM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41027-2023</t>
        </is>
      </c>
      <c r="B4729" s="1" t="n">
        <v>45169</v>
      </c>
      <c r="C4729" s="1" t="n">
        <v>45796</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40275-2023</t>
        </is>
      </c>
      <c r="B4730" s="1" t="n">
        <v>45169</v>
      </c>
      <c r="C4730" s="1" t="n">
        <v>45796</v>
      </c>
      <c r="D4730" t="inlineStr">
        <is>
          <t>SKÅNE LÄN</t>
        </is>
      </c>
      <c r="E4730" t="inlineStr">
        <is>
          <t>ÄNGELHOLM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40710-2023</t>
        </is>
      </c>
      <c r="B4731" s="1" t="n">
        <v>45170</v>
      </c>
      <c r="C4731" s="1" t="n">
        <v>45796</v>
      </c>
      <c r="D4731" t="inlineStr">
        <is>
          <t>SKÅNE LÄN</t>
        </is>
      </c>
      <c r="E4731" t="inlineStr">
        <is>
          <t>KLIPPAN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41220-2023</t>
        </is>
      </c>
      <c r="B4732" s="1" t="n">
        <v>45170</v>
      </c>
      <c r="C4732" s="1" t="n">
        <v>45796</v>
      </c>
      <c r="D4732" t="inlineStr">
        <is>
          <t>SKÅNE LÄN</t>
        </is>
      </c>
      <c r="E4732" t="inlineStr">
        <is>
          <t>KRISTIANSTAD</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40814-2023</t>
        </is>
      </c>
      <c r="B4733" s="1" t="n">
        <v>45171</v>
      </c>
      <c r="C4733" s="1" t="n">
        <v>45796</v>
      </c>
      <c r="D4733" t="inlineStr">
        <is>
          <t>SKÅNE LÄN</t>
        </is>
      </c>
      <c r="E4733" t="inlineStr">
        <is>
          <t>ÖRKELLJUNGA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40843-2023</t>
        </is>
      </c>
      <c r="B4734" s="1" t="n">
        <v>45173</v>
      </c>
      <c r="C4734" s="1" t="n">
        <v>45796</v>
      </c>
      <c r="D4734" t="inlineStr">
        <is>
          <t>SKÅNE LÄN</t>
        </is>
      </c>
      <c r="E4734" t="inlineStr">
        <is>
          <t>ÖSTRA GÖINGE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40847-2023</t>
        </is>
      </c>
      <c r="B4735" s="1" t="n">
        <v>45173</v>
      </c>
      <c r="C4735" s="1" t="n">
        <v>45796</v>
      </c>
      <c r="D4735" t="inlineStr">
        <is>
          <t>SKÅNE LÄN</t>
        </is>
      </c>
      <c r="E4735" t="inlineStr">
        <is>
          <t>OSBY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41060-2023</t>
        </is>
      </c>
      <c r="B4736" s="1" t="n">
        <v>45173</v>
      </c>
      <c r="C4736" s="1" t="n">
        <v>45796</v>
      </c>
      <c r="D4736" t="inlineStr">
        <is>
          <t>SKÅNE LÄN</t>
        </is>
      </c>
      <c r="E4736" t="inlineStr">
        <is>
          <t>KRISTIANSTAD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41065-2023</t>
        </is>
      </c>
      <c r="B4737" s="1" t="n">
        <v>45173</v>
      </c>
      <c r="C4737" s="1" t="n">
        <v>45796</v>
      </c>
      <c r="D4737" t="inlineStr">
        <is>
          <t>SKÅNE LÄN</t>
        </is>
      </c>
      <c r="E4737" t="inlineStr">
        <is>
          <t>KRISTIANSTAD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41069-2023</t>
        </is>
      </c>
      <c r="B4738" s="1" t="n">
        <v>45173</v>
      </c>
      <c r="C4738" s="1" t="n">
        <v>45796</v>
      </c>
      <c r="D4738" t="inlineStr">
        <is>
          <t>SKÅNE LÄN</t>
        </is>
      </c>
      <c r="E4738" t="inlineStr">
        <is>
          <t>KRISTIANSTAD</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41209-2023</t>
        </is>
      </c>
      <c r="B4739" s="1" t="n">
        <v>45174</v>
      </c>
      <c r="C4739" s="1" t="n">
        <v>45796</v>
      </c>
      <c r="D4739" t="inlineStr">
        <is>
          <t>SKÅNE LÄN</t>
        </is>
      </c>
      <c r="E4739" t="inlineStr">
        <is>
          <t>HÄSSLEHOLM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41211-2023</t>
        </is>
      </c>
      <c r="B4740" s="1" t="n">
        <v>45174</v>
      </c>
      <c r="C4740" s="1" t="n">
        <v>45796</v>
      </c>
      <c r="D4740" t="inlineStr">
        <is>
          <t>SKÅNE LÄN</t>
        </is>
      </c>
      <c r="E4740" t="inlineStr">
        <is>
          <t>HÄSSLEHOLM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41253-2023</t>
        </is>
      </c>
      <c r="B4741" s="1" t="n">
        <v>45174</v>
      </c>
      <c r="C4741" s="1" t="n">
        <v>45796</v>
      </c>
      <c r="D4741" t="inlineStr">
        <is>
          <t>SKÅNE LÄN</t>
        </is>
      </c>
      <c r="E4741" t="inlineStr">
        <is>
          <t>BROMÖLLA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41271-2023</t>
        </is>
      </c>
      <c r="B4742" s="1" t="n">
        <v>45174</v>
      </c>
      <c r="C4742" s="1" t="n">
        <v>45796</v>
      </c>
      <c r="D4742" t="inlineStr">
        <is>
          <t>SKÅNE LÄN</t>
        </is>
      </c>
      <c r="E4742" t="inlineStr">
        <is>
          <t>HÖRBY</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41254-2023</t>
        </is>
      </c>
      <c r="B4743" s="1" t="n">
        <v>45174</v>
      </c>
      <c r="C4743" s="1" t="n">
        <v>45796</v>
      </c>
      <c r="D4743" t="inlineStr">
        <is>
          <t>SKÅNE LÄN</t>
        </is>
      </c>
      <c r="E4743" t="inlineStr">
        <is>
          <t>BROMÖLLA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41261-2023</t>
        </is>
      </c>
      <c r="B4744" s="1" t="n">
        <v>45174</v>
      </c>
      <c r="C4744" s="1" t="n">
        <v>45796</v>
      </c>
      <c r="D4744" t="inlineStr">
        <is>
          <t>SKÅNE LÄN</t>
        </is>
      </c>
      <c r="E4744" t="inlineStr">
        <is>
          <t>HÄSSLEHOLM</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42057-2023</t>
        </is>
      </c>
      <c r="B4745" s="1" t="n">
        <v>45174</v>
      </c>
      <c r="C4745" s="1" t="n">
        <v>45796</v>
      </c>
      <c r="D4745" t="inlineStr">
        <is>
          <t>SKÅNE LÄN</t>
        </is>
      </c>
      <c r="E4745" t="inlineStr">
        <is>
          <t>HÖÖR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41440-2023</t>
        </is>
      </c>
      <c r="B4746" s="1" t="n">
        <v>45175</v>
      </c>
      <c r="C4746" s="1" t="n">
        <v>45796</v>
      </c>
      <c r="D4746" t="inlineStr">
        <is>
          <t>SKÅNE LÄN</t>
        </is>
      </c>
      <c r="E4746" t="inlineStr">
        <is>
          <t>OSBY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41529-2023</t>
        </is>
      </c>
      <c r="B4747" s="1" t="n">
        <v>45175</v>
      </c>
      <c r="C4747" s="1" t="n">
        <v>45796</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41490-2023</t>
        </is>
      </c>
      <c r="B4748" s="1" t="n">
        <v>45175</v>
      </c>
      <c r="C4748" s="1" t="n">
        <v>45796</v>
      </c>
      <c r="D4748" t="inlineStr">
        <is>
          <t>SKÅNE LÄN</t>
        </is>
      </c>
      <c r="E4748" t="inlineStr">
        <is>
          <t>OSBY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41436-2023</t>
        </is>
      </c>
      <c r="B4749" s="1" t="n">
        <v>45175</v>
      </c>
      <c r="C4749" s="1" t="n">
        <v>45796</v>
      </c>
      <c r="D4749" t="inlineStr">
        <is>
          <t>SKÅNE LÄN</t>
        </is>
      </c>
      <c r="E4749" t="inlineStr">
        <is>
          <t>OSBY</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41623-2023</t>
        </is>
      </c>
      <c r="B4750" s="1" t="n">
        <v>45175</v>
      </c>
      <c r="C4750" s="1" t="n">
        <v>45796</v>
      </c>
      <c r="D4750" t="inlineStr">
        <is>
          <t>SKÅNE LÄN</t>
        </is>
      </c>
      <c r="E4750" t="inlineStr">
        <is>
          <t>HÖÖR</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41777-2023</t>
        </is>
      </c>
      <c r="B4751" s="1" t="n">
        <v>45176</v>
      </c>
      <c r="C4751" s="1" t="n">
        <v>45796</v>
      </c>
      <c r="D4751" t="inlineStr">
        <is>
          <t>SKÅNE LÄN</t>
        </is>
      </c>
      <c r="E4751" t="inlineStr">
        <is>
          <t>ÖSTRA GÖINGE</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41871-2023</t>
        </is>
      </c>
      <c r="B4752" s="1" t="n">
        <v>45176</v>
      </c>
      <c r="C4752" s="1" t="n">
        <v>45796</v>
      </c>
      <c r="D4752" t="inlineStr">
        <is>
          <t>SKÅNE LÄN</t>
        </is>
      </c>
      <c r="E4752" t="inlineStr">
        <is>
          <t>KRISTIANSTAD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41873-2023</t>
        </is>
      </c>
      <c r="B4753" s="1" t="n">
        <v>45176</v>
      </c>
      <c r="C4753" s="1" t="n">
        <v>45796</v>
      </c>
      <c r="D4753" t="inlineStr">
        <is>
          <t>SKÅNE LÄN</t>
        </is>
      </c>
      <c r="E4753" t="inlineStr">
        <is>
          <t>HÄSSLEHOLM</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42715-2023</t>
        </is>
      </c>
      <c r="B4754" s="1" t="n">
        <v>45176</v>
      </c>
      <c r="C4754" s="1" t="n">
        <v>45796</v>
      </c>
      <c r="D4754" t="inlineStr">
        <is>
          <t>SKÅNE LÄN</t>
        </is>
      </c>
      <c r="E4754" t="inlineStr">
        <is>
          <t>HÖRBY</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42704-2023</t>
        </is>
      </c>
      <c r="B4755" s="1" t="n">
        <v>45176</v>
      </c>
      <c r="C4755" s="1" t="n">
        <v>45796</v>
      </c>
      <c r="D4755" t="inlineStr">
        <is>
          <t>SKÅNE LÄN</t>
        </is>
      </c>
      <c r="E4755" t="inlineStr">
        <is>
          <t>HÖRBY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42588-2023</t>
        </is>
      </c>
      <c r="B4756" s="1" t="n">
        <v>45176</v>
      </c>
      <c r="C4756" s="1" t="n">
        <v>45796</v>
      </c>
      <c r="D4756" t="inlineStr">
        <is>
          <t>SKÅNE LÄN</t>
        </is>
      </c>
      <c r="E4756" t="inlineStr">
        <is>
          <t>SVALÖV</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42724-2023</t>
        </is>
      </c>
      <c r="B4757" s="1" t="n">
        <v>45176</v>
      </c>
      <c r="C4757" s="1" t="n">
        <v>45796</v>
      </c>
      <c r="D4757" t="inlineStr">
        <is>
          <t>SKÅNE LÄN</t>
        </is>
      </c>
      <c r="E4757" t="inlineStr">
        <is>
          <t>HÖRBY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42050-2023</t>
        </is>
      </c>
      <c r="B4758" s="1" t="n">
        <v>45177</v>
      </c>
      <c r="C4758" s="1" t="n">
        <v>45796</v>
      </c>
      <c r="D4758" t="inlineStr">
        <is>
          <t>SKÅNE LÄN</t>
        </is>
      </c>
      <c r="E4758" t="inlineStr">
        <is>
          <t>ESLÖV</t>
        </is>
      </c>
      <c r="G4758" t="n">
        <v>10.3</v>
      </c>
      <c r="H4758" t="n">
        <v>0</v>
      </c>
      <c r="I4758" t="n">
        <v>0</v>
      </c>
      <c r="J4758" t="n">
        <v>0</v>
      </c>
      <c r="K4758" t="n">
        <v>0</v>
      </c>
      <c r="L4758" t="n">
        <v>0</v>
      </c>
      <c r="M4758" t="n">
        <v>0</v>
      </c>
      <c r="N4758" t="n">
        <v>0</v>
      </c>
      <c r="O4758" t="n">
        <v>0</v>
      </c>
      <c r="P4758" t="n">
        <v>0</v>
      </c>
      <c r="Q4758" t="n">
        <v>0</v>
      </c>
      <c r="R4758" s="2" t="inlineStr"/>
    </row>
    <row r="4759" ht="15" customHeight="1">
      <c r="A4759" t="inlineStr">
        <is>
          <t>A 41977-2023</t>
        </is>
      </c>
      <c r="B4759" s="1" t="n">
        <v>45177</v>
      </c>
      <c r="C4759" s="1" t="n">
        <v>45796</v>
      </c>
      <c r="D4759" t="inlineStr">
        <is>
          <t>SKÅNE LÄN</t>
        </is>
      </c>
      <c r="E4759" t="inlineStr">
        <is>
          <t>OSBY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42078-2023</t>
        </is>
      </c>
      <c r="B4760" s="1" t="n">
        <v>45177</v>
      </c>
      <c r="C4760" s="1" t="n">
        <v>45796</v>
      </c>
      <c r="D4760" t="inlineStr">
        <is>
          <t>SKÅNE LÄN</t>
        </is>
      </c>
      <c r="E4760" t="inlineStr">
        <is>
          <t>HÄSSLEHOLM</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42177-2023</t>
        </is>
      </c>
      <c r="B4761" s="1" t="n">
        <v>45178</v>
      </c>
      <c r="C4761" s="1" t="n">
        <v>45796</v>
      </c>
      <c r="D4761" t="inlineStr">
        <is>
          <t>SKÅNE LÄN</t>
        </is>
      </c>
      <c r="E4761" t="inlineStr">
        <is>
          <t>ÖRKELLJUNGA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42191-2023</t>
        </is>
      </c>
      <c r="B4762" s="1" t="n">
        <v>45179</v>
      </c>
      <c r="C4762" s="1" t="n">
        <v>45796</v>
      </c>
      <c r="D4762" t="inlineStr">
        <is>
          <t>SKÅNE LÄN</t>
        </is>
      </c>
      <c r="E4762" t="inlineStr">
        <is>
          <t>ÖSTRA GÖINGE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42192-2023</t>
        </is>
      </c>
      <c r="B4763" s="1" t="n">
        <v>45179</v>
      </c>
      <c r="C4763" s="1" t="n">
        <v>45796</v>
      </c>
      <c r="D4763" t="inlineStr">
        <is>
          <t>SKÅNE LÄN</t>
        </is>
      </c>
      <c r="E4763" t="inlineStr">
        <is>
          <t>ÖSTRA GÖINGE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42364-2023</t>
        </is>
      </c>
      <c r="B4764" s="1" t="n">
        <v>45180</v>
      </c>
      <c r="C4764" s="1" t="n">
        <v>45796</v>
      </c>
      <c r="D4764" t="inlineStr">
        <is>
          <t>SKÅNE LÄN</t>
        </is>
      </c>
      <c r="E4764" t="inlineStr">
        <is>
          <t>HÄSSLEHOLM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42231-2023</t>
        </is>
      </c>
      <c r="B4765" s="1" t="n">
        <v>45180</v>
      </c>
      <c r="C4765" s="1" t="n">
        <v>45796</v>
      </c>
      <c r="D4765" t="inlineStr">
        <is>
          <t>SKÅNE LÄN</t>
        </is>
      </c>
      <c r="E4765" t="inlineStr">
        <is>
          <t>SIMRISHAMN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42248-2023</t>
        </is>
      </c>
      <c r="B4766" s="1" t="n">
        <v>45180</v>
      </c>
      <c r="C4766" s="1" t="n">
        <v>45796</v>
      </c>
      <c r="D4766" t="inlineStr">
        <is>
          <t>SKÅNE LÄN</t>
        </is>
      </c>
      <c r="E4766" t="inlineStr">
        <is>
          <t>KRISTIANSTAD</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42399-2023</t>
        </is>
      </c>
      <c r="B4767" s="1" t="n">
        <v>45180</v>
      </c>
      <c r="C4767" s="1" t="n">
        <v>45796</v>
      </c>
      <c r="D4767" t="inlineStr">
        <is>
          <t>SKÅNE LÄN</t>
        </is>
      </c>
      <c r="E4767" t="inlineStr">
        <is>
          <t>ÖSTRA GÖINGE</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42293-2023</t>
        </is>
      </c>
      <c r="B4768" s="1" t="n">
        <v>45180</v>
      </c>
      <c r="C4768" s="1" t="n">
        <v>45796</v>
      </c>
      <c r="D4768" t="inlineStr">
        <is>
          <t>SKÅNE LÄN</t>
        </is>
      </c>
      <c r="E4768" t="inlineStr">
        <is>
          <t>KRISTIANSTAD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42333-2023</t>
        </is>
      </c>
      <c r="B4769" s="1" t="n">
        <v>45180</v>
      </c>
      <c r="C4769" s="1" t="n">
        <v>45796</v>
      </c>
      <c r="D4769" t="inlineStr">
        <is>
          <t>SKÅNE LÄN</t>
        </is>
      </c>
      <c r="E4769" t="inlineStr">
        <is>
          <t>BROMÖLLA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42432-2023</t>
        </is>
      </c>
      <c r="B4770" s="1" t="n">
        <v>45180</v>
      </c>
      <c r="C4770" s="1" t="n">
        <v>45796</v>
      </c>
      <c r="D4770" t="inlineStr">
        <is>
          <t>SKÅNE LÄN</t>
        </is>
      </c>
      <c r="E4770" t="inlineStr">
        <is>
          <t>ÖSTRA GÖINGE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43276-2023</t>
        </is>
      </c>
      <c r="B4771" s="1" t="n">
        <v>45180</v>
      </c>
      <c r="C4771" s="1" t="n">
        <v>45796</v>
      </c>
      <c r="D4771" t="inlineStr">
        <is>
          <t>SKÅNE LÄN</t>
        </is>
      </c>
      <c r="E4771" t="inlineStr">
        <is>
          <t>BROMÖLLA</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42325-2023</t>
        </is>
      </c>
      <c r="B4772" s="1" t="n">
        <v>45180</v>
      </c>
      <c r="C4772" s="1" t="n">
        <v>45796</v>
      </c>
      <c r="D4772" t="inlineStr">
        <is>
          <t>SKÅNE LÄN</t>
        </is>
      </c>
      <c r="E4772" t="inlineStr">
        <is>
          <t>KRISTIANSTAD</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42370-2023</t>
        </is>
      </c>
      <c r="B4773" s="1" t="n">
        <v>45180</v>
      </c>
      <c r="C4773" s="1" t="n">
        <v>45796</v>
      </c>
      <c r="D4773" t="inlineStr">
        <is>
          <t>SKÅNE LÄN</t>
        </is>
      </c>
      <c r="E4773" t="inlineStr">
        <is>
          <t>HÄSSLEHOLM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42374-2023</t>
        </is>
      </c>
      <c r="B4774" s="1" t="n">
        <v>45180</v>
      </c>
      <c r="C4774" s="1" t="n">
        <v>45796</v>
      </c>
      <c r="D4774" t="inlineStr">
        <is>
          <t>SKÅNE LÄN</t>
        </is>
      </c>
      <c r="E4774" t="inlineStr">
        <is>
          <t>SIMRISHAMN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42898-2023</t>
        </is>
      </c>
      <c r="B4775" s="1" t="n">
        <v>45182</v>
      </c>
      <c r="C4775" s="1" t="n">
        <v>45796</v>
      </c>
      <c r="D4775" t="inlineStr">
        <is>
          <t>SKÅNE LÄN</t>
        </is>
      </c>
      <c r="E4775" t="inlineStr">
        <is>
          <t>KRISTIANSTAD</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43022-2023</t>
        </is>
      </c>
      <c r="B4776" s="1" t="n">
        <v>45182</v>
      </c>
      <c r="C4776" s="1" t="n">
        <v>45796</v>
      </c>
      <c r="D4776" t="inlineStr">
        <is>
          <t>SKÅNE LÄN</t>
        </is>
      </c>
      <c r="E4776" t="inlineStr">
        <is>
          <t>ÖSTRA GÖINGE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42899-2023</t>
        </is>
      </c>
      <c r="B4777" s="1" t="n">
        <v>45182</v>
      </c>
      <c r="C4777" s="1" t="n">
        <v>45796</v>
      </c>
      <c r="D4777" t="inlineStr">
        <is>
          <t>SKÅNE LÄN</t>
        </is>
      </c>
      <c r="E4777" t="inlineStr">
        <is>
          <t>KRISTIANSTAD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42932-2023</t>
        </is>
      </c>
      <c r="B4778" s="1" t="n">
        <v>45182</v>
      </c>
      <c r="C4778" s="1" t="n">
        <v>45796</v>
      </c>
      <c r="D4778" t="inlineStr">
        <is>
          <t>SKÅNE LÄN</t>
        </is>
      </c>
      <c r="E4778" t="inlineStr">
        <is>
          <t>HÖÖR</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42937-2023</t>
        </is>
      </c>
      <c r="B4779" s="1" t="n">
        <v>45182</v>
      </c>
      <c r="C4779" s="1" t="n">
        <v>45796</v>
      </c>
      <c r="D4779" t="inlineStr">
        <is>
          <t>SKÅNE LÄN</t>
        </is>
      </c>
      <c r="E4779" t="inlineStr">
        <is>
          <t>HÖÖR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43736-2023</t>
        </is>
      </c>
      <c r="B4780" s="1" t="n">
        <v>45182</v>
      </c>
      <c r="C4780" s="1" t="n">
        <v>45796</v>
      </c>
      <c r="D4780" t="inlineStr">
        <is>
          <t>SKÅNE LÄN</t>
        </is>
      </c>
      <c r="E4780" t="inlineStr">
        <is>
          <t>SVALÖV</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43321-2023</t>
        </is>
      </c>
      <c r="B4781" s="1" t="n">
        <v>45183</v>
      </c>
      <c r="C4781" s="1" t="n">
        <v>45796</v>
      </c>
      <c r="D4781" t="inlineStr">
        <is>
          <t>SKÅNE LÄN</t>
        </is>
      </c>
      <c r="E4781" t="inlineStr">
        <is>
          <t>KRISTIANSTAD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44251-2023</t>
        </is>
      </c>
      <c r="B4782" s="1" t="n">
        <v>45183</v>
      </c>
      <c r="C4782" s="1" t="n">
        <v>45796</v>
      </c>
      <c r="D4782" t="inlineStr">
        <is>
          <t>SKÅNE LÄN</t>
        </is>
      </c>
      <c r="E4782" t="inlineStr">
        <is>
          <t>HÖRBY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43479-2023</t>
        </is>
      </c>
      <c r="B4783" s="1" t="n">
        <v>45184</v>
      </c>
      <c r="C4783" s="1" t="n">
        <v>45796</v>
      </c>
      <c r="D4783" t="inlineStr">
        <is>
          <t>SKÅNE LÄN</t>
        </is>
      </c>
      <c r="E4783" t="inlineStr">
        <is>
          <t>ÖSTRA GÖINGE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43478-2023</t>
        </is>
      </c>
      <c r="B4784" s="1" t="n">
        <v>45184</v>
      </c>
      <c r="C4784" s="1" t="n">
        <v>45796</v>
      </c>
      <c r="D4784" t="inlineStr">
        <is>
          <t>SKÅNE LÄN</t>
        </is>
      </c>
      <c r="E4784" t="inlineStr">
        <is>
          <t>ÖSTRA GÖINGE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44494-2023</t>
        </is>
      </c>
      <c r="B4785" s="1" t="n">
        <v>45184</v>
      </c>
      <c r="C4785" s="1" t="n">
        <v>45796</v>
      </c>
      <c r="D4785" t="inlineStr">
        <is>
          <t>SKÅNE LÄN</t>
        </is>
      </c>
      <c r="E4785" t="inlineStr">
        <is>
          <t>KRISTIANSTAD</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43629-2023</t>
        </is>
      </c>
      <c r="B4786" s="1" t="n">
        <v>45184</v>
      </c>
      <c r="C4786" s="1" t="n">
        <v>45796</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43491-2023</t>
        </is>
      </c>
      <c r="B4787" s="1" t="n">
        <v>45184</v>
      </c>
      <c r="C4787" s="1" t="n">
        <v>45796</v>
      </c>
      <c r="D4787" t="inlineStr">
        <is>
          <t>SKÅNE LÄN</t>
        </is>
      </c>
      <c r="E4787" t="inlineStr">
        <is>
          <t>ÖSTRA GÖINGE</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44767-2023</t>
        </is>
      </c>
      <c r="B4788" s="1" t="n">
        <v>45186</v>
      </c>
      <c r="C4788" s="1" t="n">
        <v>45796</v>
      </c>
      <c r="D4788" t="inlineStr">
        <is>
          <t>SKÅNE LÄN</t>
        </is>
      </c>
      <c r="E4788" t="inlineStr">
        <is>
          <t>HÄSSLEHOLM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44789-2023</t>
        </is>
      </c>
      <c r="B4789" s="1" t="n">
        <v>45186</v>
      </c>
      <c r="C4789" s="1" t="n">
        <v>45796</v>
      </c>
      <c r="D4789" t="inlineStr">
        <is>
          <t>SKÅNE LÄN</t>
        </is>
      </c>
      <c r="E4789" t="inlineStr">
        <is>
          <t>HÄSSLEHOLM</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44783-2023</t>
        </is>
      </c>
      <c r="B4790" s="1" t="n">
        <v>45186</v>
      </c>
      <c r="C4790" s="1" t="n">
        <v>45796</v>
      </c>
      <c r="D4790" t="inlineStr">
        <is>
          <t>SKÅNE LÄN</t>
        </is>
      </c>
      <c r="E4790" t="inlineStr">
        <is>
          <t>ÖRKELLJUNGA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43677-2023</t>
        </is>
      </c>
      <c r="B4791" s="1" t="n">
        <v>45187</v>
      </c>
      <c r="C4791" s="1" t="n">
        <v>45796</v>
      </c>
      <c r="D4791" t="inlineStr">
        <is>
          <t>SKÅNE LÄN</t>
        </is>
      </c>
      <c r="E4791" t="inlineStr">
        <is>
          <t>HÄSSLEHOLM</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43689-2023</t>
        </is>
      </c>
      <c r="B4792" s="1" t="n">
        <v>45187</v>
      </c>
      <c r="C4792" s="1" t="n">
        <v>45796</v>
      </c>
      <c r="D4792" t="inlineStr">
        <is>
          <t>SKÅNE LÄN</t>
        </is>
      </c>
      <c r="E4792" t="inlineStr">
        <is>
          <t>OSBY</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43828-2023</t>
        </is>
      </c>
      <c r="B4793" s="1" t="n">
        <v>45187</v>
      </c>
      <c r="C4793" s="1" t="n">
        <v>45796</v>
      </c>
      <c r="D4793" t="inlineStr">
        <is>
          <t>SKÅNE LÄN</t>
        </is>
      </c>
      <c r="E4793" t="inlineStr">
        <is>
          <t>HÄSSLEHOLM</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43874-2023</t>
        </is>
      </c>
      <c r="B4794" s="1" t="n">
        <v>45187</v>
      </c>
      <c r="C4794" s="1" t="n">
        <v>45796</v>
      </c>
      <c r="D4794" t="inlineStr">
        <is>
          <t>SKÅNE LÄN</t>
        </is>
      </c>
      <c r="E4794" t="inlineStr">
        <is>
          <t>KRISTIANSTAD</t>
        </is>
      </c>
      <c r="F4794" t="inlineStr">
        <is>
          <t>Sveaskog</t>
        </is>
      </c>
      <c r="G4794" t="n">
        <v>11.2</v>
      </c>
      <c r="H4794" t="n">
        <v>0</v>
      </c>
      <c r="I4794" t="n">
        <v>0</v>
      </c>
      <c r="J4794" t="n">
        <v>0</v>
      </c>
      <c r="K4794" t="n">
        <v>0</v>
      </c>
      <c r="L4794" t="n">
        <v>0</v>
      </c>
      <c r="M4794" t="n">
        <v>0</v>
      </c>
      <c r="N4794" t="n">
        <v>0</v>
      </c>
      <c r="O4794" t="n">
        <v>0</v>
      </c>
      <c r="P4794" t="n">
        <v>0</v>
      </c>
      <c r="Q4794" t="n">
        <v>0</v>
      </c>
      <c r="R4794" s="2" t="inlineStr"/>
    </row>
    <row r="4795" ht="15" customHeight="1">
      <c r="A4795" t="inlineStr">
        <is>
          <t>A 43882-2023</t>
        </is>
      </c>
      <c r="B4795" s="1" t="n">
        <v>45187</v>
      </c>
      <c r="C4795" s="1" t="n">
        <v>45796</v>
      </c>
      <c r="D4795" t="inlineStr">
        <is>
          <t>SKÅNE LÄN</t>
        </is>
      </c>
      <c r="E4795" t="inlineStr">
        <is>
          <t>HÖRBY</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43745-2023</t>
        </is>
      </c>
      <c r="B4796" s="1" t="n">
        <v>45187</v>
      </c>
      <c r="C4796" s="1" t="n">
        <v>45796</v>
      </c>
      <c r="D4796" t="inlineStr">
        <is>
          <t>SKÅNE LÄN</t>
        </is>
      </c>
      <c r="E4796" t="inlineStr">
        <is>
          <t>SJÖBO</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43932-2023</t>
        </is>
      </c>
      <c r="B4797" s="1" t="n">
        <v>45187</v>
      </c>
      <c r="C4797" s="1" t="n">
        <v>45796</v>
      </c>
      <c r="D4797" t="inlineStr">
        <is>
          <t>SKÅNE LÄN</t>
        </is>
      </c>
      <c r="E4797" t="inlineStr">
        <is>
          <t>HÖRBY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43792-2023</t>
        </is>
      </c>
      <c r="B4798" s="1" t="n">
        <v>45187</v>
      </c>
      <c r="C4798" s="1" t="n">
        <v>45796</v>
      </c>
      <c r="D4798" t="inlineStr">
        <is>
          <t>SKÅNE LÄN</t>
        </is>
      </c>
      <c r="E4798" t="inlineStr">
        <is>
          <t>SIMRISHAMN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43935-2023</t>
        </is>
      </c>
      <c r="B4799" s="1" t="n">
        <v>45187</v>
      </c>
      <c r="C4799" s="1" t="n">
        <v>45796</v>
      </c>
      <c r="D4799" t="inlineStr">
        <is>
          <t>SKÅNE LÄN</t>
        </is>
      </c>
      <c r="E4799" t="inlineStr">
        <is>
          <t>HÖRBY</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43939-2023</t>
        </is>
      </c>
      <c r="B4800" s="1" t="n">
        <v>45187</v>
      </c>
      <c r="C4800" s="1" t="n">
        <v>45796</v>
      </c>
      <c r="D4800" t="inlineStr">
        <is>
          <t>SKÅNE LÄN</t>
        </is>
      </c>
      <c r="E4800" t="inlineStr">
        <is>
          <t>HÖRBY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43871-2023</t>
        </is>
      </c>
      <c r="B4801" s="1" t="n">
        <v>45187</v>
      </c>
      <c r="C4801" s="1" t="n">
        <v>45796</v>
      </c>
      <c r="D4801" t="inlineStr">
        <is>
          <t>SKÅNE LÄN</t>
        </is>
      </c>
      <c r="E4801" t="inlineStr">
        <is>
          <t>KRISTIANSTAD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43879-2023</t>
        </is>
      </c>
      <c r="B4802" s="1" t="n">
        <v>45187</v>
      </c>
      <c r="C4802" s="1" t="n">
        <v>45796</v>
      </c>
      <c r="D4802" t="inlineStr">
        <is>
          <t>SKÅNE LÄN</t>
        </is>
      </c>
      <c r="E4802" t="inlineStr">
        <is>
          <t>HÖRBY</t>
        </is>
      </c>
      <c r="F4802" t="inlineStr">
        <is>
          <t>Sveaskog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43937-2023</t>
        </is>
      </c>
      <c r="B4803" s="1" t="n">
        <v>45187</v>
      </c>
      <c r="C4803" s="1" t="n">
        <v>45796</v>
      </c>
      <c r="D4803" t="inlineStr">
        <is>
          <t>SKÅNE LÄN</t>
        </is>
      </c>
      <c r="E4803" t="inlineStr">
        <is>
          <t>HÖRBY</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44038-2023</t>
        </is>
      </c>
      <c r="B4804" s="1" t="n">
        <v>45188</v>
      </c>
      <c r="C4804" s="1" t="n">
        <v>45796</v>
      </c>
      <c r="D4804" t="inlineStr">
        <is>
          <t>SKÅNE LÄN</t>
        </is>
      </c>
      <c r="E4804" t="inlineStr">
        <is>
          <t>OSBY</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44042-2023</t>
        </is>
      </c>
      <c r="B4805" s="1" t="n">
        <v>45188</v>
      </c>
      <c r="C4805" s="1" t="n">
        <v>45796</v>
      </c>
      <c r="D4805" t="inlineStr">
        <is>
          <t>SKÅNE LÄN</t>
        </is>
      </c>
      <c r="E4805" t="inlineStr">
        <is>
          <t>HÄSSLEHOLM</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44043-2023</t>
        </is>
      </c>
      <c r="B4806" s="1" t="n">
        <v>45188</v>
      </c>
      <c r="C4806" s="1" t="n">
        <v>45796</v>
      </c>
      <c r="D4806" t="inlineStr">
        <is>
          <t>SKÅNE LÄN</t>
        </is>
      </c>
      <c r="E4806" t="inlineStr">
        <is>
          <t>ÖSTRA GÖINGE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44108-2023</t>
        </is>
      </c>
      <c r="B4807" s="1" t="n">
        <v>45188</v>
      </c>
      <c r="C4807" s="1" t="n">
        <v>45796</v>
      </c>
      <c r="D4807" t="inlineStr">
        <is>
          <t>SKÅNE LÄN</t>
        </is>
      </c>
      <c r="E4807" t="inlineStr">
        <is>
          <t>OSBY</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44112-2023</t>
        </is>
      </c>
      <c r="B4808" s="1" t="n">
        <v>45188</v>
      </c>
      <c r="C4808" s="1" t="n">
        <v>45796</v>
      </c>
      <c r="D4808" t="inlineStr">
        <is>
          <t>SKÅNE LÄN</t>
        </is>
      </c>
      <c r="E4808" t="inlineStr">
        <is>
          <t>SVALÖV</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44107-2023</t>
        </is>
      </c>
      <c r="B4809" s="1" t="n">
        <v>45188</v>
      </c>
      <c r="C4809" s="1" t="n">
        <v>45796</v>
      </c>
      <c r="D4809" t="inlineStr">
        <is>
          <t>SKÅNE LÄN</t>
        </is>
      </c>
      <c r="E4809" t="inlineStr">
        <is>
          <t>SVALÖV</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44339-2023</t>
        </is>
      </c>
      <c r="B4810" s="1" t="n">
        <v>45188</v>
      </c>
      <c r="C4810" s="1" t="n">
        <v>45796</v>
      </c>
      <c r="D4810" t="inlineStr">
        <is>
          <t>SKÅNE LÄN</t>
        </is>
      </c>
      <c r="E4810" t="inlineStr">
        <is>
          <t>KRISTIANSTAD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44365-2023</t>
        </is>
      </c>
      <c r="B4811" s="1" t="n">
        <v>45188</v>
      </c>
      <c r="C4811" s="1" t="n">
        <v>45796</v>
      </c>
      <c r="D4811" t="inlineStr">
        <is>
          <t>SKÅNE LÄN</t>
        </is>
      </c>
      <c r="E4811" t="inlineStr">
        <is>
          <t>KLIPPAN</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44434-2023</t>
        </is>
      </c>
      <c r="B4812" s="1" t="n">
        <v>45189</v>
      </c>
      <c r="C4812" s="1" t="n">
        <v>45796</v>
      </c>
      <c r="D4812" t="inlineStr">
        <is>
          <t>SKÅNE LÄN</t>
        </is>
      </c>
      <c r="E4812" t="inlineStr">
        <is>
          <t>SVALÖV</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44440-2023</t>
        </is>
      </c>
      <c r="B4813" s="1" t="n">
        <v>45189</v>
      </c>
      <c r="C4813" s="1" t="n">
        <v>45796</v>
      </c>
      <c r="D4813" t="inlineStr">
        <is>
          <t>SKÅNE LÄN</t>
        </is>
      </c>
      <c r="E4813" t="inlineStr">
        <is>
          <t>KRISTIANSTAD</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44443-2023</t>
        </is>
      </c>
      <c r="B4814" s="1" t="n">
        <v>45189</v>
      </c>
      <c r="C4814" s="1" t="n">
        <v>45796</v>
      </c>
      <c r="D4814" t="inlineStr">
        <is>
          <t>SKÅNE LÄN</t>
        </is>
      </c>
      <c r="E4814" t="inlineStr">
        <is>
          <t>KRISTIANSTAD</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44496-2023</t>
        </is>
      </c>
      <c r="B4815" s="1" t="n">
        <v>45189</v>
      </c>
      <c r="C4815" s="1" t="n">
        <v>45796</v>
      </c>
      <c r="D4815" t="inlineStr">
        <is>
          <t>SKÅNE LÄN</t>
        </is>
      </c>
      <c r="E4815" t="inlineStr">
        <is>
          <t>ESLÖV</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44553-2023</t>
        </is>
      </c>
      <c r="B4816" s="1" t="n">
        <v>45189</v>
      </c>
      <c r="C4816" s="1" t="n">
        <v>45796</v>
      </c>
      <c r="D4816" t="inlineStr">
        <is>
          <t>SKÅNE LÄN</t>
        </is>
      </c>
      <c r="E4816" t="inlineStr">
        <is>
          <t>KRISTIANSTAD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44579-2023</t>
        </is>
      </c>
      <c r="B4817" s="1" t="n">
        <v>45189</v>
      </c>
      <c r="C4817" s="1" t="n">
        <v>45796</v>
      </c>
      <c r="D4817" t="inlineStr">
        <is>
          <t>SKÅNE LÄN</t>
        </is>
      </c>
      <c r="E4817" t="inlineStr">
        <is>
          <t>KRISTIANSTAD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44603-2023</t>
        </is>
      </c>
      <c r="B4818" s="1" t="n">
        <v>45189</v>
      </c>
      <c r="C4818" s="1" t="n">
        <v>45796</v>
      </c>
      <c r="D4818" t="inlineStr">
        <is>
          <t>SKÅNE LÄN</t>
        </is>
      </c>
      <c r="E4818" t="inlineStr">
        <is>
          <t>SVALÖV</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44580-2023</t>
        </is>
      </c>
      <c r="B4819" s="1" t="n">
        <v>45189</v>
      </c>
      <c r="C4819" s="1" t="n">
        <v>45796</v>
      </c>
      <c r="D4819" t="inlineStr">
        <is>
          <t>SKÅNE LÄN</t>
        </is>
      </c>
      <c r="E4819" t="inlineStr">
        <is>
          <t>SJÖBO</t>
        </is>
      </c>
      <c r="F4819" t="inlineStr">
        <is>
          <t>Kommuner</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44613-2023</t>
        </is>
      </c>
      <c r="B4820" s="1" t="n">
        <v>45189</v>
      </c>
      <c r="C4820" s="1" t="n">
        <v>45796</v>
      </c>
      <c r="D4820" t="inlineStr">
        <is>
          <t>SKÅNE LÄN</t>
        </is>
      </c>
      <c r="E4820" t="inlineStr">
        <is>
          <t>HÖRBY</t>
        </is>
      </c>
      <c r="F4820" t="inlineStr">
        <is>
          <t>Sveaskog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44442-2023</t>
        </is>
      </c>
      <c r="B4821" s="1" t="n">
        <v>45189</v>
      </c>
      <c r="C4821" s="1" t="n">
        <v>45796</v>
      </c>
      <c r="D4821" t="inlineStr">
        <is>
          <t>SKÅNE LÄN</t>
        </is>
      </c>
      <c r="E4821" t="inlineStr">
        <is>
          <t>KRISTIANSTAD</t>
        </is>
      </c>
      <c r="F4821" t="inlineStr">
        <is>
          <t>Sveaskog</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44448-2023</t>
        </is>
      </c>
      <c r="B4822" s="1" t="n">
        <v>45189</v>
      </c>
      <c r="C4822" s="1" t="n">
        <v>45796</v>
      </c>
      <c r="D4822" t="inlineStr">
        <is>
          <t>SKÅNE LÄN</t>
        </is>
      </c>
      <c r="E4822" t="inlineStr">
        <is>
          <t>ÄNGELHOLM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44454-2023</t>
        </is>
      </c>
      <c r="B4823" s="1" t="n">
        <v>45189</v>
      </c>
      <c r="C4823" s="1" t="n">
        <v>45796</v>
      </c>
      <c r="D4823" t="inlineStr">
        <is>
          <t>SKÅNE LÄN</t>
        </is>
      </c>
      <c r="E4823" t="inlineStr">
        <is>
          <t>ÖRKELLJUNGA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44631-2023</t>
        </is>
      </c>
      <c r="B4824" s="1" t="n">
        <v>45189</v>
      </c>
      <c r="C4824" s="1" t="n">
        <v>45796</v>
      </c>
      <c r="D4824" t="inlineStr">
        <is>
          <t>SKÅNE LÄN</t>
        </is>
      </c>
      <c r="E4824" t="inlineStr">
        <is>
          <t>KRISTIANSTAD</t>
        </is>
      </c>
      <c r="F4824" t="inlineStr">
        <is>
          <t>Sveaskog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44646-2023</t>
        </is>
      </c>
      <c r="B4825" s="1" t="n">
        <v>45189</v>
      </c>
      <c r="C4825" s="1" t="n">
        <v>45796</v>
      </c>
      <c r="D4825" t="inlineStr">
        <is>
          <t>SKÅNE LÄN</t>
        </is>
      </c>
      <c r="E4825" t="inlineStr">
        <is>
          <t>LUND</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44550-2023</t>
        </is>
      </c>
      <c r="B4826" s="1" t="n">
        <v>45189</v>
      </c>
      <c r="C4826" s="1" t="n">
        <v>45796</v>
      </c>
      <c r="D4826" t="inlineStr">
        <is>
          <t>SKÅNE LÄN</t>
        </is>
      </c>
      <c r="E4826" t="inlineStr">
        <is>
          <t>KRISTIANSTAD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44671-2023</t>
        </is>
      </c>
      <c r="B4827" s="1" t="n">
        <v>45189</v>
      </c>
      <c r="C4827" s="1" t="n">
        <v>45796</v>
      </c>
      <c r="D4827" t="inlineStr">
        <is>
          <t>SKÅNE LÄN</t>
        </is>
      </c>
      <c r="E4827" t="inlineStr">
        <is>
          <t>HÄSSLEHOLM</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45925-2023</t>
        </is>
      </c>
      <c r="B4828" s="1" t="n">
        <v>45189</v>
      </c>
      <c r="C4828" s="1" t="n">
        <v>45796</v>
      </c>
      <c r="D4828" t="inlineStr">
        <is>
          <t>SKÅNE LÄN</t>
        </is>
      </c>
      <c r="E4828" t="inlineStr">
        <is>
          <t>SJÖBO</t>
        </is>
      </c>
      <c r="F4828" t="inlineStr">
        <is>
          <t>Sveaskog</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45981-2023</t>
        </is>
      </c>
      <c r="B4829" s="1" t="n">
        <v>45189</v>
      </c>
      <c r="C4829" s="1" t="n">
        <v>45796</v>
      </c>
      <c r="D4829" t="inlineStr">
        <is>
          <t>SKÅNE LÄN</t>
        </is>
      </c>
      <c r="E4829" t="inlineStr">
        <is>
          <t>SJÖBO</t>
        </is>
      </c>
      <c r="F4829" t="inlineStr">
        <is>
          <t>Sveaskog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46057-2023</t>
        </is>
      </c>
      <c r="B4830" s="1" t="n">
        <v>45189</v>
      </c>
      <c r="C4830" s="1" t="n">
        <v>45796</v>
      </c>
      <c r="D4830" t="inlineStr">
        <is>
          <t>SKÅNE LÄN</t>
        </is>
      </c>
      <c r="E4830" t="inlineStr">
        <is>
          <t>KRISTIANSTAD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44732-2023</t>
        </is>
      </c>
      <c r="B4831" s="1" t="n">
        <v>45190</v>
      </c>
      <c r="C4831" s="1" t="n">
        <v>45796</v>
      </c>
      <c r="D4831" t="inlineStr">
        <is>
          <t>SKÅNE LÄN</t>
        </is>
      </c>
      <c r="E4831" t="inlineStr">
        <is>
          <t>ÖSTRA GÖINGE</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44741-2023</t>
        </is>
      </c>
      <c r="B4832" s="1" t="n">
        <v>45190</v>
      </c>
      <c r="C4832" s="1" t="n">
        <v>45796</v>
      </c>
      <c r="D4832" t="inlineStr">
        <is>
          <t>SKÅNE LÄN</t>
        </is>
      </c>
      <c r="E4832" t="inlineStr">
        <is>
          <t>HÄSSLEHOLM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44735-2023</t>
        </is>
      </c>
      <c r="B4833" s="1" t="n">
        <v>45190</v>
      </c>
      <c r="C4833" s="1" t="n">
        <v>45796</v>
      </c>
      <c r="D4833" t="inlineStr">
        <is>
          <t>SKÅNE LÄN</t>
        </is>
      </c>
      <c r="E4833" t="inlineStr">
        <is>
          <t>ÖSTRA GÖINGE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44716-2023</t>
        </is>
      </c>
      <c r="B4834" s="1" t="n">
        <v>45190</v>
      </c>
      <c r="C4834" s="1" t="n">
        <v>45796</v>
      </c>
      <c r="D4834" t="inlineStr">
        <is>
          <t>SKÅNE LÄN</t>
        </is>
      </c>
      <c r="E4834" t="inlineStr">
        <is>
          <t>ÖSTRA GÖINGE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44738-2023</t>
        </is>
      </c>
      <c r="B4835" s="1" t="n">
        <v>45190</v>
      </c>
      <c r="C4835" s="1" t="n">
        <v>45796</v>
      </c>
      <c r="D4835" t="inlineStr">
        <is>
          <t>SKÅNE LÄN</t>
        </is>
      </c>
      <c r="E4835" t="inlineStr">
        <is>
          <t>ÖSTRA GÖINGE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44816-2023</t>
        </is>
      </c>
      <c r="B4836" s="1" t="n">
        <v>45190</v>
      </c>
      <c r="C4836" s="1" t="n">
        <v>45796</v>
      </c>
      <c r="D4836" t="inlineStr">
        <is>
          <t>SKÅNE LÄN</t>
        </is>
      </c>
      <c r="E4836" t="inlineStr">
        <is>
          <t>HÖRBY</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44838-2023</t>
        </is>
      </c>
      <c r="B4837" s="1" t="n">
        <v>45190</v>
      </c>
      <c r="C4837" s="1" t="n">
        <v>45796</v>
      </c>
      <c r="D4837" t="inlineStr">
        <is>
          <t>SKÅNE LÄN</t>
        </is>
      </c>
      <c r="E4837" t="inlineStr">
        <is>
          <t>HÄSSLEHOLM</t>
        </is>
      </c>
      <c r="F4837" t="inlineStr">
        <is>
          <t>Kommuner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44842-2023</t>
        </is>
      </c>
      <c r="B4838" s="1" t="n">
        <v>45190</v>
      </c>
      <c r="C4838" s="1" t="n">
        <v>45796</v>
      </c>
      <c r="D4838" t="inlineStr">
        <is>
          <t>SKÅNE LÄN</t>
        </is>
      </c>
      <c r="E4838" t="inlineStr">
        <is>
          <t>HÄSSLEHOLM</t>
        </is>
      </c>
      <c r="F4838" t="inlineStr">
        <is>
          <t>Kommuner</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44934-2023</t>
        </is>
      </c>
      <c r="B4839" s="1" t="n">
        <v>45190</v>
      </c>
      <c r="C4839" s="1" t="n">
        <v>45796</v>
      </c>
      <c r="D4839" t="inlineStr">
        <is>
          <t>SKÅNE LÄN</t>
        </is>
      </c>
      <c r="E4839" t="inlineStr">
        <is>
          <t>SIMRISHAMN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44874-2023</t>
        </is>
      </c>
      <c r="B4840" s="1" t="n">
        <v>45190</v>
      </c>
      <c r="C4840" s="1" t="n">
        <v>45796</v>
      </c>
      <c r="D4840" t="inlineStr">
        <is>
          <t>SKÅNE LÄN</t>
        </is>
      </c>
      <c r="E4840" t="inlineStr">
        <is>
          <t>OSBY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44940-2023</t>
        </is>
      </c>
      <c r="B4841" s="1" t="n">
        <v>45190</v>
      </c>
      <c r="C4841" s="1" t="n">
        <v>45796</v>
      </c>
      <c r="D4841" t="inlineStr">
        <is>
          <t>SKÅNE LÄN</t>
        </is>
      </c>
      <c r="E4841" t="inlineStr">
        <is>
          <t>HÄSSLEHOLM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44960-2023</t>
        </is>
      </c>
      <c r="B4842" s="1" t="n">
        <v>45190</v>
      </c>
      <c r="C4842" s="1" t="n">
        <v>45796</v>
      </c>
      <c r="D4842" t="inlineStr">
        <is>
          <t>SKÅNE LÄN</t>
        </is>
      </c>
      <c r="E4842" t="inlineStr">
        <is>
          <t>HÖÖR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46095-2023</t>
        </is>
      </c>
      <c r="B4843" s="1" t="n">
        <v>45190</v>
      </c>
      <c r="C4843" s="1" t="n">
        <v>45796</v>
      </c>
      <c r="D4843" t="inlineStr">
        <is>
          <t>SKÅNE LÄN</t>
        </is>
      </c>
      <c r="E4843" t="inlineStr">
        <is>
          <t>KRISTIANSTAD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45220-2023</t>
        </is>
      </c>
      <c r="B4844" s="1" t="n">
        <v>45191</v>
      </c>
      <c r="C4844" s="1" t="n">
        <v>45796</v>
      </c>
      <c r="D4844" t="inlineStr">
        <is>
          <t>SKÅNE LÄN</t>
        </is>
      </c>
      <c r="E4844" t="inlineStr">
        <is>
          <t>HÄSSLEHOLM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45123-2023</t>
        </is>
      </c>
      <c r="B4845" s="1" t="n">
        <v>45191</v>
      </c>
      <c r="C4845" s="1" t="n">
        <v>45796</v>
      </c>
      <c r="D4845" t="inlineStr">
        <is>
          <t>SKÅNE LÄN</t>
        </is>
      </c>
      <c r="E4845" t="inlineStr">
        <is>
          <t>KRISTIANSTAD</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45222-2023</t>
        </is>
      </c>
      <c r="B4846" s="1" t="n">
        <v>45191</v>
      </c>
      <c r="C4846" s="1" t="n">
        <v>45796</v>
      </c>
      <c r="D4846" t="inlineStr">
        <is>
          <t>SKÅNE LÄN</t>
        </is>
      </c>
      <c r="E4846" t="inlineStr">
        <is>
          <t>HÄSSLEHOLM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45348-2023</t>
        </is>
      </c>
      <c r="B4847" s="1" t="n">
        <v>45191</v>
      </c>
      <c r="C4847" s="1" t="n">
        <v>45796</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45349-2023</t>
        </is>
      </c>
      <c r="B4848" s="1" t="n">
        <v>45191</v>
      </c>
      <c r="C4848" s="1" t="n">
        <v>45796</v>
      </c>
      <c r="D4848" t="inlineStr">
        <is>
          <t>SKÅNE LÄN</t>
        </is>
      </c>
      <c r="E4848" t="inlineStr">
        <is>
          <t>HÖÖR</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46397-2023</t>
        </is>
      </c>
      <c r="B4849" s="1" t="n">
        <v>45191</v>
      </c>
      <c r="C4849" s="1" t="n">
        <v>45796</v>
      </c>
      <c r="D4849" t="inlineStr">
        <is>
          <t>SKÅNE LÄN</t>
        </is>
      </c>
      <c r="E4849" t="inlineStr">
        <is>
          <t>SJÖBO</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45353-2023</t>
        </is>
      </c>
      <c r="B4850" s="1" t="n">
        <v>45192</v>
      </c>
      <c r="C4850" s="1" t="n">
        <v>45796</v>
      </c>
      <c r="D4850" t="inlineStr">
        <is>
          <t>SKÅNE LÄN</t>
        </is>
      </c>
      <c r="E4850" t="inlineStr">
        <is>
          <t>HÄSSLEHOLM</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45357-2023</t>
        </is>
      </c>
      <c r="B4851" s="1" t="n">
        <v>45192</v>
      </c>
      <c r="C4851" s="1" t="n">
        <v>45796</v>
      </c>
      <c r="D4851" t="inlineStr">
        <is>
          <t>SKÅNE LÄN</t>
        </is>
      </c>
      <c r="E4851" t="inlineStr">
        <is>
          <t>ÖSTRA GÖINGE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45361-2023</t>
        </is>
      </c>
      <c r="B4852" s="1" t="n">
        <v>45192</v>
      </c>
      <c r="C4852" s="1" t="n">
        <v>45796</v>
      </c>
      <c r="D4852" t="inlineStr">
        <is>
          <t>SKÅNE LÄN</t>
        </is>
      </c>
      <c r="E4852" t="inlineStr">
        <is>
          <t>HÄSSLEHOLM</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45358-2023</t>
        </is>
      </c>
      <c r="B4853" s="1" t="n">
        <v>45192</v>
      </c>
      <c r="C4853" s="1" t="n">
        <v>45796</v>
      </c>
      <c r="D4853" t="inlineStr">
        <is>
          <t>SKÅNE LÄN</t>
        </is>
      </c>
      <c r="E4853" t="inlineStr">
        <is>
          <t>ÖSTRA GÖINGE</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45359-2023</t>
        </is>
      </c>
      <c r="B4854" s="1" t="n">
        <v>45192</v>
      </c>
      <c r="C4854" s="1" t="n">
        <v>45796</v>
      </c>
      <c r="D4854" t="inlineStr">
        <is>
          <t>SKÅNE LÄN</t>
        </is>
      </c>
      <c r="E4854" t="inlineStr">
        <is>
          <t>ÖSTRA GÖINGE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45420-2023</t>
        </is>
      </c>
      <c r="B4855" s="1" t="n">
        <v>45194</v>
      </c>
      <c r="C4855" s="1" t="n">
        <v>45796</v>
      </c>
      <c r="D4855" t="inlineStr">
        <is>
          <t>SKÅNE LÄN</t>
        </is>
      </c>
      <c r="E4855" t="inlineStr">
        <is>
          <t>OSBY</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45461-2023</t>
        </is>
      </c>
      <c r="B4856" s="1" t="n">
        <v>45194</v>
      </c>
      <c r="C4856" s="1" t="n">
        <v>45796</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45470-2023</t>
        </is>
      </c>
      <c r="B4857" s="1" t="n">
        <v>45194</v>
      </c>
      <c r="C4857" s="1" t="n">
        <v>45796</v>
      </c>
      <c r="D4857" t="inlineStr">
        <is>
          <t>SKÅNE LÄN</t>
        </is>
      </c>
      <c r="E4857" t="inlineStr">
        <is>
          <t>HÄSSLEHOLM</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45538-2023</t>
        </is>
      </c>
      <c r="B4858" s="1" t="n">
        <v>45194</v>
      </c>
      <c r="C4858" s="1" t="n">
        <v>45796</v>
      </c>
      <c r="D4858" t="inlineStr">
        <is>
          <t>SKÅNE LÄN</t>
        </is>
      </c>
      <c r="E4858" t="inlineStr">
        <is>
          <t>HÖRBY</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45611-2023</t>
        </is>
      </c>
      <c r="B4859" s="1" t="n">
        <v>45194</v>
      </c>
      <c r="C4859" s="1" t="n">
        <v>45796</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45609-2023</t>
        </is>
      </c>
      <c r="B4860" s="1" t="n">
        <v>45194</v>
      </c>
      <c r="C4860" s="1" t="n">
        <v>45796</v>
      </c>
      <c r="D4860" t="inlineStr">
        <is>
          <t>SKÅNE LÄN</t>
        </is>
      </c>
      <c r="E4860" t="inlineStr">
        <is>
          <t>KRISTIANSTAD</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46606-2023</t>
        </is>
      </c>
      <c r="B4861" s="1" t="n">
        <v>45194</v>
      </c>
      <c r="C4861" s="1" t="n">
        <v>45796</v>
      </c>
      <c r="D4861" t="inlineStr">
        <is>
          <t>SKÅNE LÄN</t>
        </is>
      </c>
      <c r="E4861" t="inlineStr">
        <is>
          <t>ÖSTRA GÖINGE</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45526-2023</t>
        </is>
      </c>
      <c r="B4862" s="1" t="n">
        <v>45194</v>
      </c>
      <c r="C4862" s="1" t="n">
        <v>45796</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45588-2023</t>
        </is>
      </c>
      <c r="B4863" s="1" t="n">
        <v>45194</v>
      </c>
      <c r="C4863" s="1" t="n">
        <v>45796</v>
      </c>
      <c r="D4863" t="inlineStr">
        <is>
          <t>SKÅNE LÄN</t>
        </is>
      </c>
      <c r="E4863" t="inlineStr">
        <is>
          <t>ÖRKELLJUNGA</t>
        </is>
      </c>
      <c r="F4863" t="inlineStr">
        <is>
          <t>Kyrkan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45606-2023</t>
        </is>
      </c>
      <c r="B4864" s="1" t="n">
        <v>45194</v>
      </c>
      <c r="C4864" s="1" t="n">
        <v>45796</v>
      </c>
      <c r="D4864" t="inlineStr">
        <is>
          <t>SKÅNE LÄN</t>
        </is>
      </c>
      <c r="E4864" t="inlineStr">
        <is>
          <t>KRISTIANSTAD</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46618-2023</t>
        </is>
      </c>
      <c r="B4865" s="1" t="n">
        <v>45194</v>
      </c>
      <c r="C4865" s="1" t="n">
        <v>45796</v>
      </c>
      <c r="D4865" t="inlineStr">
        <is>
          <t>SKÅNE LÄN</t>
        </is>
      </c>
      <c r="E4865" t="inlineStr">
        <is>
          <t>ÖSTRA GÖINGE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45663-2023</t>
        </is>
      </c>
      <c r="B4866" s="1" t="n">
        <v>45194</v>
      </c>
      <c r="C4866" s="1" t="n">
        <v>45796</v>
      </c>
      <c r="D4866" t="inlineStr">
        <is>
          <t>SKÅNE LÄN</t>
        </is>
      </c>
      <c r="E4866" t="inlineStr">
        <is>
          <t>HÄSSLEHOLM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46625-2023</t>
        </is>
      </c>
      <c r="B4867" s="1" t="n">
        <v>45194</v>
      </c>
      <c r="C4867" s="1" t="n">
        <v>45796</v>
      </c>
      <c r="D4867" t="inlineStr">
        <is>
          <t>SKÅNE LÄN</t>
        </is>
      </c>
      <c r="E4867" t="inlineStr">
        <is>
          <t>ÖSTRA GÖINGE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45803-2023</t>
        </is>
      </c>
      <c r="B4868" s="1" t="n">
        <v>45195</v>
      </c>
      <c r="C4868" s="1" t="n">
        <v>45796</v>
      </c>
      <c r="D4868" t="inlineStr">
        <is>
          <t>SKÅNE LÄN</t>
        </is>
      </c>
      <c r="E4868" t="inlineStr">
        <is>
          <t>HÄSSLEHOLM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45906-2023</t>
        </is>
      </c>
      <c r="B4869" s="1" t="n">
        <v>45195</v>
      </c>
      <c r="C4869" s="1" t="n">
        <v>45796</v>
      </c>
      <c r="D4869" t="inlineStr">
        <is>
          <t>SKÅNE LÄN</t>
        </is>
      </c>
      <c r="E4869" t="inlineStr">
        <is>
          <t>OSBY</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46733-2023</t>
        </is>
      </c>
      <c r="B4870" s="1" t="n">
        <v>45195</v>
      </c>
      <c r="C4870" s="1" t="n">
        <v>45796</v>
      </c>
      <c r="D4870" t="inlineStr">
        <is>
          <t>SKÅNE LÄN</t>
        </is>
      </c>
      <c r="E4870" t="inlineStr">
        <is>
          <t>BROMÖLLA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45900-2023</t>
        </is>
      </c>
      <c r="B4871" s="1" t="n">
        <v>45195</v>
      </c>
      <c r="C4871" s="1" t="n">
        <v>45796</v>
      </c>
      <c r="D4871" t="inlineStr">
        <is>
          <t>SKÅNE LÄN</t>
        </is>
      </c>
      <c r="E4871" t="inlineStr">
        <is>
          <t>OSBY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45769-2023</t>
        </is>
      </c>
      <c r="B4872" s="1" t="n">
        <v>45195</v>
      </c>
      <c r="C4872" s="1" t="n">
        <v>45796</v>
      </c>
      <c r="D4872" t="inlineStr">
        <is>
          <t>SKÅNE LÄN</t>
        </is>
      </c>
      <c r="E4872" t="inlineStr">
        <is>
          <t>OSBY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45899-2023</t>
        </is>
      </c>
      <c r="B4873" s="1" t="n">
        <v>45195</v>
      </c>
      <c r="C4873" s="1" t="n">
        <v>45796</v>
      </c>
      <c r="D4873" t="inlineStr">
        <is>
          <t>SKÅNE LÄN</t>
        </is>
      </c>
      <c r="E4873" t="inlineStr">
        <is>
          <t>OSBY</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45903-2023</t>
        </is>
      </c>
      <c r="B4874" s="1" t="n">
        <v>45195</v>
      </c>
      <c r="C4874" s="1" t="n">
        <v>45796</v>
      </c>
      <c r="D4874" t="inlineStr">
        <is>
          <t>SKÅNE LÄN</t>
        </is>
      </c>
      <c r="E4874" t="inlineStr">
        <is>
          <t>OSBY</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46668-2023</t>
        </is>
      </c>
      <c r="B4875" s="1" t="n">
        <v>45195</v>
      </c>
      <c r="C4875" s="1" t="n">
        <v>45796</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45983-2023</t>
        </is>
      </c>
      <c r="B4876" s="1" t="n">
        <v>45196</v>
      </c>
      <c r="C4876" s="1" t="n">
        <v>45796</v>
      </c>
      <c r="D4876" t="inlineStr">
        <is>
          <t>SKÅNE LÄN</t>
        </is>
      </c>
      <c r="E4876" t="inlineStr">
        <is>
          <t>SKURUP</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46246-2023</t>
        </is>
      </c>
      <c r="B4877" s="1" t="n">
        <v>45196</v>
      </c>
      <c r="C4877" s="1" t="n">
        <v>45796</v>
      </c>
      <c r="D4877" t="inlineStr">
        <is>
          <t>SKÅNE LÄN</t>
        </is>
      </c>
      <c r="E4877" t="inlineStr">
        <is>
          <t>OSBY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46245-2023</t>
        </is>
      </c>
      <c r="B4878" s="1" t="n">
        <v>45196</v>
      </c>
      <c r="C4878" s="1" t="n">
        <v>45796</v>
      </c>
      <c r="D4878" t="inlineStr">
        <is>
          <t>SKÅNE LÄN</t>
        </is>
      </c>
      <c r="E4878" t="inlineStr">
        <is>
          <t>OSBY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46243-2023</t>
        </is>
      </c>
      <c r="B4879" s="1" t="n">
        <v>45196</v>
      </c>
      <c r="C4879" s="1" t="n">
        <v>45796</v>
      </c>
      <c r="D4879" t="inlineStr">
        <is>
          <t>SKÅNE LÄN</t>
        </is>
      </c>
      <c r="E4879" t="inlineStr">
        <is>
          <t>OSBY</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46247-2023</t>
        </is>
      </c>
      <c r="B4880" s="1" t="n">
        <v>45196</v>
      </c>
      <c r="C4880" s="1" t="n">
        <v>45796</v>
      </c>
      <c r="D4880" t="inlineStr">
        <is>
          <t>SKÅNE LÄN</t>
        </is>
      </c>
      <c r="E4880" t="inlineStr">
        <is>
          <t>OSBY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47315-2023</t>
        </is>
      </c>
      <c r="B4881" s="1" t="n">
        <v>45196</v>
      </c>
      <c r="C4881" s="1" t="n">
        <v>45796</v>
      </c>
      <c r="D4881" t="inlineStr">
        <is>
          <t>SKÅNE LÄN</t>
        </is>
      </c>
      <c r="E4881" t="inlineStr">
        <is>
          <t>BROMÖLLA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46288-2023</t>
        </is>
      </c>
      <c r="B4882" s="1" t="n">
        <v>45197</v>
      </c>
      <c r="C4882" s="1" t="n">
        <v>45796</v>
      </c>
      <c r="D4882" t="inlineStr">
        <is>
          <t>SKÅNE LÄN</t>
        </is>
      </c>
      <c r="E4882" t="inlineStr">
        <is>
          <t>HÄSSLEHOLM</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46425-2023</t>
        </is>
      </c>
      <c r="B4883" s="1" t="n">
        <v>45197</v>
      </c>
      <c r="C4883" s="1" t="n">
        <v>45796</v>
      </c>
      <c r="D4883" t="inlineStr">
        <is>
          <t>SKÅNE LÄN</t>
        </is>
      </c>
      <c r="E4883" t="inlineStr">
        <is>
          <t>OSBY</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46432-2023</t>
        </is>
      </c>
      <c r="B4884" s="1" t="n">
        <v>45197</v>
      </c>
      <c r="C4884" s="1" t="n">
        <v>45796</v>
      </c>
      <c r="D4884" t="inlineStr">
        <is>
          <t>SKÅNE LÄN</t>
        </is>
      </c>
      <c r="E4884" t="inlineStr">
        <is>
          <t>OSBY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46524-2023</t>
        </is>
      </c>
      <c r="B4885" s="1" t="n">
        <v>45197</v>
      </c>
      <c r="C4885" s="1" t="n">
        <v>45796</v>
      </c>
      <c r="D4885" t="inlineStr">
        <is>
          <t>SKÅNE LÄN</t>
        </is>
      </c>
      <c r="E4885" t="inlineStr">
        <is>
          <t>KRISTIANSTAD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46523-2023</t>
        </is>
      </c>
      <c r="B4886" s="1" t="n">
        <v>45197</v>
      </c>
      <c r="C4886" s="1" t="n">
        <v>45796</v>
      </c>
      <c r="D4886" t="inlineStr">
        <is>
          <t>SKÅNE LÄN</t>
        </is>
      </c>
      <c r="E4886" t="inlineStr">
        <is>
          <t>KRISTIANSTAD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46373-2023</t>
        </is>
      </c>
      <c r="B4887" s="1" t="n">
        <v>45197</v>
      </c>
      <c r="C4887" s="1" t="n">
        <v>45796</v>
      </c>
      <c r="D4887" t="inlineStr">
        <is>
          <t>SKÅNE LÄN</t>
        </is>
      </c>
      <c r="E4887" t="inlineStr">
        <is>
          <t>PERSTORP</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46521-2023</t>
        </is>
      </c>
      <c r="B4888" s="1" t="n">
        <v>45197</v>
      </c>
      <c r="C4888" s="1" t="n">
        <v>45796</v>
      </c>
      <c r="D4888" t="inlineStr">
        <is>
          <t>SKÅNE LÄN</t>
        </is>
      </c>
      <c r="E4888" t="inlineStr">
        <is>
          <t>KRISTIANSTAD</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46525-2023</t>
        </is>
      </c>
      <c r="B4889" s="1" t="n">
        <v>45197</v>
      </c>
      <c r="C4889" s="1" t="n">
        <v>45796</v>
      </c>
      <c r="D4889" t="inlineStr">
        <is>
          <t>SKÅNE LÄN</t>
        </is>
      </c>
      <c r="E4889" t="inlineStr">
        <is>
          <t>KRISTIANSTAD</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46431-2023</t>
        </is>
      </c>
      <c r="B4890" s="1" t="n">
        <v>45197</v>
      </c>
      <c r="C4890" s="1" t="n">
        <v>45796</v>
      </c>
      <c r="D4890" t="inlineStr">
        <is>
          <t>SKÅNE LÄN</t>
        </is>
      </c>
      <c r="E4890" t="inlineStr">
        <is>
          <t>OSBY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47268-2023</t>
        </is>
      </c>
      <c r="B4891" s="1" t="n">
        <v>45197</v>
      </c>
      <c r="C4891" s="1" t="n">
        <v>45796</v>
      </c>
      <c r="D4891" t="inlineStr">
        <is>
          <t>SKÅNE LÄN</t>
        </is>
      </c>
      <c r="E4891" t="inlineStr">
        <is>
          <t>ÖSTRA GÖINGE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47394-2023</t>
        </is>
      </c>
      <c r="B4892" s="1" t="n">
        <v>45197</v>
      </c>
      <c r="C4892" s="1" t="n">
        <v>45796</v>
      </c>
      <c r="D4892" t="inlineStr">
        <is>
          <t>SKÅNE LÄN</t>
        </is>
      </c>
      <c r="E4892" t="inlineStr">
        <is>
          <t>BROMÖLLA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46566-2023</t>
        </is>
      </c>
      <c r="B4893" s="1" t="n">
        <v>45198</v>
      </c>
      <c r="C4893" s="1" t="n">
        <v>45796</v>
      </c>
      <c r="D4893" t="inlineStr">
        <is>
          <t>SKÅNE LÄN</t>
        </is>
      </c>
      <c r="E4893" t="inlineStr">
        <is>
          <t>ÖSTRA GÖINGE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46641-2023</t>
        </is>
      </c>
      <c r="B4894" s="1" t="n">
        <v>45198</v>
      </c>
      <c r="C4894" s="1" t="n">
        <v>45796</v>
      </c>
      <c r="D4894" t="inlineStr">
        <is>
          <t>SKÅNE LÄN</t>
        </is>
      </c>
      <c r="E4894" t="inlineStr">
        <is>
          <t>HÄSSLEHOLM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46680-2023</t>
        </is>
      </c>
      <c r="B4895" s="1" t="n">
        <v>45198</v>
      </c>
      <c r="C4895" s="1" t="n">
        <v>45796</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46728-2023</t>
        </is>
      </c>
      <c r="B4896" s="1" t="n">
        <v>45198</v>
      </c>
      <c r="C4896" s="1" t="n">
        <v>45796</v>
      </c>
      <c r="D4896" t="inlineStr">
        <is>
          <t>SKÅNE LÄN</t>
        </is>
      </c>
      <c r="E4896" t="inlineStr">
        <is>
          <t>KLIPPAN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46772-2023</t>
        </is>
      </c>
      <c r="B4897" s="1" t="n">
        <v>45198</v>
      </c>
      <c r="C4897" s="1" t="n">
        <v>45796</v>
      </c>
      <c r="D4897" t="inlineStr">
        <is>
          <t>SKÅNE LÄN</t>
        </is>
      </c>
      <c r="E4897" t="inlineStr">
        <is>
          <t>KRISTIANSTAD</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46573-2023</t>
        </is>
      </c>
      <c r="B4898" s="1" t="n">
        <v>45198</v>
      </c>
      <c r="C4898" s="1" t="n">
        <v>45796</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46645-2023</t>
        </is>
      </c>
      <c r="B4899" s="1" t="n">
        <v>45198</v>
      </c>
      <c r="C4899" s="1" t="n">
        <v>45796</v>
      </c>
      <c r="D4899" t="inlineStr">
        <is>
          <t>SKÅNE LÄN</t>
        </is>
      </c>
      <c r="E4899" t="inlineStr">
        <is>
          <t>HÄSSLEHOLM</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46677-2023</t>
        </is>
      </c>
      <c r="B4900" s="1" t="n">
        <v>45198</v>
      </c>
      <c r="C4900" s="1" t="n">
        <v>45796</v>
      </c>
      <c r="D4900" t="inlineStr">
        <is>
          <t>SKÅNE LÄN</t>
        </is>
      </c>
      <c r="E4900" t="inlineStr">
        <is>
          <t>ÖSTRA GÖINGE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46683-2023</t>
        </is>
      </c>
      <c r="B4901" s="1" t="n">
        <v>45198</v>
      </c>
      <c r="C4901" s="1" t="n">
        <v>45796</v>
      </c>
      <c r="D4901" t="inlineStr">
        <is>
          <t>SKÅNE LÄN</t>
        </is>
      </c>
      <c r="E4901" t="inlineStr">
        <is>
          <t>ÖRKELLJUNGA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47652-2023</t>
        </is>
      </c>
      <c r="B4902" s="1" t="n">
        <v>45198</v>
      </c>
      <c r="C4902" s="1" t="n">
        <v>45796</v>
      </c>
      <c r="D4902" t="inlineStr">
        <is>
          <t>SKÅNE LÄN</t>
        </is>
      </c>
      <c r="E4902" t="inlineStr">
        <is>
          <t>KRISTIANSTAD</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46836-2023</t>
        </is>
      </c>
      <c r="B4903" s="1" t="n">
        <v>45199</v>
      </c>
      <c r="C4903" s="1" t="n">
        <v>45796</v>
      </c>
      <c r="D4903" t="inlineStr">
        <is>
          <t>SKÅNE LÄN</t>
        </is>
      </c>
      <c r="E4903" t="inlineStr">
        <is>
          <t>KLIPPAN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46835-2023</t>
        </is>
      </c>
      <c r="B4904" s="1" t="n">
        <v>45199</v>
      </c>
      <c r="C4904" s="1" t="n">
        <v>45796</v>
      </c>
      <c r="D4904" t="inlineStr">
        <is>
          <t>SKÅNE LÄN</t>
        </is>
      </c>
      <c r="E4904" t="inlineStr">
        <is>
          <t>KLIPPAN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47065-2023</t>
        </is>
      </c>
      <c r="B4905" s="1" t="n">
        <v>45201</v>
      </c>
      <c r="C4905" s="1" t="n">
        <v>45796</v>
      </c>
      <c r="D4905" t="inlineStr">
        <is>
          <t>SKÅNE LÄN</t>
        </is>
      </c>
      <c r="E4905" t="inlineStr">
        <is>
          <t>PERSTORP</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46947-2023</t>
        </is>
      </c>
      <c r="B4906" s="1" t="n">
        <v>45201</v>
      </c>
      <c r="C4906" s="1" t="n">
        <v>45796</v>
      </c>
      <c r="D4906" t="inlineStr">
        <is>
          <t>SKÅNE LÄN</t>
        </is>
      </c>
      <c r="E4906" t="inlineStr">
        <is>
          <t>BÅSTAD</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47231-2023</t>
        </is>
      </c>
      <c r="B4907" s="1" t="n">
        <v>45202</v>
      </c>
      <c r="C4907" s="1" t="n">
        <v>45796</v>
      </c>
      <c r="D4907" t="inlineStr">
        <is>
          <t>SKÅNE LÄN</t>
        </is>
      </c>
      <c r="E4907" t="inlineStr">
        <is>
          <t>TOMELILLA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47249-2023</t>
        </is>
      </c>
      <c r="B4908" s="1" t="n">
        <v>45202</v>
      </c>
      <c r="C4908" s="1" t="n">
        <v>45796</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47248-2023</t>
        </is>
      </c>
      <c r="B4909" s="1" t="n">
        <v>45202</v>
      </c>
      <c r="C4909" s="1" t="n">
        <v>45796</v>
      </c>
      <c r="D4909" t="inlineStr">
        <is>
          <t>SKÅNE LÄN</t>
        </is>
      </c>
      <c r="E4909" t="inlineStr">
        <is>
          <t>HÄSSLEHOLM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48621-2023</t>
        </is>
      </c>
      <c r="B4910" s="1" t="n">
        <v>45202</v>
      </c>
      <c r="C4910" s="1" t="n">
        <v>45796</v>
      </c>
      <c r="D4910" t="inlineStr">
        <is>
          <t>SKÅNE LÄN</t>
        </is>
      </c>
      <c r="E4910" t="inlineStr">
        <is>
          <t>ÖSTRA GÖINGE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48613-2023</t>
        </is>
      </c>
      <c r="B4911" s="1" t="n">
        <v>45202</v>
      </c>
      <c r="C4911" s="1" t="n">
        <v>45796</v>
      </c>
      <c r="D4911" t="inlineStr">
        <is>
          <t>SKÅNE LÄN</t>
        </is>
      </c>
      <c r="E4911" t="inlineStr">
        <is>
          <t>ÖSTRA GÖINGE</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47584-2023</t>
        </is>
      </c>
      <c r="B4912" s="1" t="n">
        <v>45203</v>
      </c>
      <c r="C4912" s="1" t="n">
        <v>45796</v>
      </c>
      <c r="D4912" t="inlineStr">
        <is>
          <t>SKÅNE LÄN</t>
        </is>
      </c>
      <c r="E4912" t="inlineStr">
        <is>
          <t>ÖSTRA GÖINGE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47637-2023</t>
        </is>
      </c>
      <c r="B4913" s="1" t="n">
        <v>45203</v>
      </c>
      <c r="C4913" s="1" t="n">
        <v>45796</v>
      </c>
      <c r="D4913" t="inlineStr">
        <is>
          <t>SKÅNE LÄN</t>
        </is>
      </c>
      <c r="E4913" t="inlineStr">
        <is>
          <t>HÖRBY</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47641-2023</t>
        </is>
      </c>
      <c r="B4914" s="1" t="n">
        <v>45203</v>
      </c>
      <c r="C4914" s="1" t="n">
        <v>45796</v>
      </c>
      <c r="D4914" t="inlineStr">
        <is>
          <t>SKÅNE LÄN</t>
        </is>
      </c>
      <c r="E4914" t="inlineStr">
        <is>
          <t>HÖRBY</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47656-2023</t>
        </is>
      </c>
      <c r="B4915" s="1" t="n">
        <v>45203</v>
      </c>
      <c r="C4915" s="1" t="n">
        <v>45796</v>
      </c>
      <c r="D4915" t="inlineStr">
        <is>
          <t>SKÅNE LÄN</t>
        </is>
      </c>
      <c r="E4915" t="inlineStr">
        <is>
          <t>SJÖBO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47552-2023</t>
        </is>
      </c>
      <c r="B4916" s="1" t="n">
        <v>45203</v>
      </c>
      <c r="C4916" s="1" t="n">
        <v>45796</v>
      </c>
      <c r="D4916" t="inlineStr">
        <is>
          <t>SKÅNE LÄN</t>
        </is>
      </c>
      <c r="E4916" t="inlineStr">
        <is>
          <t>HÖRBY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47609-2023</t>
        </is>
      </c>
      <c r="B4917" s="1" t="n">
        <v>45203</v>
      </c>
      <c r="C4917" s="1" t="n">
        <v>45796</v>
      </c>
      <c r="D4917" t="inlineStr">
        <is>
          <t>SKÅNE LÄN</t>
        </is>
      </c>
      <c r="E4917" t="inlineStr">
        <is>
          <t>HÖRBY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47572-2023</t>
        </is>
      </c>
      <c r="B4918" s="1" t="n">
        <v>45203</v>
      </c>
      <c r="C4918" s="1" t="n">
        <v>45796</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47592-2023</t>
        </is>
      </c>
      <c r="B4919" s="1" t="n">
        <v>45203</v>
      </c>
      <c r="C4919" s="1" t="n">
        <v>45796</v>
      </c>
      <c r="D4919" t="inlineStr">
        <is>
          <t>SKÅNE LÄN</t>
        </is>
      </c>
      <c r="E4919" t="inlineStr">
        <is>
          <t>ÖSTRA GÖINGE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47612-2023</t>
        </is>
      </c>
      <c r="B4920" s="1" t="n">
        <v>45203</v>
      </c>
      <c r="C4920" s="1" t="n">
        <v>45796</v>
      </c>
      <c r="D4920" t="inlineStr">
        <is>
          <t>SKÅNE LÄN</t>
        </is>
      </c>
      <c r="E4920" t="inlineStr">
        <is>
          <t>HÖRBY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47558-2023</t>
        </is>
      </c>
      <c r="B4921" s="1" t="n">
        <v>45203</v>
      </c>
      <c r="C4921" s="1" t="n">
        <v>45796</v>
      </c>
      <c r="D4921" t="inlineStr">
        <is>
          <t>SKÅNE LÄN</t>
        </is>
      </c>
      <c r="E4921" t="inlineStr">
        <is>
          <t>HÖRBY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47591-2023</t>
        </is>
      </c>
      <c r="B4922" s="1" t="n">
        <v>45203</v>
      </c>
      <c r="C4922" s="1" t="n">
        <v>45796</v>
      </c>
      <c r="D4922" t="inlineStr">
        <is>
          <t>SKÅNE LÄN</t>
        </is>
      </c>
      <c r="E4922" t="inlineStr">
        <is>
          <t>ÖSTRA GÖINGE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47647-2023</t>
        </is>
      </c>
      <c r="B4923" s="1" t="n">
        <v>45203</v>
      </c>
      <c r="C4923" s="1" t="n">
        <v>45796</v>
      </c>
      <c r="D4923" t="inlineStr">
        <is>
          <t>SKÅNE LÄN</t>
        </is>
      </c>
      <c r="E4923" t="inlineStr">
        <is>
          <t>HÖRBY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47874-2023</t>
        </is>
      </c>
      <c r="B4924" s="1" t="n">
        <v>45204</v>
      </c>
      <c r="C4924" s="1" t="n">
        <v>45796</v>
      </c>
      <c r="D4924" t="inlineStr">
        <is>
          <t>SKÅNE LÄN</t>
        </is>
      </c>
      <c r="E4924" t="inlineStr">
        <is>
          <t>SIMRISHAMN</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47943-2023</t>
        </is>
      </c>
      <c r="B4925" s="1" t="n">
        <v>45204</v>
      </c>
      <c r="C4925" s="1" t="n">
        <v>45796</v>
      </c>
      <c r="D4925" t="inlineStr">
        <is>
          <t>SKÅNE LÄN</t>
        </is>
      </c>
      <c r="E4925" t="inlineStr">
        <is>
          <t>SJÖBO</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48046-2023</t>
        </is>
      </c>
      <c r="B4926" s="1" t="n">
        <v>45204</v>
      </c>
      <c r="C4926" s="1" t="n">
        <v>45796</v>
      </c>
      <c r="D4926" t="inlineStr">
        <is>
          <t>SKÅNE LÄN</t>
        </is>
      </c>
      <c r="E4926" t="inlineStr">
        <is>
          <t>HÄSSLEHOLM</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47840-2023</t>
        </is>
      </c>
      <c r="B4927" s="1" t="n">
        <v>45204</v>
      </c>
      <c r="C4927" s="1" t="n">
        <v>45796</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47915-2023</t>
        </is>
      </c>
      <c r="B4928" s="1" t="n">
        <v>45204</v>
      </c>
      <c r="C4928" s="1" t="n">
        <v>45796</v>
      </c>
      <c r="D4928" t="inlineStr">
        <is>
          <t>SKÅNE LÄN</t>
        </is>
      </c>
      <c r="E4928" t="inlineStr">
        <is>
          <t>HÄSSLEHOLM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47950-2023</t>
        </is>
      </c>
      <c r="B4929" s="1" t="n">
        <v>45204</v>
      </c>
      <c r="C4929" s="1" t="n">
        <v>45796</v>
      </c>
      <c r="D4929" t="inlineStr">
        <is>
          <t>SKÅNE LÄN</t>
        </is>
      </c>
      <c r="E4929" t="inlineStr">
        <is>
          <t>PERSTORP</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48853-2023</t>
        </is>
      </c>
      <c r="B4930" s="1" t="n">
        <v>45204</v>
      </c>
      <c r="C4930" s="1" t="n">
        <v>45796</v>
      </c>
      <c r="D4930" t="inlineStr">
        <is>
          <t>SKÅNE LÄN</t>
        </is>
      </c>
      <c r="E4930" t="inlineStr">
        <is>
          <t>KRISTIANSTAD</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49017-2023</t>
        </is>
      </c>
      <c r="B4931" s="1" t="n">
        <v>45204</v>
      </c>
      <c r="C4931" s="1" t="n">
        <v>45796</v>
      </c>
      <c r="D4931" t="inlineStr">
        <is>
          <t>SKÅNE LÄN</t>
        </is>
      </c>
      <c r="E4931" t="inlineStr">
        <is>
          <t>ÖRKELLJUNGA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49016-2023</t>
        </is>
      </c>
      <c r="B4932" s="1" t="n">
        <v>45204</v>
      </c>
      <c r="C4932" s="1" t="n">
        <v>45796</v>
      </c>
      <c r="D4932" t="inlineStr">
        <is>
          <t>SKÅNE LÄN</t>
        </is>
      </c>
      <c r="E4932" t="inlineStr">
        <is>
          <t>ÖRKELLJUNGA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48133-2023</t>
        </is>
      </c>
      <c r="B4933" s="1" t="n">
        <v>45205</v>
      </c>
      <c r="C4933" s="1" t="n">
        <v>45796</v>
      </c>
      <c r="D4933" t="inlineStr">
        <is>
          <t>SKÅNE LÄN</t>
        </is>
      </c>
      <c r="E4933" t="inlineStr">
        <is>
          <t>HÖRBY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48309-2023</t>
        </is>
      </c>
      <c r="B4934" s="1" t="n">
        <v>45205</v>
      </c>
      <c r="C4934" s="1" t="n">
        <v>45796</v>
      </c>
      <c r="D4934" t="inlineStr">
        <is>
          <t>SKÅNE LÄN</t>
        </is>
      </c>
      <c r="E4934" t="inlineStr">
        <is>
          <t>ÄNGELHOLM</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48335-2023</t>
        </is>
      </c>
      <c r="B4935" s="1" t="n">
        <v>45205</v>
      </c>
      <c r="C4935" s="1" t="n">
        <v>45796</v>
      </c>
      <c r="D4935" t="inlineStr">
        <is>
          <t>SKÅNE LÄN</t>
        </is>
      </c>
      <c r="E4935" t="inlineStr">
        <is>
          <t>HÄSSLEHOLM</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48408-2023</t>
        </is>
      </c>
      <c r="B4936" s="1" t="n">
        <v>45205</v>
      </c>
      <c r="C4936" s="1" t="n">
        <v>45796</v>
      </c>
      <c r="D4936" t="inlineStr">
        <is>
          <t>SKÅNE LÄN</t>
        </is>
      </c>
      <c r="E4936" t="inlineStr">
        <is>
          <t>ÖSTRA GÖINGE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48326-2023</t>
        </is>
      </c>
      <c r="B4937" s="1" t="n">
        <v>45205</v>
      </c>
      <c r="C4937" s="1" t="n">
        <v>45796</v>
      </c>
      <c r="D4937" t="inlineStr">
        <is>
          <t>SKÅNE LÄN</t>
        </is>
      </c>
      <c r="E4937" t="inlineStr">
        <is>
          <t>HÄSSLEHOLM</t>
        </is>
      </c>
      <c r="G4937" t="n">
        <v>12.7</v>
      </c>
      <c r="H4937" t="n">
        <v>0</v>
      </c>
      <c r="I4937" t="n">
        <v>0</v>
      </c>
      <c r="J4937" t="n">
        <v>0</v>
      </c>
      <c r="K4937" t="n">
        <v>0</v>
      </c>
      <c r="L4937" t="n">
        <v>0</v>
      </c>
      <c r="M4937" t="n">
        <v>0</v>
      </c>
      <c r="N4937" t="n">
        <v>0</v>
      </c>
      <c r="O4937" t="n">
        <v>0</v>
      </c>
      <c r="P4937" t="n">
        <v>0</v>
      </c>
      <c r="Q4937" t="n">
        <v>0</v>
      </c>
      <c r="R4937" s="2" t="inlineStr"/>
    </row>
    <row r="4938" ht="15" customHeight="1">
      <c r="A4938" t="inlineStr">
        <is>
          <t>A 48513-2023</t>
        </is>
      </c>
      <c r="B4938" s="1" t="n">
        <v>45208</v>
      </c>
      <c r="C4938" s="1" t="n">
        <v>45796</v>
      </c>
      <c r="D4938" t="inlineStr">
        <is>
          <t>SKÅNE LÄN</t>
        </is>
      </c>
      <c r="E4938" t="inlineStr">
        <is>
          <t>OSBY</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48582-2023</t>
        </is>
      </c>
      <c r="B4939" s="1" t="n">
        <v>45208</v>
      </c>
      <c r="C4939" s="1" t="n">
        <v>45796</v>
      </c>
      <c r="D4939" t="inlineStr">
        <is>
          <t>SKÅNE LÄN</t>
        </is>
      </c>
      <c r="E4939" t="inlineStr">
        <is>
          <t>OSBY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48579-2023</t>
        </is>
      </c>
      <c r="B4940" s="1" t="n">
        <v>45208</v>
      </c>
      <c r="C4940" s="1" t="n">
        <v>45796</v>
      </c>
      <c r="D4940" t="inlineStr">
        <is>
          <t>SKÅNE LÄN</t>
        </is>
      </c>
      <c r="E4940" t="inlineStr">
        <is>
          <t>OSBY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48677-2023</t>
        </is>
      </c>
      <c r="B4941" s="1" t="n">
        <v>45208</v>
      </c>
      <c r="C4941" s="1" t="n">
        <v>45796</v>
      </c>
      <c r="D4941" t="inlineStr">
        <is>
          <t>SKÅNE LÄN</t>
        </is>
      </c>
      <c r="E4941" t="inlineStr">
        <is>
          <t>HÄSSLEHOLM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48738-2023</t>
        </is>
      </c>
      <c r="B4942" s="1" t="n">
        <v>45208</v>
      </c>
      <c r="C4942" s="1" t="n">
        <v>45796</v>
      </c>
      <c r="D4942" t="inlineStr">
        <is>
          <t>SKÅNE LÄN</t>
        </is>
      </c>
      <c r="E4942" t="inlineStr">
        <is>
          <t>BROMÖLLA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48627-2023</t>
        </is>
      </c>
      <c r="B4943" s="1" t="n">
        <v>45208</v>
      </c>
      <c r="C4943" s="1" t="n">
        <v>45796</v>
      </c>
      <c r="D4943" t="inlineStr">
        <is>
          <t>SKÅNE LÄN</t>
        </is>
      </c>
      <c r="E4943" t="inlineStr">
        <is>
          <t>HÄSSLEHOLM</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49726-2023</t>
        </is>
      </c>
      <c r="B4944" s="1" t="n">
        <v>45208</v>
      </c>
      <c r="C4944" s="1" t="n">
        <v>45796</v>
      </c>
      <c r="D4944" t="inlineStr">
        <is>
          <t>SKÅNE LÄN</t>
        </is>
      </c>
      <c r="E4944" t="inlineStr">
        <is>
          <t>HÖRBY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48797-2023</t>
        </is>
      </c>
      <c r="B4945" s="1" t="n">
        <v>45209</v>
      </c>
      <c r="C4945" s="1" t="n">
        <v>45796</v>
      </c>
      <c r="D4945" t="inlineStr">
        <is>
          <t>SKÅNE LÄN</t>
        </is>
      </c>
      <c r="E4945" t="inlineStr">
        <is>
          <t>HÄSSLEHOLM</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48840-2023</t>
        </is>
      </c>
      <c r="B4946" s="1" t="n">
        <v>45209</v>
      </c>
      <c r="C4946" s="1" t="n">
        <v>45796</v>
      </c>
      <c r="D4946" t="inlineStr">
        <is>
          <t>SKÅNE LÄN</t>
        </is>
      </c>
      <c r="E4946" t="inlineStr">
        <is>
          <t>OSBY</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48844-2023</t>
        </is>
      </c>
      <c r="B4947" s="1" t="n">
        <v>45209</v>
      </c>
      <c r="C4947" s="1" t="n">
        <v>45796</v>
      </c>
      <c r="D4947" t="inlineStr">
        <is>
          <t>SKÅNE LÄN</t>
        </is>
      </c>
      <c r="E4947" t="inlineStr">
        <is>
          <t>HÄSSLEHOLM</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48798-2023</t>
        </is>
      </c>
      <c r="B4948" s="1" t="n">
        <v>45209</v>
      </c>
      <c r="C4948" s="1" t="n">
        <v>45796</v>
      </c>
      <c r="D4948" t="inlineStr">
        <is>
          <t>SKÅNE LÄN</t>
        </is>
      </c>
      <c r="E4948" t="inlineStr">
        <is>
          <t>HÄSSLEHOLM</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48965-2023</t>
        </is>
      </c>
      <c r="B4949" s="1" t="n">
        <v>45209</v>
      </c>
      <c r="C4949" s="1" t="n">
        <v>45796</v>
      </c>
      <c r="D4949" t="inlineStr">
        <is>
          <t>SKÅNE LÄN</t>
        </is>
      </c>
      <c r="E4949" t="inlineStr">
        <is>
          <t>KLIPPAN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48974-2023</t>
        </is>
      </c>
      <c r="B4950" s="1" t="n">
        <v>45209</v>
      </c>
      <c r="C4950" s="1" t="n">
        <v>45796</v>
      </c>
      <c r="D4950" t="inlineStr">
        <is>
          <t>SKÅNE LÄN</t>
        </is>
      </c>
      <c r="E4950" t="inlineStr">
        <is>
          <t>BÅSTAD</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48966-2023</t>
        </is>
      </c>
      <c r="B4951" s="1" t="n">
        <v>45209</v>
      </c>
      <c r="C4951" s="1" t="n">
        <v>45796</v>
      </c>
      <c r="D4951" t="inlineStr">
        <is>
          <t>SKÅNE LÄN</t>
        </is>
      </c>
      <c r="E4951" t="inlineStr">
        <is>
          <t>ÖRKELLJUNGA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48910-2023</t>
        </is>
      </c>
      <c r="B4952" s="1" t="n">
        <v>45209</v>
      </c>
      <c r="C4952" s="1" t="n">
        <v>45796</v>
      </c>
      <c r="D4952" t="inlineStr">
        <is>
          <t>SKÅNE LÄN</t>
        </is>
      </c>
      <c r="E4952" t="inlineStr">
        <is>
          <t>ÖSTRA GÖINGE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50356-2023</t>
        </is>
      </c>
      <c r="B4953" s="1" t="n">
        <v>45209</v>
      </c>
      <c r="C4953" s="1" t="n">
        <v>45796</v>
      </c>
      <c r="D4953" t="inlineStr">
        <is>
          <t>SKÅNE LÄN</t>
        </is>
      </c>
      <c r="E4953" t="inlineStr">
        <is>
          <t>ÖSTRA GÖINGE</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50304-2023</t>
        </is>
      </c>
      <c r="B4954" s="1" t="n">
        <v>45209</v>
      </c>
      <c r="C4954" s="1" t="n">
        <v>45796</v>
      </c>
      <c r="D4954" t="inlineStr">
        <is>
          <t>SKÅNE LÄN</t>
        </is>
      </c>
      <c r="E4954" t="inlineStr">
        <is>
          <t>ÖRKELLJUNGA</t>
        </is>
      </c>
      <c r="G4954" t="n">
        <v>17.9</v>
      </c>
      <c r="H4954" t="n">
        <v>0</v>
      </c>
      <c r="I4954" t="n">
        <v>0</v>
      </c>
      <c r="J4954" t="n">
        <v>0</v>
      </c>
      <c r="K4954" t="n">
        <v>0</v>
      </c>
      <c r="L4954" t="n">
        <v>0</v>
      </c>
      <c r="M4954" t="n">
        <v>0</v>
      </c>
      <c r="N4954" t="n">
        <v>0</v>
      </c>
      <c r="O4954" t="n">
        <v>0</v>
      </c>
      <c r="P4954" t="n">
        <v>0</v>
      </c>
      <c r="Q4954" t="n">
        <v>0</v>
      </c>
      <c r="R4954" s="2" t="inlineStr"/>
    </row>
    <row r="4955" ht="15" customHeight="1">
      <c r="A4955" t="inlineStr">
        <is>
          <t>A 49106-2023</t>
        </is>
      </c>
      <c r="B4955" s="1" t="n">
        <v>45210</v>
      </c>
      <c r="C4955" s="1" t="n">
        <v>45796</v>
      </c>
      <c r="D4955" t="inlineStr">
        <is>
          <t>SKÅNE LÄN</t>
        </is>
      </c>
      <c r="E4955" t="inlineStr">
        <is>
          <t>HÄSSLEHOLM</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49297-2023</t>
        </is>
      </c>
      <c r="B4956" s="1" t="n">
        <v>45210</v>
      </c>
      <c r="C4956" s="1" t="n">
        <v>45796</v>
      </c>
      <c r="D4956" t="inlineStr">
        <is>
          <t>SKÅNE LÄN</t>
        </is>
      </c>
      <c r="E4956" t="inlineStr">
        <is>
          <t>LUND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49049-2023</t>
        </is>
      </c>
      <c r="B4957" s="1" t="n">
        <v>45210</v>
      </c>
      <c r="C4957" s="1" t="n">
        <v>45796</v>
      </c>
      <c r="D4957" t="inlineStr">
        <is>
          <t>SKÅNE LÄN</t>
        </is>
      </c>
      <c r="E4957" t="inlineStr">
        <is>
          <t>ÖRKELLJUNGA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49107-2023</t>
        </is>
      </c>
      <c r="B4958" s="1" t="n">
        <v>45210</v>
      </c>
      <c r="C4958" s="1" t="n">
        <v>45796</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49111-2023</t>
        </is>
      </c>
      <c r="B4959" s="1" t="n">
        <v>45210</v>
      </c>
      <c r="C4959" s="1" t="n">
        <v>45796</v>
      </c>
      <c r="D4959" t="inlineStr">
        <is>
          <t>SKÅNE LÄN</t>
        </is>
      </c>
      <c r="E4959" t="inlineStr">
        <is>
          <t>HÄSSLEHOLM</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49228-2023</t>
        </is>
      </c>
      <c r="B4960" s="1" t="n">
        <v>45210</v>
      </c>
      <c r="C4960" s="1" t="n">
        <v>45796</v>
      </c>
      <c r="D4960" t="inlineStr">
        <is>
          <t>SKÅNE LÄN</t>
        </is>
      </c>
      <c r="E4960" t="inlineStr">
        <is>
          <t>ÖSTRA GÖINGE</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49298-2023</t>
        </is>
      </c>
      <c r="B4961" s="1" t="n">
        <v>45210</v>
      </c>
      <c r="C4961" s="1" t="n">
        <v>45796</v>
      </c>
      <c r="D4961" t="inlineStr">
        <is>
          <t>SKÅNE LÄN</t>
        </is>
      </c>
      <c r="E4961" t="inlineStr">
        <is>
          <t>SJÖBO</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50652-2023</t>
        </is>
      </c>
      <c r="B4962" s="1" t="n">
        <v>45210</v>
      </c>
      <c r="C4962" s="1" t="n">
        <v>45796</v>
      </c>
      <c r="D4962" t="inlineStr">
        <is>
          <t>SKÅNE LÄN</t>
        </is>
      </c>
      <c r="E4962" t="inlineStr">
        <is>
          <t>ÄNGELHOLM</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50607-2023</t>
        </is>
      </c>
      <c r="B4963" s="1" t="n">
        <v>45210</v>
      </c>
      <c r="C4963" s="1" t="n">
        <v>45796</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50694-2023</t>
        </is>
      </c>
      <c r="B4964" s="1" t="n">
        <v>45210</v>
      </c>
      <c r="C4964" s="1" t="n">
        <v>45796</v>
      </c>
      <c r="D4964" t="inlineStr">
        <is>
          <t>SKÅNE LÄN</t>
        </is>
      </c>
      <c r="E4964" t="inlineStr">
        <is>
          <t>KRISTIANSTAD</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50781-2023</t>
        </is>
      </c>
      <c r="B4965" s="1" t="n">
        <v>45210</v>
      </c>
      <c r="C4965" s="1" t="n">
        <v>45796</v>
      </c>
      <c r="D4965" t="inlineStr">
        <is>
          <t>SKÅNE LÄN</t>
        </is>
      </c>
      <c r="E4965" t="inlineStr">
        <is>
          <t>HÄSSLEHOLM</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50616-2023</t>
        </is>
      </c>
      <c r="B4966" s="1" t="n">
        <v>45210</v>
      </c>
      <c r="C4966" s="1" t="n">
        <v>45796</v>
      </c>
      <c r="D4966" t="inlineStr">
        <is>
          <t>SKÅNE LÄN</t>
        </is>
      </c>
      <c r="E4966" t="inlineStr">
        <is>
          <t>HÄSSLEHOLM</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49363-2023</t>
        </is>
      </c>
      <c r="B4967" s="1" t="n">
        <v>45211</v>
      </c>
      <c r="C4967" s="1" t="n">
        <v>45796</v>
      </c>
      <c r="D4967" t="inlineStr">
        <is>
          <t>SKÅNE LÄN</t>
        </is>
      </c>
      <c r="E4967" t="inlineStr">
        <is>
          <t>HÖRBY</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49370-2023</t>
        </is>
      </c>
      <c r="B4968" s="1" t="n">
        <v>45211</v>
      </c>
      <c r="C4968" s="1" t="n">
        <v>45796</v>
      </c>
      <c r="D4968" t="inlineStr">
        <is>
          <t>SKÅNE LÄN</t>
        </is>
      </c>
      <c r="E4968" t="inlineStr">
        <is>
          <t>KLIPPAN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49387-2023</t>
        </is>
      </c>
      <c r="B4969" s="1" t="n">
        <v>45211</v>
      </c>
      <c r="C4969" s="1" t="n">
        <v>45796</v>
      </c>
      <c r="D4969" t="inlineStr">
        <is>
          <t>SKÅNE LÄN</t>
        </is>
      </c>
      <c r="E4969" t="inlineStr">
        <is>
          <t>KLIPPAN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49450-2023</t>
        </is>
      </c>
      <c r="B4970" s="1" t="n">
        <v>45211</v>
      </c>
      <c r="C4970" s="1" t="n">
        <v>45796</v>
      </c>
      <c r="D4970" t="inlineStr">
        <is>
          <t>SKÅNE LÄN</t>
        </is>
      </c>
      <c r="E4970" t="inlineStr">
        <is>
          <t>KRISTIANSTAD</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49622-2023</t>
        </is>
      </c>
      <c r="B4971" s="1" t="n">
        <v>45211</v>
      </c>
      <c r="C4971" s="1" t="n">
        <v>45796</v>
      </c>
      <c r="D4971" t="inlineStr">
        <is>
          <t>SKÅNE LÄN</t>
        </is>
      </c>
      <c r="E4971" t="inlineStr">
        <is>
          <t>OSBY</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51031-2023</t>
        </is>
      </c>
      <c r="B4972" s="1" t="n">
        <v>45211</v>
      </c>
      <c r="C4972" s="1" t="n">
        <v>45796</v>
      </c>
      <c r="D4972" t="inlineStr">
        <is>
          <t>SKÅNE LÄN</t>
        </is>
      </c>
      <c r="E4972" t="inlineStr">
        <is>
          <t>TOMELILLA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49687-2023</t>
        </is>
      </c>
      <c r="B4973" s="1" t="n">
        <v>45212</v>
      </c>
      <c r="C4973" s="1" t="n">
        <v>45796</v>
      </c>
      <c r="D4973" t="inlineStr">
        <is>
          <t>SKÅNE LÄN</t>
        </is>
      </c>
      <c r="E4973" t="inlineStr">
        <is>
          <t>ÖRKELLJUNGA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49686-2023</t>
        </is>
      </c>
      <c r="B4974" s="1" t="n">
        <v>45212</v>
      </c>
      <c r="C4974" s="1" t="n">
        <v>45796</v>
      </c>
      <c r="D4974" t="inlineStr">
        <is>
          <t>SKÅNE LÄN</t>
        </is>
      </c>
      <c r="E4974" t="inlineStr">
        <is>
          <t>KLIPPAN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51323-2023</t>
        </is>
      </c>
      <c r="B4975" s="1" t="n">
        <v>45212</v>
      </c>
      <c r="C4975" s="1" t="n">
        <v>45796</v>
      </c>
      <c r="D4975" t="inlineStr">
        <is>
          <t>SKÅNE LÄN</t>
        </is>
      </c>
      <c r="E4975" t="inlineStr">
        <is>
          <t>HÄSSLEHOLM</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51245-2023</t>
        </is>
      </c>
      <c r="B4976" s="1" t="n">
        <v>45212</v>
      </c>
      <c r="C4976" s="1" t="n">
        <v>45796</v>
      </c>
      <c r="D4976" t="inlineStr">
        <is>
          <t>SKÅNE LÄN</t>
        </is>
      </c>
      <c r="E4976" t="inlineStr">
        <is>
          <t>HÄSSLEHOLM</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49918-2023</t>
        </is>
      </c>
      <c r="B4977" s="1" t="n">
        <v>45214</v>
      </c>
      <c r="C4977" s="1" t="n">
        <v>45796</v>
      </c>
      <c r="D4977" t="inlineStr">
        <is>
          <t>SKÅNE LÄN</t>
        </is>
      </c>
      <c r="E4977" t="inlineStr">
        <is>
          <t>KLIPPAN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50000-2023</t>
        </is>
      </c>
      <c r="B4978" s="1" t="n">
        <v>45215</v>
      </c>
      <c r="C4978" s="1" t="n">
        <v>45796</v>
      </c>
      <c r="D4978" t="inlineStr">
        <is>
          <t>SKÅNE LÄN</t>
        </is>
      </c>
      <c r="E4978" t="inlineStr">
        <is>
          <t>HÄSSLEHOLM</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49937-2023</t>
        </is>
      </c>
      <c r="B4979" s="1" t="n">
        <v>45215</v>
      </c>
      <c r="C4979" s="1" t="n">
        <v>45796</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49942-2023</t>
        </is>
      </c>
      <c r="B4980" s="1" t="n">
        <v>45215</v>
      </c>
      <c r="C4980" s="1" t="n">
        <v>45796</v>
      </c>
      <c r="D4980" t="inlineStr">
        <is>
          <t>SKÅNE LÄN</t>
        </is>
      </c>
      <c r="E4980" t="inlineStr">
        <is>
          <t>HÄSSLEHOLM</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49950-2023</t>
        </is>
      </c>
      <c r="B4981" s="1" t="n">
        <v>45215</v>
      </c>
      <c r="C4981" s="1" t="n">
        <v>45796</v>
      </c>
      <c r="D4981" t="inlineStr">
        <is>
          <t>SKÅNE LÄN</t>
        </is>
      </c>
      <c r="E4981" t="inlineStr">
        <is>
          <t>HÄSSLEHOLM</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50003-2023</t>
        </is>
      </c>
      <c r="B4982" s="1" t="n">
        <v>45215</v>
      </c>
      <c r="C4982" s="1" t="n">
        <v>45796</v>
      </c>
      <c r="D4982" t="inlineStr">
        <is>
          <t>SKÅNE LÄN</t>
        </is>
      </c>
      <c r="E4982" t="inlineStr">
        <is>
          <t>ÖRKELLJUNGA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50276-2023</t>
        </is>
      </c>
      <c r="B4983" s="1" t="n">
        <v>45216</v>
      </c>
      <c r="C4983" s="1" t="n">
        <v>45796</v>
      </c>
      <c r="D4983" t="inlineStr">
        <is>
          <t>SKÅNE LÄN</t>
        </is>
      </c>
      <c r="E4983" t="inlineStr">
        <is>
          <t>OSBY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50325-2023</t>
        </is>
      </c>
      <c r="B4984" s="1" t="n">
        <v>45216</v>
      </c>
      <c r="C4984" s="1" t="n">
        <v>45796</v>
      </c>
      <c r="D4984" t="inlineStr">
        <is>
          <t>SKÅNE LÄN</t>
        </is>
      </c>
      <c r="E4984" t="inlineStr">
        <is>
          <t>HÖÖR</t>
        </is>
      </c>
      <c r="G4984" t="n">
        <v>11.4</v>
      </c>
      <c r="H4984" t="n">
        <v>0</v>
      </c>
      <c r="I4984" t="n">
        <v>0</v>
      </c>
      <c r="J4984" t="n">
        <v>0</v>
      </c>
      <c r="K4984" t="n">
        <v>0</v>
      </c>
      <c r="L4984" t="n">
        <v>0</v>
      </c>
      <c r="M4984" t="n">
        <v>0</v>
      </c>
      <c r="N4984" t="n">
        <v>0</v>
      </c>
      <c r="O4984" t="n">
        <v>0</v>
      </c>
      <c r="P4984" t="n">
        <v>0</v>
      </c>
      <c r="Q4984" t="n">
        <v>0</v>
      </c>
      <c r="R4984" s="2" t="inlineStr"/>
    </row>
    <row r="4985" ht="15" customHeight="1">
      <c r="A4985" t="inlineStr">
        <is>
          <t>A 50330-2023</t>
        </is>
      </c>
      <c r="B4985" s="1" t="n">
        <v>45216</v>
      </c>
      <c r="C4985" s="1" t="n">
        <v>45796</v>
      </c>
      <c r="D4985" t="inlineStr">
        <is>
          <t>SKÅNE LÄN</t>
        </is>
      </c>
      <c r="E4985" t="inlineStr">
        <is>
          <t>HÖÖR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51968-2023</t>
        </is>
      </c>
      <c r="B4986" s="1" t="n">
        <v>45216</v>
      </c>
      <c r="C4986" s="1" t="n">
        <v>45796</v>
      </c>
      <c r="D4986" t="inlineStr">
        <is>
          <t>SKÅNE LÄN</t>
        </is>
      </c>
      <c r="E4986" t="inlineStr">
        <is>
          <t>OSBY</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50380-2023</t>
        </is>
      </c>
      <c r="B4987" s="1" t="n">
        <v>45216</v>
      </c>
      <c r="C4987" s="1" t="n">
        <v>45796</v>
      </c>
      <c r="D4987" t="inlineStr">
        <is>
          <t>SKÅNE LÄN</t>
        </is>
      </c>
      <c r="E4987" t="inlineStr">
        <is>
          <t>OSBY</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50332-2023</t>
        </is>
      </c>
      <c r="B4988" s="1" t="n">
        <v>45216</v>
      </c>
      <c r="C4988" s="1" t="n">
        <v>45796</v>
      </c>
      <c r="D4988" t="inlineStr">
        <is>
          <t>SKÅNE LÄN</t>
        </is>
      </c>
      <c r="E4988" t="inlineStr">
        <is>
          <t>HÖÖR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50300-2023</t>
        </is>
      </c>
      <c r="B4989" s="1" t="n">
        <v>45216</v>
      </c>
      <c r="C4989" s="1" t="n">
        <v>45796</v>
      </c>
      <c r="D4989" t="inlineStr">
        <is>
          <t>SKÅNE LÄN</t>
        </is>
      </c>
      <c r="E4989" t="inlineStr">
        <is>
          <t>HÖRBY</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50472-2023</t>
        </is>
      </c>
      <c r="B4990" s="1" t="n">
        <v>45216</v>
      </c>
      <c r="C4990" s="1" t="n">
        <v>45796</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50279-2023</t>
        </is>
      </c>
      <c r="B4991" s="1" t="n">
        <v>45216</v>
      </c>
      <c r="C4991" s="1" t="n">
        <v>45796</v>
      </c>
      <c r="D4991" t="inlineStr">
        <is>
          <t>SKÅNE LÄN</t>
        </is>
      </c>
      <c r="E4991" t="inlineStr">
        <is>
          <t>ÖRKELLJUNGA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50571-2023</t>
        </is>
      </c>
      <c r="B4992" s="1" t="n">
        <v>45217</v>
      </c>
      <c r="C4992" s="1" t="n">
        <v>45796</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50654-2023</t>
        </is>
      </c>
      <c r="B4993" s="1" t="n">
        <v>45217</v>
      </c>
      <c r="C4993" s="1" t="n">
        <v>45796</v>
      </c>
      <c r="D4993" t="inlineStr">
        <is>
          <t>SKÅNE LÄN</t>
        </is>
      </c>
      <c r="E4993" t="inlineStr">
        <is>
          <t>OSBY</t>
        </is>
      </c>
      <c r="F4993" t="inlineStr">
        <is>
          <t>Kommuner</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50659-2023</t>
        </is>
      </c>
      <c r="B4994" s="1" t="n">
        <v>45217</v>
      </c>
      <c r="C4994" s="1" t="n">
        <v>45796</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50664-2023</t>
        </is>
      </c>
      <c r="B4995" s="1" t="n">
        <v>45217</v>
      </c>
      <c r="C4995" s="1" t="n">
        <v>45796</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50529-2023</t>
        </is>
      </c>
      <c r="B4996" s="1" t="n">
        <v>45217</v>
      </c>
      <c r="C4996" s="1" t="n">
        <v>45796</v>
      </c>
      <c r="D4996" t="inlineStr">
        <is>
          <t>SKÅNE LÄN</t>
        </is>
      </c>
      <c r="E4996" t="inlineStr">
        <is>
          <t>OSBY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50587-2023</t>
        </is>
      </c>
      <c r="B4997" s="1" t="n">
        <v>45217</v>
      </c>
      <c r="C4997" s="1" t="n">
        <v>45796</v>
      </c>
      <c r="D4997" t="inlineStr">
        <is>
          <t>SKÅNE LÄN</t>
        </is>
      </c>
      <c r="E4997" t="inlineStr">
        <is>
          <t>HÄSSLEHOLM</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50669-2023</t>
        </is>
      </c>
      <c r="B4998" s="1" t="n">
        <v>45217</v>
      </c>
      <c r="C4998" s="1" t="n">
        <v>45796</v>
      </c>
      <c r="D4998" t="inlineStr">
        <is>
          <t>SKÅNE LÄN</t>
        </is>
      </c>
      <c r="E4998" t="inlineStr">
        <is>
          <t>HÄSSLEHOLM</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50675-2023</t>
        </is>
      </c>
      <c r="B4999" s="1" t="n">
        <v>45217</v>
      </c>
      <c r="C4999" s="1" t="n">
        <v>45796</v>
      </c>
      <c r="D4999" t="inlineStr">
        <is>
          <t>SKÅNE LÄN</t>
        </is>
      </c>
      <c r="E4999" t="inlineStr">
        <is>
          <t>OSBY</t>
        </is>
      </c>
      <c r="F4999" t="inlineStr">
        <is>
          <t>Kommuner</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50700-2023</t>
        </is>
      </c>
      <c r="B5000" s="1" t="n">
        <v>45217</v>
      </c>
      <c r="C5000" s="1" t="n">
        <v>45796</v>
      </c>
      <c r="D5000" t="inlineStr">
        <is>
          <t>SKÅNE LÄN</t>
        </is>
      </c>
      <c r="E5000" t="inlineStr">
        <is>
          <t>KRISTIANSTAD</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50704-2023</t>
        </is>
      </c>
      <c r="B5001" s="1" t="n">
        <v>45217</v>
      </c>
      <c r="C5001" s="1" t="n">
        <v>45796</v>
      </c>
      <c r="D5001" t="inlineStr">
        <is>
          <t>SKÅNE LÄN</t>
        </is>
      </c>
      <c r="E5001" t="inlineStr">
        <is>
          <t>HÖRBY</t>
        </is>
      </c>
      <c r="F5001" t="inlineStr">
        <is>
          <t>Sveaskog</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50717-2023</t>
        </is>
      </c>
      <c r="B5002" s="1" t="n">
        <v>45217</v>
      </c>
      <c r="C5002" s="1" t="n">
        <v>45796</v>
      </c>
      <c r="D5002" t="inlineStr">
        <is>
          <t>SKÅNE LÄN</t>
        </is>
      </c>
      <c r="E5002" t="inlineStr">
        <is>
          <t>ÖRKELLJUNGA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50798-2023</t>
        </is>
      </c>
      <c r="B5003" s="1" t="n">
        <v>45217</v>
      </c>
      <c r="C5003" s="1" t="n">
        <v>45796</v>
      </c>
      <c r="D5003" t="inlineStr">
        <is>
          <t>SKÅNE LÄN</t>
        </is>
      </c>
      <c r="E5003" t="inlineStr">
        <is>
          <t>SJÖBO</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50527-2023</t>
        </is>
      </c>
      <c r="B5004" s="1" t="n">
        <v>45217</v>
      </c>
      <c r="C5004" s="1" t="n">
        <v>45796</v>
      </c>
      <c r="D5004" t="inlineStr">
        <is>
          <t>SKÅNE LÄN</t>
        </is>
      </c>
      <c r="E5004" t="inlineStr">
        <is>
          <t>OSBY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50531-2023</t>
        </is>
      </c>
      <c r="B5005" s="1" t="n">
        <v>45217</v>
      </c>
      <c r="C5005" s="1" t="n">
        <v>45796</v>
      </c>
      <c r="D5005" t="inlineStr">
        <is>
          <t>SKÅNE LÄN</t>
        </is>
      </c>
      <c r="E5005" t="inlineStr">
        <is>
          <t>ÅSTORP</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50548-2023</t>
        </is>
      </c>
      <c r="B5006" s="1" t="n">
        <v>45217</v>
      </c>
      <c r="C5006" s="1" t="n">
        <v>45796</v>
      </c>
      <c r="D5006" t="inlineStr">
        <is>
          <t>SKÅNE LÄN</t>
        </is>
      </c>
      <c r="E5006" t="inlineStr">
        <is>
          <t>HÄSSLEHOLM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50657-2023</t>
        </is>
      </c>
      <c r="B5007" s="1" t="n">
        <v>45217</v>
      </c>
      <c r="C5007" s="1" t="n">
        <v>45796</v>
      </c>
      <c r="D5007" t="inlineStr">
        <is>
          <t>SKÅNE LÄN</t>
        </is>
      </c>
      <c r="E5007" t="inlineStr">
        <is>
          <t>HÄSSLEHOLM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50738-2023</t>
        </is>
      </c>
      <c r="B5008" s="1" t="n">
        <v>45217</v>
      </c>
      <c r="C5008" s="1" t="n">
        <v>45796</v>
      </c>
      <c r="D5008" t="inlineStr">
        <is>
          <t>SKÅNE LÄN</t>
        </is>
      </c>
      <c r="E5008" t="inlineStr">
        <is>
          <t>OSBY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50557-2023</t>
        </is>
      </c>
      <c r="B5009" s="1" t="n">
        <v>45217</v>
      </c>
      <c r="C5009" s="1" t="n">
        <v>45796</v>
      </c>
      <c r="D5009" t="inlineStr">
        <is>
          <t>SKÅNE LÄN</t>
        </is>
      </c>
      <c r="E5009" t="inlineStr">
        <is>
          <t>HÄSSLEHOLM</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50564-2023</t>
        </is>
      </c>
      <c r="B5010" s="1" t="n">
        <v>45217</v>
      </c>
      <c r="C5010" s="1" t="n">
        <v>45796</v>
      </c>
      <c r="D5010" t="inlineStr">
        <is>
          <t>SKÅNE LÄN</t>
        </is>
      </c>
      <c r="E5010" t="inlineStr">
        <is>
          <t>HÄSSLEHOLM</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50611-2023</t>
        </is>
      </c>
      <c r="B5011" s="1" t="n">
        <v>45217</v>
      </c>
      <c r="C5011" s="1" t="n">
        <v>45796</v>
      </c>
      <c r="D5011" t="inlineStr">
        <is>
          <t>SKÅNE LÄN</t>
        </is>
      </c>
      <c r="E5011" t="inlineStr">
        <is>
          <t>OSBY</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50666-2023</t>
        </is>
      </c>
      <c r="B5012" s="1" t="n">
        <v>45217</v>
      </c>
      <c r="C5012" s="1" t="n">
        <v>45796</v>
      </c>
      <c r="D5012" t="inlineStr">
        <is>
          <t>SKÅNE LÄN</t>
        </is>
      </c>
      <c r="E5012" t="inlineStr">
        <is>
          <t>OSBY</t>
        </is>
      </c>
      <c r="F5012" t="inlineStr">
        <is>
          <t>Kommuner</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50701-2023</t>
        </is>
      </c>
      <c r="B5013" s="1" t="n">
        <v>45217</v>
      </c>
      <c r="C5013" s="1" t="n">
        <v>45796</v>
      </c>
      <c r="D5013" t="inlineStr">
        <is>
          <t>SKÅNE LÄN</t>
        </is>
      </c>
      <c r="E5013" t="inlineStr">
        <is>
          <t>ÖRKELLJUNGA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50728-2023</t>
        </is>
      </c>
      <c r="B5014" s="1" t="n">
        <v>45217</v>
      </c>
      <c r="C5014" s="1" t="n">
        <v>45796</v>
      </c>
      <c r="D5014" t="inlineStr">
        <is>
          <t>SKÅNE LÄN</t>
        </is>
      </c>
      <c r="E5014" t="inlineStr">
        <is>
          <t>OSBY</t>
        </is>
      </c>
      <c r="F5014" t="inlineStr">
        <is>
          <t>Kommuner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50741-2023</t>
        </is>
      </c>
      <c r="B5015" s="1" t="n">
        <v>45217</v>
      </c>
      <c r="C5015" s="1" t="n">
        <v>45796</v>
      </c>
      <c r="D5015" t="inlineStr">
        <is>
          <t>SKÅNE LÄN</t>
        </is>
      </c>
      <c r="E5015" t="inlineStr">
        <is>
          <t>OSBY</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52176-2023</t>
        </is>
      </c>
      <c r="B5016" s="1" t="n">
        <v>45217</v>
      </c>
      <c r="C5016" s="1" t="n">
        <v>45796</v>
      </c>
      <c r="D5016" t="inlineStr">
        <is>
          <t>SKÅNE LÄN</t>
        </is>
      </c>
      <c r="E5016" t="inlineStr">
        <is>
          <t>KRISTIANSTAD</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52196-2023</t>
        </is>
      </c>
      <c r="B5017" s="1" t="n">
        <v>45217</v>
      </c>
      <c r="C5017" s="1" t="n">
        <v>45796</v>
      </c>
      <c r="D5017" t="inlineStr">
        <is>
          <t>SKÅNE LÄN</t>
        </is>
      </c>
      <c r="E5017" t="inlineStr">
        <is>
          <t>HÖRBY</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52307-2023</t>
        </is>
      </c>
      <c r="B5018" s="1" t="n">
        <v>45217</v>
      </c>
      <c r="C5018" s="1" t="n">
        <v>45796</v>
      </c>
      <c r="D5018" t="inlineStr">
        <is>
          <t>SKÅNE LÄN</t>
        </is>
      </c>
      <c r="E5018" t="inlineStr">
        <is>
          <t>BROMÖLLA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51059-2023</t>
        </is>
      </c>
      <c r="B5019" s="1" t="n">
        <v>45218</v>
      </c>
      <c r="C5019" s="1" t="n">
        <v>45796</v>
      </c>
      <c r="D5019" t="inlineStr">
        <is>
          <t>SKÅNE LÄN</t>
        </is>
      </c>
      <c r="E5019" t="inlineStr">
        <is>
          <t>PERSTORP</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51092-2023</t>
        </is>
      </c>
      <c r="B5020" s="1" t="n">
        <v>45218</v>
      </c>
      <c r="C5020" s="1" t="n">
        <v>45796</v>
      </c>
      <c r="D5020" t="inlineStr">
        <is>
          <t>SKÅNE LÄN</t>
        </is>
      </c>
      <c r="E5020" t="inlineStr">
        <is>
          <t>OSBY</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51018-2023</t>
        </is>
      </c>
      <c r="B5021" s="1" t="n">
        <v>45218</v>
      </c>
      <c r="C5021" s="1" t="n">
        <v>45796</v>
      </c>
      <c r="D5021" t="inlineStr">
        <is>
          <t>SKÅNE LÄN</t>
        </is>
      </c>
      <c r="E5021" t="inlineStr">
        <is>
          <t>HÄSSLEHOLM</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52548-2023</t>
        </is>
      </c>
      <c r="B5022" s="1" t="n">
        <v>45218</v>
      </c>
      <c r="C5022" s="1" t="n">
        <v>45796</v>
      </c>
      <c r="D5022" t="inlineStr">
        <is>
          <t>SKÅNE LÄN</t>
        </is>
      </c>
      <c r="E5022" t="inlineStr">
        <is>
          <t>HÄSSLEHOLM</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51319-2023</t>
        </is>
      </c>
      <c r="B5023" s="1" t="n">
        <v>45219</v>
      </c>
      <c r="C5023" s="1" t="n">
        <v>45796</v>
      </c>
      <c r="D5023" t="inlineStr">
        <is>
          <t>SKÅNE LÄN</t>
        </is>
      </c>
      <c r="E5023" t="inlineStr">
        <is>
          <t>KRISTIANSTAD</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52575-2023</t>
        </is>
      </c>
      <c r="B5024" s="1" t="n">
        <v>45219</v>
      </c>
      <c r="C5024" s="1" t="n">
        <v>45796</v>
      </c>
      <c r="D5024" t="inlineStr">
        <is>
          <t>SKÅNE LÄN</t>
        </is>
      </c>
      <c r="E5024" t="inlineStr">
        <is>
          <t>PERSTORP</t>
        </is>
      </c>
      <c r="F5024" t="inlineStr">
        <is>
          <t>Övriga Aktiebolag</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52601-2023</t>
        </is>
      </c>
      <c r="B5025" s="1" t="n">
        <v>45219</v>
      </c>
      <c r="C5025" s="1" t="n">
        <v>45796</v>
      </c>
      <c r="D5025" t="inlineStr">
        <is>
          <t>SKÅNE LÄN</t>
        </is>
      </c>
      <c r="E5025" t="inlineStr">
        <is>
          <t>KLIPPAN</t>
        </is>
      </c>
      <c r="F5025" t="inlineStr">
        <is>
          <t>Övriga Aktiebolag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52583-2023</t>
        </is>
      </c>
      <c r="B5026" s="1" t="n">
        <v>45219</v>
      </c>
      <c r="C5026" s="1" t="n">
        <v>45796</v>
      </c>
      <c r="D5026" t="inlineStr">
        <is>
          <t>SKÅNE LÄN</t>
        </is>
      </c>
      <c r="E5026" t="inlineStr">
        <is>
          <t>PERSTORP</t>
        </is>
      </c>
      <c r="F5026" t="inlineStr">
        <is>
          <t>Övriga Aktiebolag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52608-2023</t>
        </is>
      </c>
      <c r="B5027" s="1" t="n">
        <v>45219</v>
      </c>
      <c r="C5027" s="1" t="n">
        <v>45796</v>
      </c>
      <c r="D5027" t="inlineStr">
        <is>
          <t>SKÅNE LÄN</t>
        </is>
      </c>
      <c r="E5027" t="inlineStr">
        <is>
          <t>HÄSSLEHOLM</t>
        </is>
      </c>
      <c r="F5027" t="inlineStr">
        <is>
          <t>Övriga Aktiebolag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52612-2023</t>
        </is>
      </c>
      <c r="B5028" s="1" t="n">
        <v>45219</v>
      </c>
      <c r="C5028" s="1" t="n">
        <v>45796</v>
      </c>
      <c r="D5028" t="inlineStr">
        <is>
          <t>SKÅNE LÄN</t>
        </is>
      </c>
      <c r="E5028" t="inlineStr">
        <is>
          <t>KLIPPAN</t>
        </is>
      </c>
      <c r="F5028" t="inlineStr">
        <is>
          <t>Övriga Aktiebolag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52596-2023</t>
        </is>
      </c>
      <c r="B5029" s="1" t="n">
        <v>45219</v>
      </c>
      <c r="C5029" s="1" t="n">
        <v>45796</v>
      </c>
      <c r="D5029" t="inlineStr">
        <is>
          <t>SKÅNE LÄN</t>
        </is>
      </c>
      <c r="E5029" t="inlineStr">
        <is>
          <t>PERSTORP</t>
        </is>
      </c>
      <c r="F5029" t="inlineStr">
        <is>
          <t>Övriga Aktiebolag</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52615-2023</t>
        </is>
      </c>
      <c r="B5030" s="1" t="n">
        <v>45219</v>
      </c>
      <c r="C5030" s="1" t="n">
        <v>45796</v>
      </c>
      <c r="D5030" t="inlineStr">
        <is>
          <t>SKÅNE LÄN</t>
        </is>
      </c>
      <c r="E5030" t="inlineStr">
        <is>
          <t>PERSTORP</t>
        </is>
      </c>
      <c r="F5030" t="inlineStr">
        <is>
          <t>Övriga Aktiebolag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52617-2023</t>
        </is>
      </c>
      <c r="B5031" s="1" t="n">
        <v>45219</v>
      </c>
      <c r="C5031" s="1" t="n">
        <v>45796</v>
      </c>
      <c r="D5031" t="inlineStr">
        <is>
          <t>SKÅNE LÄN</t>
        </is>
      </c>
      <c r="E5031" t="inlineStr">
        <is>
          <t>PERSTORP</t>
        </is>
      </c>
      <c r="F5031" t="inlineStr">
        <is>
          <t>Övriga Aktiebolag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52605-2023</t>
        </is>
      </c>
      <c r="B5032" s="1" t="n">
        <v>45219</v>
      </c>
      <c r="C5032" s="1" t="n">
        <v>45796</v>
      </c>
      <c r="D5032" t="inlineStr">
        <is>
          <t>SKÅNE LÄN</t>
        </is>
      </c>
      <c r="E5032" t="inlineStr">
        <is>
          <t>KLIPPAN</t>
        </is>
      </c>
      <c r="F5032" t="inlineStr">
        <is>
          <t>Övriga Aktiebolag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52581-2023</t>
        </is>
      </c>
      <c r="B5033" s="1" t="n">
        <v>45219</v>
      </c>
      <c r="C5033" s="1" t="n">
        <v>45796</v>
      </c>
      <c r="D5033" t="inlineStr">
        <is>
          <t>SKÅNE LÄN</t>
        </is>
      </c>
      <c r="E5033" t="inlineStr">
        <is>
          <t>PERSTORP</t>
        </is>
      </c>
      <c r="F5033" t="inlineStr">
        <is>
          <t>Övriga Aktiebolag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51328-2023</t>
        </is>
      </c>
      <c r="B5034" s="1" t="n">
        <v>45219</v>
      </c>
      <c r="C5034" s="1" t="n">
        <v>45796</v>
      </c>
      <c r="D5034" t="inlineStr">
        <is>
          <t>SKÅNE LÄN</t>
        </is>
      </c>
      <c r="E5034" t="inlineStr">
        <is>
          <t>HÖÖR</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51577-2023</t>
        </is>
      </c>
      <c r="B5035" s="1" t="n">
        <v>45222</v>
      </c>
      <c r="C5035" s="1" t="n">
        <v>45796</v>
      </c>
      <c r="D5035" t="inlineStr">
        <is>
          <t>SKÅNE LÄN</t>
        </is>
      </c>
      <c r="E5035" t="inlineStr">
        <is>
          <t>ÖRKELLJUNGA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51684-2023</t>
        </is>
      </c>
      <c r="B5036" s="1" t="n">
        <v>45222</v>
      </c>
      <c r="C5036" s="1" t="n">
        <v>45796</v>
      </c>
      <c r="D5036" t="inlineStr">
        <is>
          <t>SKÅNE LÄN</t>
        </is>
      </c>
      <c r="E5036" t="inlineStr">
        <is>
          <t>OSBY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51565-2023</t>
        </is>
      </c>
      <c r="B5037" s="1" t="n">
        <v>45222</v>
      </c>
      <c r="C5037" s="1" t="n">
        <v>45796</v>
      </c>
      <c r="D5037" t="inlineStr">
        <is>
          <t>SKÅNE LÄN</t>
        </is>
      </c>
      <c r="E5037" t="inlineStr">
        <is>
          <t>HÄSSLEHOLM</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51752-2023</t>
        </is>
      </c>
      <c r="B5038" s="1" t="n">
        <v>45222</v>
      </c>
      <c r="C5038" s="1" t="n">
        <v>45796</v>
      </c>
      <c r="D5038" t="inlineStr">
        <is>
          <t>SKÅNE LÄN</t>
        </is>
      </c>
      <c r="E5038" t="inlineStr">
        <is>
          <t>HÄSSLEHOLM</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51571-2023</t>
        </is>
      </c>
      <c r="B5039" s="1" t="n">
        <v>45222</v>
      </c>
      <c r="C5039" s="1" t="n">
        <v>45796</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52972-2023</t>
        </is>
      </c>
      <c r="B5040" s="1" t="n">
        <v>45222</v>
      </c>
      <c r="C5040" s="1" t="n">
        <v>45796</v>
      </c>
      <c r="D5040" t="inlineStr">
        <is>
          <t>SKÅNE LÄN</t>
        </is>
      </c>
      <c r="E5040" t="inlineStr">
        <is>
          <t>BROMÖLLA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51938-2023</t>
        </is>
      </c>
      <c r="B5041" s="1" t="n">
        <v>45223</v>
      </c>
      <c r="C5041" s="1" t="n">
        <v>45796</v>
      </c>
      <c r="D5041" t="inlineStr">
        <is>
          <t>SKÅNE LÄN</t>
        </is>
      </c>
      <c r="E5041" t="inlineStr">
        <is>
          <t>HÖÖR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51956-2023</t>
        </is>
      </c>
      <c r="B5042" s="1" t="n">
        <v>45223</v>
      </c>
      <c r="C5042" s="1" t="n">
        <v>45796</v>
      </c>
      <c r="D5042" t="inlineStr">
        <is>
          <t>SKÅNE LÄN</t>
        </is>
      </c>
      <c r="E5042" t="inlineStr">
        <is>
          <t>HÖÖR</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52064-2023</t>
        </is>
      </c>
      <c r="B5043" s="1" t="n">
        <v>45223</v>
      </c>
      <c r="C5043" s="1" t="n">
        <v>45796</v>
      </c>
      <c r="D5043" t="inlineStr">
        <is>
          <t>SKÅNE LÄN</t>
        </is>
      </c>
      <c r="E5043" t="inlineStr">
        <is>
          <t>HÖRBY</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51844-2023</t>
        </is>
      </c>
      <c r="B5044" s="1" t="n">
        <v>45223</v>
      </c>
      <c r="C5044" s="1" t="n">
        <v>45796</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51940-2023</t>
        </is>
      </c>
      <c r="B5045" s="1" t="n">
        <v>45223</v>
      </c>
      <c r="C5045" s="1" t="n">
        <v>45796</v>
      </c>
      <c r="D5045" t="inlineStr">
        <is>
          <t>SKÅNE LÄN</t>
        </is>
      </c>
      <c r="E5045" t="inlineStr">
        <is>
          <t>HÖÖR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52286-2023</t>
        </is>
      </c>
      <c r="B5046" s="1" t="n">
        <v>45224</v>
      </c>
      <c r="C5046" s="1" t="n">
        <v>45796</v>
      </c>
      <c r="D5046" t="inlineStr">
        <is>
          <t>SKÅNE LÄN</t>
        </is>
      </c>
      <c r="E5046" t="inlineStr">
        <is>
          <t>KLIPPAN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52310-2023</t>
        </is>
      </c>
      <c r="B5047" s="1" t="n">
        <v>45224</v>
      </c>
      <c r="C5047" s="1" t="n">
        <v>45796</v>
      </c>
      <c r="D5047" t="inlineStr">
        <is>
          <t>SKÅNE LÄN</t>
        </is>
      </c>
      <c r="E5047" t="inlineStr">
        <is>
          <t>HÖRBY</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52340-2023</t>
        </is>
      </c>
      <c r="B5048" s="1" t="n">
        <v>45224</v>
      </c>
      <c r="C5048" s="1" t="n">
        <v>45796</v>
      </c>
      <c r="D5048" t="inlineStr">
        <is>
          <t>SKÅNE LÄN</t>
        </is>
      </c>
      <c r="E5048" t="inlineStr">
        <is>
          <t>HÄSSLEHOLM</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52326-2023</t>
        </is>
      </c>
      <c r="B5049" s="1" t="n">
        <v>45224</v>
      </c>
      <c r="C5049" s="1" t="n">
        <v>45796</v>
      </c>
      <c r="D5049" t="inlineStr">
        <is>
          <t>SKÅNE LÄN</t>
        </is>
      </c>
      <c r="E5049" t="inlineStr">
        <is>
          <t>HÖÖR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52337-2023</t>
        </is>
      </c>
      <c r="B5050" s="1" t="n">
        <v>45224</v>
      </c>
      <c r="C5050" s="1" t="n">
        <v>45796</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52341-2023</t>
        </is>
      </c>
      <c r="B5051" s="1" t="n">
        <v>45224</v>
      </c>
      <c r="C5051" s="1" t="n">
        <v>45796</v>
      </c>
      <c r="D5051" t="inlineStr">
        <is>
          <t>SKÅNE LÄN</t>
        </is>
      </c>
      <c r="E5051" t="inlineStr">
        <is>
          <t>HÄSSLEHOLM</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53870-2023</t>
        </is>
      </c>
      <c r="B5052" s="1" t="n">
        <v>45224</v>
      </c>
      <c r="C5052" s="1" t="n">
        <v>45796</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52653-2023</t>
        </is>
      </c>
      <c r="B5053" s="1" t="n">
        <v>45225</v>
      </c>
      <c r="C5053" s="1" t="n">
        <v>45796</v>
      </c>
      <c r="D5053" t="inlineStr">
        <is>
          <t>SKÅNE LÄN</t>
        </is>
      </c>
      <c r="E5053" t="inlineStr">
        <is>
          <t>PERSTORP</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52664-2023</t>
        </is>
      </c>
      <c r="B5054" s="1" t="n">
        <v>45225</v>
      </c>
      <c r="C5054" s="1" t="n">
        <v>45796</v>
      </c>
      <c r="D5054" t="inlineStr">
        <is>
          <t>SKÅNE LÄN</t>
        </is>
      </c>
      <c r="E5054" t="inlineStr">
        <is>
          <t>SVALÖV</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52652-2023</t>
        </is>
      </c>
      <c r="B5055" s="1" t="n">
        <v>45225</v>
      </c>
      <c r="C5055" s="1" t="n">
        <v>45796</v>
      </c>
      <c r="D5055" t="inlineStr">
        <is>
          <t>SKÅNE LÄN</t>
        </is>
      </c>
      <c r="E5055" t="inlineStr">
        <is>
          <t>ESLÖV</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54458-2023</t>
        </is>
      </c>
      <c r="B5056" s="1" t="n">
        <v>45226</v>
      </c>
      <c r="C5056" s="1" t="n">
        <v>45796</v>
      </c>
      <c r="D5056" t="inlineStr">
        <is>
          <t>SKÅNE LÄN</t>
        </is>
      </c>
      <c r="E5056" t="inlineStr">
        <is>
          <t>KRISTIANSTAD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54392-2023</t>
        </is>
      </c>
      <c r="B5057" s="1" t="n">
        <v>45226</v>
      </c>
      <c r="C5057" s="1" t="n">
        <v>45796</v>
      </c>
      <c r="D5057" t="inlineStr">
        <is>
          <t>SKÅNE LÄN</t>
        </is>
      </c>
      <c r="E5057" t="inlineStr">
        <is>
          <t>KRISTIANSTAD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52835-2023</t>
        </is>
      </c>
      <c r="B5058" s="1" t="n">
        <v>45226</v>
      </c>
      <c r="C5058" s="1" t="n">
        <v>45796</v>
      </c>
      <c r="D5058" t="inlineStr">
        <is>
          <t>SKÅNE LÄN</t>
        </is>
      </c>
      <c r="E5058" t="inlineStr">
        <is>
          <t>BROMÖLLA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52973-2023</t>
        </is>
      </c>
      <c r="B5059" s="1" t="n">
        <v>45226</v>
      </c>
      <c r="C5059" s="1" t="n">
        <v>45796</v>
      </c>
      <c r="D5059" t="inlineStr">
        <is>
          <t>SKÅNE LÄN</t>
        </is>
      </c>
      <c r="E5059" t="inlineStr">
        <is>
          <t>HÄSSLEHOLM</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54431-2023</t>
        </is>
      </c>
      <c r="B5060" s="1" t="n">
        <v>45226</v>
      </c>
      <c r="C5060" s="1" t="n">
        <v>45796</v>
      </c>
      <c r="D5060" t="inlineStr">
        <is>
          <t>SKÅNE LÄN</t>
        </is>
      </c>
      <c r="E5060" t="inlineStr">
        <is>
          <t>HÖRBY</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53032-2023</t>
        </is>
      </c>
      <c r="B5061" s="1" t="n">
        <v>45226</v>
      </c>
      <c r="C5061" s="1" t="n">
        <v>45796</v>
      </c>
      <c r="D5061" t="inlineStr">
        <is>
          <t>SKÅNE LÄN</t>
        </is>
      </c>
      <c r="E5061" t="inlineStr">
        <is>
          <t>ÖRKELLJUNGA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53070-2023</t>
        </is>
      </c>
      <c r="B5062" s="1" t="n">
        <v>45227</v>
      </c>
      <c r="C5062" s="1" t="n">
        <v>45796</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54631-2023</t>
        </is>
      </c>
      <c r="B5063" s="1" t="n">
        <v>45228</v>
      </c>
      <c r="C5063" s="1" t="n">
        <v>45796</v>
      </c>
      <c r="D5063" t="inlineStr">
        <is>
          <t>SKÅNE LÄN</t>
        </is>
      </c>
      <c r="E5063" t="inlineStr">
        <is>
          <t>KRISTIANSTAD</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54630-2023</t>
        </is>
      </c>
      <c r="B5064" s="1" t="n">
        <v>45228</v>
      </c>
      <c r="C5064" s="1" t="n">
        <v>45796</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53135-2023</t>
        </is>
      </c>
      <c r="B5065" s="1" t="n">
        <v>45229</v>
      </c>
      <c r="C5065" s="1" t="n">
        <v>45796</v>
      </c>
      <c r="D5065" t="inlineStr">
        <is>
          <t>SKÅNE LÄN</t>
        </is>
      </c>
      <c r="E5065" t="inlineStr">
        <is>
          <t>PERSTORP</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53218-2023</t>
        </is>
      </c>
      <c r="B5066" s="1" t="n">
        <v>45229</v>
      </c>
      <c r="C5066" s="1" t="n">
        <v>45796</v>
      </c>
      <c r="D5066" t="inlineStr">
        <is>
          <t>SKÅNE LÄN</t>
        </is>
      </c>
      <c r="E5066" t="inlineStr">
        <is>
          <t>BJUV</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53222-2023</t>
        </is>
      </c>
      <c r="B5067" s="1" t="n">
        <v>45229</v>
      </c>
      <c r="C5067" s="1" t="n">
        <v>45796</v>
      </c>
      <c r="D5067" t="inlineStr">
        <is>
          <t>SKÅNE LÄN</t>
        </is>
      </c>
      <c r="E5067" t="inlineStr">
        <is>
          <t>KLIPPAN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53299-2023</t>
        </is>
      </c>
      <c r="B5068" s="1" t="n">
        <v>45229</v>
      </c>
      <c r="C5068" s="1" t="n">
        <v>45796</v>
      </c>
      <c r="D5068" t="inlineStr">
        <is>
          <t>SKÅNE LÄN</t>
        </is>
      </c>
      <c r="E5068" t="inlineStr">
        <is>
          <t>KRISTIANSTAD</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53350-2023</t>
        </is>
      </c>
      <c r="B5069" s="1" t="n">
        <v>45229</v>
      </c>
      <c r="C5069" s="1" t="n">
        <v>45796</v>
      </c>
      <c r="D5069" t="inlineStr">
        <is>
          <t>SKÅNE LÄN</t>
        </is>
      </c>
      <c r="E5069" t="inlineStr">
        <is>
          <t>HÄSSLEHOLM</t>
        </is>
      </c>
      <c r="F5069" t="inlineStr">
        <is>
          <t>Kommuner</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54869-2023</t>
        </is>
      </c>
      <c r="B5070" s="1" t="n">
        <v>45229</v>
      </c>
      <c r="C5070" s="1" t="n">
        <v>45796</v>
      </c>
      <c r="D5070" t="inlineStr">
        <is>
          <t>SKÅNE LÄN</t>
        </is>
      </c>
      <c r="E5070" t="inlineStr">
        <is>
          <t>ÖSTRA GÖINGE</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53746-2023</t>
        </is>
      </c>
      <c r="B5071" s="1" t="n">
        <v>45230</v>
      </c>
      <c r="C5071" s="1" t="n">
        <v>45796</v>
      </c>
      <c r="D5071" t="inlineStr">
        <is>
          <t>SKÅNE LÄN</t>
        </is>
      </c>
      <c r="E5071" t="inlineStr">
        <is>
          <t>KRISTIANSTAD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53623-2023</t>
        </is>
      </c>
      <c r="B5072" s="1" t="n">
        <v>45230</v>
      </c>
      <c r="C5072" s="1" t="n">
        <v>45796</v>
      </c>
      <c r="D5072" t="inlineStr">
        <is>
          <t>SKÅNE LÄN</t>
        </is>
      </c>
      <c r="E5072" t="inlineStr">
        <is>
          <t>HÄSSLEHOLM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53587-2023</t>
        </is>
      </c>
      <c r="B5073" s="1" t="n">
        <v>45230</v>
      </c>
      <c r="C5073" s="1" t="n">
        <v>45796</v>
      </c>
      <c r="D5073" t="inlineStr">
        <is>
          <t>SKÅNE LÄN</t>
        </is>
      </c>
      <c r="E5073" t="inlineStr">
        <is>
          <t>SVALÖV</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53591-2023</t>
        </is>
      </c>
      <c r="B5074" s="1" t="n">
        <v>45230</v>
      </c>
      <c r="C5074" s="1" t="n">
        <v>45796</v>
      </c>
      <c r="D5074" t="inlineStr">
        <is>
          <t>SKÅNE LÄN</t>
        </is>
      </c>
      <c r="E5074" t="inlineStr">
        <is>
          <t>OSBY</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53774-2023</t>
        </is>
      </c>
      <c r="B5075" s="1" t="n">
        <v>45231</v>
      </c>
      <c r="C5075" s="1" t="n">
        <v>45796</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53848-2023</t>
        </is>
      </c>
      <c r="B5076" s="1" t="n">
        <v>45231</v>
      </c>
      <c r="C5076" s="1" t="n">
        <v>45796</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53880-2023</t>
        </is>
      </c>
      <c r="B5077" s="1" t="n">
        <v>45231</v>
      </c>
      <c r="C5077" s="1" t="n">
        <v>45796</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53773-2023</t>
        </is>
      </c>
      <c r="B5078" s="1" t="n">
        <v>45231</v>
      </c>
      <c r="C5078" s="1" t="n">
        <v>45796</v>
      </c>
      <c r="D5078" t="inlineStr">
        <is>
          <t>SKÅNE LÄN</t>
        </is>
      </c>
      <c r="E5078" t="inlineStr">
        <is>
          <t>OSBY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53956-2023</t>
        </is>
      </c>
      <c r="B5079" s="1" t="n">
        <v>45231</v>
      </c>
      <c r="C5079" s="1" t="n">
        <v>45796</v>
      </c>
      <c r="D5079" t="inlineStr">
        <is>
          <t>SKÅNE LÄN</t>
        </is>
      </c>
      <c r="E5079" t="inlineStr">
        <is>
          <t>HÖÖR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53887-2023</t>
        </is>
      </c>
      <c r="B5080" s="1" t="n">
        <v>45231</v>
      </c>
      <c r="C5080" s="1" t="n">
        <v>45796</v>
      </c>
      <c r="D5080" t="inlineStr">
        <is>
          <t>SKÅNE LÄN</t>
        </is>
      </c>
      <c r="E5080" t="inlineStr">
        <is>
          <t>HÄSSLEHOLM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54009-2023</t>
        </is>
      </c>
      <c r="B5081" s="1" t="n">
        <v>45231</v>
      </c>
      <c r="C5081" s="1" t="n">
        <v>45796</v>
      </c>
      <c r="D5081" t="inlineStr">
        <is>
          <t>SKÅNE LÄN</t>
        </is>
      </c>
      <c r="E5081" t="inlineStr">
        <is>
          <t>OSBY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53807-2023</t>
        </is>
      </c>
      <c r="B5082" s="1" t="n">
        <v>45231</v>
      </c>
      <c r="C5082" s="1" t="n">
        <v>45796</v>
      </c>
      <c r="D5082" t="inlineStr">
        <is>
          <t>SKÅNE LÄN</t>
        </is>
      </c>
      <c r="E5082" t="inlineStr">
        <is>
          <t>HÖÖR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53875-2023</t>
        </is>
      </c>
      <c r="B5083" s="1" t="n">
        <v>45231</v>
      </c>
      <c r="C5083" s="1" t="n">
        <v>45796</v>
      </c>
      <c r="D5083" t="inlineStr">
        <is>
          <t>SKÅNE LÄN</t>
        </is>
      </c>
      <c r="E5083" t="inlineStr">
        <is>
          <t>PERSTORP</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53897-2023</t>
        </is>
      </c>
      <c r="B5084" s="1" t="n">
        <v>45231</v>
      </c>
      <c r="C5084" s="1" t="n">
        <v>45796</v>
      </c>
      <c r="D5084" t="inlineStr">
        <is>
          <t>SKÅNE LÄN</t>
        </is>
      </c>
      <c r="E5084" t="inlineStr">
        <is>
          <t>HÄSSLEHOLM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54282-2023</t>
        </is>
      </c>
      <c r="B5085" s="1" t="n">
        <v>45232</v>
      </c>
      <c r="C5085" s="1" t="n">
        <v>45796</v>
      </c>
      <c r="D5085" t="inlineStr">
        <is>
          <t>SKÅNE LÄN</t>
        </is>
      </c>
      <c r="E5085" t="inlineStr">
        <is>
          <t>SVEDALA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54308-2023</t>
        </is>
      </c>
      <c r="B5086" s="1" t="n">
        <v>45232</v>
      </c>
      <c r="C5086" s="1" t="n">
        <v>45796</v>
      </c>
      <c r="D5086" t="inlineStr">
        <is>
          <t>SKÅNE LÄN</t>
        </is>
      </c>
      <c r="E5086" t="inlineStr">
        <is>
          <t>KRISTIANSTAD</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54280-2023</t>
        </is>
      </c>
      <c r="B5087" s="1" t="n">
        <v>45232</v>
      </c>
      <c r="C5087" s="1" t="n">
        <v>45796</v>
      </c>
      <c r="D5087" t="inlineStr">
        <is>
          <t>SKÅNE LÄN</t>
        </is>
      </c>
      <c r="E5087" t="inlineStr">
        <is>
          <t>SVEDALA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54284-2023</t>
        </is>
      </c>
      <c r="B5088" s="1" t="n">
        <v>45232</v>
      </c>
      <c r="C5088" s="1" t="n">
        <v>45796</v>
      </c>
      <c r="D5088" t="inlineStr">
        <is>
          <t>SKÅNE LÄN</t>
        </is>
      </c>
      <c r="E5088" t="inlineStr">
        <is>
          <t>SVEDALA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56056-2023</t>
        </is>
      </c>
      <c r="B5089" s="1" t="n">
        <v>45233</v>
      </c>
      <c r="C5089" s="1" t="n">
        <v>45796</v>
      </c>
      <c r="D5089" t="inlineStr">
        <is>
          <t>SKÅNE LÄN</t>
        </is>
      </c>
      <c r="E5089" t="inlineStr">
        <is>
          <t>BROMÖLLA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55992-2023</t>
        </is>
      </c>
      <c r="B5090" s="1" t="n">
        <v>45233</v>
      </c>
      <c r="C5090" s="1" t="n">
        <v>45796</v>
      </c>
      <c r="D5090" t="inlineStr">
        <is>
          <t>SKÅNE LÄN</t>
        </is>
      </c>
      <c r="E5090" t="inlineStr">
        <is>
          <t>KRISTIANSTAD</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55954-2023</t>
        </is>
      </c>
      <c r="B5091" s="1" t="n">
        <v>45233</v>
      </c>
      <c r="C5091" s="1" t="n">
        <v>45796</v>
      </c>
      <c r="D5091" t="inlineStr">
        <is>
          <t>SKÅNE LÄN</t>
        </is>
      </c>
      <c r="E5091" t="inlineStr">
        <is>
          <t>KRISTIANSTAD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54580-2023</t>
        </is>
      </c>
      <c r="B5092" s="1" t="n">
        <v>45233</v>
      </c>
      <c r="C5092" s="1" t="n">
        <v>45796</v>
      </c>
      <c r="D5092" t="inlineStr">
        <is>
          <t>SKÅNE LÄN</t>
        </is>
      </c>
      <c r="E5092" t="inlineStr">
        <is>
          <t>SVEDALA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54557-2023</t>
        </is>
      </c>
      <c r="B5093" s="1" t="n">
        <v>45233</v>
      </c>
      <c r="C5093" s="1" t="n">
        <v>45796</v>
      </c>
      <c r="D5093" t="inlineStr">
        <is>
          <t>SKÅNE LÄN</t>
        </is>
      </c>
      <c r="E5093" t="inlineStr">
        <is>
          <t>BJUV</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55959-2023</t>
        </is>
      </c>
      <c r="B5094" s="1" t="n">
        <v>45233</v>
      </c>
      <c r="C5094" s="1" t="n">
        <v>45796</v>
      </c>
      <c r="D5094" t="inlineStr">
        <is>
          <t>SKÅNE LÄN</t>
        </is>
      </c>
      <c r="E5094" t="inlineStr">
        <is>
          <t>KRISTIANSTAD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55961-2023</t>
        </is>
      </c>
      <c r="B5095" s="1" t="n">
        <v>45233</v>
      </c>
      <c r="C5095" s="1" t="n">
        <v>45796</v>
      </c>
      <c r="D5095" t="inlineStr">
        <is>
          <t>SKÅNE LÄN</t>
        </is>
      </c>
      <c r="E5095" t="inlineStr">
        <is>
          <t>KRISTIANSTAD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54473-2023</t>
        </is>
      </c>
      <c r="B5096" s="1" t="n">
        <v>45233</v>
      </c>
      <c r="C5096" s="1" t="n">
        <v>45796</v>
      </c>
      <c r="D5096" t="inlineStr">
        <is>
          <t>SKÅNE LÄN</t>
        </is>
      </c>
      <c r="E5096" t="inlineStr">
        <is>
          <t>HÄSSLEHOLM</t>
        </is>
      </c>
      <c r="G5096" t="n">
        <v>24.5</v>
      </c>
      <c r="H5096" t="n">
        <v>0</v>
      </c>
      <c r="I5096" t="n">
        <v>0</v>
      </c>
      <c r="J5096" t="n">
        <v>0</v>
      </c>
      <c r="K5096" t="n">
        <v>0</v>
      </c>
      <c r="L5096" t="n">
        <v>0</v>
      </c>
      <c r="M5096" t="n">
        <v>0</v>
      </c>
      <c r="N5096" t="n">
        <v>0</v>
      </c>
      <c r="O5096" t="n">
        <v>0</v>
      </c>
      <c r="P5096" t="n">
        <v>0</v>
      </c>
      <c r="Q5096" t="n">
        <v>0</v>
      </c>
      <c r="R5096" s="2" t="inlineStr"/>
    </row>
    <row r="5097" ht="15" customHeight="1">
      <c r="A5097" t="inlineStr">
        <is>
          <t>A 54579-2023</t>
        </is>
      </c>
      <c r="B5097" s="1" t="n">
        <v>45233</v>
      </c>
      <c r="C5097" s="1" t="n">
        <v>45796</v>
      </c>
      <c r="D5097" t="inlineStr">
        <is>
          <t>SKÅNE LÄN</t>
        </is>
      </c>
      <c r="E5097" t="inlineStr">
        <is>
          <t>SVEDALA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54534-2023</t>
        </is>
      </c>
      <c r="B5098" s="1" t="n">
        <v>45233</v>
      </c>
      <c r="C5098" s="1" t="n">
        <v>45796</v>
      </c>
      <c r="D5098" t="inlineStr">
        <is>
          <t>SKÅNE LÄN</t>
        </is>
      </c>
      <c r="E5098" t="inlineStr">
        <is>
          <t>KRISTIANSTAD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54513-2023</t>
        </is>
      </c>
      <c r="B5099" s="1" t="n">
        <v>45233</v>
      </c>
      <c r="C5099" s="1" t="n">
        <v>45796</v>
      </c>
      <c r="D5099" t="inlineStr">
        <is>
          <t>SKÅNE LÄN</t>
        </is>
      </c>
      <c r="E5099" t="inlineStr">
        <is>
          <t>OSBY</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54471-2023</t>
        </is>
      </c>
      <c r="B5100" s="1" t="n">
        <v>45233</v>
      </c>
      <c r="C5100" s="1" t="n">
        <v>45796</v>
      </c>
      <c r="D5100" t="inlineStr">
        <is>
          <t>SKÅNE LÄN</t>
        </is>
      </c>
      <c r="E5100" t="inlineStr">
        <is>
          <t>HÄSSLEHOLM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54376-2023</t>
        </is>
      </c>
      <c r="B5101" s="1" t="n">
        <v>45233</v>
      </c>
      <c r="C5101" s="1" t="n">
        <v>45796</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54664-2023</t>
        </is>
      </c>
      <c r="B5102" s="1" t="n">
        <v>45235</v>
      </c>
      <c r="C5102" s="1" t="n">
        <v>45796</v>
      </c>
      <c r="D5102" t="inlineStr">
        <is>
          <t>SKÅNE LÄN</t>
        </is>
      </c>
      <c r="E5102" t="inlineStr">
        <is>
          <t>ÖRKELLJUNGA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54668-2023</t>
        </is>
      </c>
      <c r="B5103" s="1" t="n">
        <v>45235</v>
      </c>
      <c r="C5103" s="1" t="n">
        <v>45796</v>
      </c>
      <c r="D5103" t="inlineStr">
        <is>
          <t>SKÅNE LÄN</t>
        </is>
      </c>
      <c r="E5103" t="inlineStr">
        <is>
          <t>ÖRKELLJUNGA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54646-2023</t>
        </is>
      </c>
      <c r="B5104" s="1" t="n">
        <v>45235</v>
      </c>
      <c r="C5104" s="1" t="n">
        <v>45796</v>
      </c>
      <c r="D5104" t="inlineStr">
        <is>
          <t>SKÅNE LÄN</t>
        </is>
      </c>
      <c r="E5104" t="inlineStr">
        <is>
          <t>ÖRKELLJUNGA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54658-2023</t>
        </is>
      </c>
      <c r="B5105" s="1" t="n">
        <v>45235</v>
      </c>
      <c r="C5105" s="1" t="n">
        <v>45796</v>
      </c>
      <c r="D5105" t="inlineStr">
        <is>
          <t>SKÅNE LÄN</t>
        </is>
      </c>
      <c r="E5105" t="inlineStr">
        <is>
          <t>HÄSSLEHOLM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54662-2023</t>
        </is>
      </c>
      <c r="B5106" s="1" t="n">
        <v>45235</v>
      </c>
      <c r="C5106" s="1" t="n">
        <v>45796</v>
      </c>
      <c r="D5106" t="inlineStr">
        <is>
          <t>SKÅNE LÄN</t>
        </is>
      </c>
      <c r="E5106" t="inlineStr">
        <is>
          <t>ÖRKELLJUNGA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54666-2023</t>
        </is>
      </c>
      <c r="B5107" s="1" t="n">
        <v>45235</v>
      </c>
      <c r="C5107" s="1" t="n">
        <v>45796</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54647-2023</t>
        </is>
      </c>
      <c r="B5108" s="1" t="n">
        <v>45235</v>
      </c>
      <c r="C5108" s="1" t="n">
        <v>45796</v>
      </c>
      <c r="D5108" t="inlineStr">
        <is>
          <t>SKÅNE LÄN</t>
        </is>
      </c>
      <c r="E5108" t="inlineStr">
        <is>
          <t>PERSTORP</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54659-2023</t>
        </is>
      </c>
      <c r="B5109" s="1" t="n">
        <v>45235</v>
      </c>
      <c r="C5109" s="1" t="n">
        <v>45796</v>
      </c>
      <c r="D5109" t="inlineStr">
        <is>
          <t>SKÅNE LÄN</t>
        </is>
      </c>
      <c r="E5109" t="inlineStr">
        <is>
          <t>HÄSSLEHOLM</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54663-2023</t>
        </is>
      </c>
      <c r="B5110" s="1" t="n">
        <v>45235</v>
      </c>
      <c r="C5110" s="1" t="n">
        <v>45796</v>
      </c>
      <c r="D5110" t="inlineStr">
        <is>
          <t>SKÅNE LÄN</t>
        </is>
      </c>
      <c r="E5110" t="inlineStr">
        <is>
          <t>ÖRKELLJUNGA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54667-2023</t>
        </is>
      </c>
      <c r="B5111" s="1" t="n">
        <v>45235</v>
      </c>
      <c r="C5111" s="1" t="n">
        <v>45796</v>
      </c>
      <c r="D5111" t="inlineStr">
        <is>
          <t>SKÅNE LÄN</t>
        </is>
      </c>
      <c r="E5111" t="inlineStr">
        <is>
          <t>ÖRKELLJUNGA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54645-2023</t>
        </is>
      </c>
      <c r="B5112" s="1" t="n">
        <v>45235</v>
      </c>
      <c r="C5112" s="1" t="n">
        <v>45796</v>
      </c>
      <c r="D5112" t="inlineStr">
        <is>
          <t>SKÅNE LÄN</t>
        </is>
      </c>
      <c r="E5112" t="inlineStr">
        <is>
          <t>ÖRKELLJUNGA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54661-2023</t>
        </is>
      </c>
      <c r="B5113" s="1" t="n">
        <v>45235</v>
      </c>
      <c r="C5113" s="1" t="n">
        <v>45796</v>
      </c>
      <c r="D5113" t="inlineStr">
        <is>
          <t>SKÅNE LÄN</t>
        </is>
      </c>
      <c r="E5113" t="inlineStr">
        <is>
          <t>ÖRKELLJUNGA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54665-2023</t>
        </is>
      </c>
      <c r="B5114" s="1" t="n">
        <v>45235</v>
      </c>
      <c r="C5114" s="1" t="n">
        <v>45796</v>
      </c>
      <c r="D5114" t="inlineStr">
        <is>
          <t>SKÅNE LÄN</t>
        </is>
      </c>
      <c r="E5114" t="inlineStr">
        <is>
          <t>ÖRKELLJUNGA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54669-2023</t>
        </is>
      </c>
      <c r="B5115" s="1" t="n">
        <v>45235</v>
      </c>
      <c r="C5115" s="1" t="n">
        <v>45796</v>
      </c>
      <c r="D5115" t="inlineStr">
        <is>
          <t>SKÅNE LÄN</t>
        </is>
      </c>
      <c r="E5115" t="inlineStr">
        <is>
          <t>ÖRKELLJUNGA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54689-2023</t>
        </is>
      </c>
      <c r="B5116" s="1" t="n">
        <v>45235</v>
      </c>
      <c r="C5116" s="1" t="n">
        <v>45796</v>
      </c>
      <c r="D5116" t="inlineStr">
        <is>
          <t>SKÅNE LÄN</t>
        </is>
      </c>
      <c r="E5116" t="inlineStr">
        <is>
          <t>BROMÖLLA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54711-2023</t>
        </is>
      </c>
      <c r="B5117" s="1" t="n">
        <v>45236</v>
      </c>
      <c r="C5117" s="1" t="n">
        <v>45796</v>
      </c>
      <c r="D5117" t="inlineStr">
        <is>
          <t>SKÅNE LÄN</t>
        </is>
      </c>
      <c r="E5117" t="inlineStr">
        <is>
          <t>SJÖBO</t>
        </is>
      </c>
      <c r="F5117" t="inlineStr">
        <is>
          <t>Kommuner</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54729-2023</t>
        </is>
      </c>
      <c r="B5118" s="1" t="n">
        <v>45236</v>
      </c>
      <c r="C5118" s="1" t="n">
        <v>45796</v>
      </c>
      <c r="D5118" t="inlineStr">
        <is>
          <t>SKÅNE LÄN</t>
        </is>
      </c>
      <c r="E5118" t="inlineStr">
        <is>
          <t>ÖRKELLJUNGA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56101-2023</t>
        </is>
      </c>
      <c r="B5119" s="1" t="n">
        <v>45236</v>
      </c>
      <c r="C5119" s="1" t="n">
        <v>45796</v>
      </c>
      <c r="D5119" t="inlineStr">
        <is>
          <t>SKÅNE LÄN</t>
        </is>
      </c>
      <c r="E5119" t="inlineStr">
        <is>
          <t>HÄSSLEHOLM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54709-2023</t>
        </is>
      </c>
      <c r="B5120" s="1" t="n">
        <v>45236</v>
      </c>
      <c r="C5120" s="1" t="n">
        <v>45796</v>
      </c>
      <c r="D5120" t="inlineStr">
        <is>
          <t>SKÅNE LÄN</t>
        </is>
      </c>
      <c r="E5120" t="inlineStr">
        <is>
          <t>ÄNGELHOLM</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54750-2023</t>
        </is>
      </c>
      <c r="B5121" s="1" t="n">
        <v>45236</v>
      </c>
      <c r="C5121" s="1" t="n">
        <v>45796</v>
      </c>
      <c r="D5121" t="inlineStr">
        <is>
          <t>SKÅNE LÄN</t>
        </is>
      </c>
      <c r="E5121" t="inlineStr">
        <is>
          <t>PERSTORP</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54798-2023</t>
        </is>
      </c>
      <c r="B5122" s="1" t="n">
        <v>45236</v>
      </c>
      <c r="C5122" s="1" t="n">
        <v>45796</v>
      </c>
      <c r="D5122" t="inlineStr">
        <is>
          <t>SKÅNE LÄN</t>
        </is>
      </c>
      <c r="E5122" t="inlineStr">
        <is>
          <t>HÖÖR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54894-2023</t>
        </is>
      </c>
      <c r="B5123" s="1" t="n">
        <v>45236</v>
      </c>
      <c r="C5123" s="1" t="n">
        <v>45796</v>
      </c>
      <c r="D5123" t="inlineStr">
        <is>
          <t>SKÅNE LÄN</t>
        </is>
      </c>
      <c r="E5123" t="inlineStr">
        <is>
          <t>HÖRBY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54795-2023</t>
        </is>
      </c>
      <c r="B5124" s="1" t="n">
        <v>45236</v>
      </c>
      <c r="C5124" s="1" t="n">
        <v>45796</v>
      </c>
      <c r="D5124" t="inlineStr">
        <is>
          <t>SKÅNE LÄN</t>
        </is>
      </c>
      <c r="E5124" t="inlineStr">
        <is>
          <t>HÖÖR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55049-2023</t>
        </is>
      </c>
      <c r="B5125" s="1" t="n">
        <v>45237</v>
      </c>
      <c r="C5125" s="1" t="n">
        <v>45796</v>
      </c>
      <c r="D5125" t="inlineStr">
        <is>
          <t>SKÅNE LÄN</t>
        </is>
      </c>
      <c r="E5125" t="inlineStr">
        <is>
          <t>ÖRKELLJUNGA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55154-2023</t>
        </is>
      </c>
      <c r="B5126" s="1" t="n">
        <v>45237</v>
      </c>
      <c r="C5126" s="1" t="n">
        <v>45796</v>
      </c>
      <c r="D5126" t="inlineStr">
        <is>
          <t>SKÅNE LÄN</t>
        </is>
      </c>
      <c r="E5126" t="inlineStr">
        <is>
          <t>LUND</t>
        </is>
      </c>
      <c r="F5126" t="inlineStr">
        <is>
          <t>Kommuner</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55047-2023</t>
        </is>
      </c>
      <c r="B5127" s="1" t="n">
        <v>45237</v>
      </c>
      <c r="C5127" s="1" t="n">
        <v>45796</v>
      </c>
      <c r="D5127" t="inlineStr">
        <is>
          <t>SKÅNE LÄN</t>
        </is>
      </c>
      <c r="E5127" t="inlineStr">
        <is>
          <t>ÖRKELLJUNGA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55148-2023</t>
        </is>
      </c>
      <c r="B5128" s="1" t="n">
        <v>45237</v>
      </c>
      <c r="C5128" s="1" t="n">
        <v>45796</v>
      </c>
      <c r="D5128" t="inlineStr">
        <is>
          <t>SKÅNE LÄN</t>
        </is>
      </c>
      <c r="E5128" t="inlineStr">
        <is>
          <t>LUND</t>
        </is>
      </c>
      <c r="F5128" t="inlineStr">
        <is>
          <t>Kommuner</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55147-2023</t>
        </is>
      </c>
      <c r="B5129" s="1" t="n">
        <v>45237</v>
      </c>
      <c r="C5129" s="1" t="n">
        <v>45796</v>
      </c>
      <c r="D5129" t="inlineStr">
        <is>
          <t>SKÅNE LÄN</t>
        </is>
      </c>
      <c r="E5129" t="inlineStr">
        <is>
          <t>LUND</t>
        </is>
      </c>
      <c r="F5129" t="inlineStr">
        <is>
          <t>Kommuner</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55152-2023</t>
        </is>
      </c>
      <c r="B5130" s="1" t="n">
        <v>45237</v>
      </c>
      <c r="C5130" s="1" t="n">
        <v>45796</v>
      </c>
      <c r="D5130" t="inlineStr">
        <is>
          <t>SKÅNE LÄN</t>
        </is>
      </c>
      <c r="E5130" t="inlineStr">
        <is>
          <t>LUND</t>
        </is>
      </c>
      <c r="F5130" t="inlineStr">
        <is>
          <t>Kommuner</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55158-2023</t>
        </is>
      </c>
      <c r="B5131" s="1" t="n">
        <v>45237</v>
      </c>
      <c r="C5131" s="1" t="n">
        <v>45796</v>
      </c>
      <c r="D5131" t="inlineStr">
        <is>
          <t>SKÅNE LÄN</t>
        </is>
      </c>
      <c r="E5131" t="inlineStr">
        <is>
          <t>LUND</t>
        </is>
      </c>
      <c r="F5131" t="inlineStr">
        <is>
          <t>Kommuner</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55284-2023</t>
        </is>
      </c>
      <c r="B5132" s="1" t="n">
        <v>45237</v>
      </c>
      <c r="C5132" s="1" t="n">
        <v>45796</v>
      </c>
      <c r="D5132" t="inlineStr">
        <is>
          <t>SKÅNE LÄN</t>
        </is>
      </c>
      <c r="E5132" t="inlineStr">
        <is>
          <t>HÄSSLEHOLM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55218-2023</t>
        </is>
      </c>
      <c r="B5133" s="1" t="n">
        <v>45237</v>
      </c>
      <c r="C5133" s="1" t="n">
        <v>45796</v>
      </c>
      <c r="D5133" t="inlineStr">
        <is>
          <t>SKÅNE LÄN</t>
        </is>
      </c>
      <c r="E5133" t="inlineStr">
        <is>
          <t>HÄSSLEHOLM</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55265-2023</t>
        </is>
      </c>
      <c r="B5134" s="1" t="n">
        <v>45237</v>
      </c>
      <c r="C5134" s="1" t="n">
        <v>45796</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55292-2023</t>
        </is>
      </c>
      <c r="B5135" s="1" t="n">
        <v>45237</v>
      </c>
      <c r="C5135" s="1" t="n">
        <v>45796</v>
      </c>
      <c r="D5135" t="inlineStr">
        <is>
          <t>SKÅNE LÄN</t>
        </is>
      </c>
      <c r="E5135" t="inlineStr">
        <is>
          <t>OSBY</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55291-2023</t>
        </is>
      </c>
      <c r="B5136" s="1" t="n">
        <v>45237</v>
      </c>
      <c r="C5136" s="1" t="n">
        <v>45796</v>
      </c>
      <c r="D5136" t="inlineStr">
        <is>
          <t>SKÅNE LÄN</t>
        </is>
      </c>
      <c r="E5136" t="inlineStr">
        <is>
          <t>KLIPPAN</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55294-2023</t>
        </is>
      </c>
      <c r="B5137" s="1" t="n">
        <v>45237</v>
      </c>
      <c r="C5137" s="1" t="n">
        <v>45796</v>
      </c>
      <c r="D5137" t="inlineStr">
        <is>
          <t>SKÅNE LÄN</t>
        </is>
      </c>
      <c r="E5137" t="inlineStr">
        <is>
          <t>OSBY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56397-2023</t>
        </is>
      </c>
      <c r="B5138" s="1" t="n">
        <v>45237</v>
      </c>
      <c r="C5138" s="1" t="n">
        <v>45796</v>
      </c>
      <c r="D5138" t="inlineStr">
        <is>
          <t>SKÅNE LÄN</t>
        </is>
      </c>
      <c r="E5138" t="inlineStr">
        <is>
          <t>HÄSSLEHOLM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55389-2023</t>
        </is>
      </c>
      <c r="B5139" s="1" t="n">
        <v>45238</v>
      </c>
      <c r="C5139" s="1" t="n">
        <v>45796</v>
      </c>
      <c r="D5139" t="inlineStr">
        <is>
          <t>SKÅNE LÄN</t>
        </is>
      </c>
      <c r="E5139" t="inlineStr">
        <is>
          <t>OSBY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55519-2023</t>
        </is>
      </c>
      <c r="B5140" s="1" t="n">
        <v>45238</v>
      </c>
      <c r="C5140" s="1" t="n">
        <v>45796</v>
      </c>
      <c r="D5140" t="inlineStr">
        <is>
          <t>SKÅNE LÄN</t>
        </is>
      </c>
      <c r="E5140" t="inlineStr">
        <is>
          <t>PERSTORP</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55456-2023</t>
        </is>
      </c>
      <c r="B5141" s="1" t="n">
        <v>45238</v>
      </c>
      <c r="C5141" s="1" t="n">
        <v>45796</v>
      </c>
      <c r="D5141" t="inlineStr">
        <is>
          <t>SKÅNE LÄN</t>
        </is>
      </c>
      <c r="E5141" t="inlineStr">
        <is>
          <t>BROMÖLLA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56827-2023</t>
        </is>
      </c>
      <c r="B5142" s="1" t="n">
        <v>45238</v>
      </c>
      <c r="C5142" s="1" t="n">
        <v>45796</v>
      </c>
      <c r="D5142" t="inlineStr">
        <is>
          <t>SKÅNE LÄN</t>
        </is>
      </c>
      <c r="E5142" t="inlineStr">
        <is>
          <t>ÖRKELLJUNGA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56750-2023</t>
        </is>
      </c>
      <c r="B5143" s="1" t="n">
        <v>45238</v>
      </c>
      <c r="C5143" s="1" t="n">
        <v>45796</v>
      </c>
      <c r="D5143" t="inlineStr">
        <is>
          <t>SKÅNE LÄN</t>
        </is>
      </c>
      <c r="E5143" t="inlineStr">
        <is>
          <t>HÖRBY</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56759-2023</t>
        </is>
      </c>
      <c r="B5144" s="1" t="n">
        <v>45238</v>
      </c>
      <c r="C5144" s="1" t="n">
        <v>45796</v>
      </c>
      <c r="D5144" t="inlineStr">
        <is>
          <t>SKÅNE LÄN</t>
        </is>
      </c>
      <c r="E5144" t="inlineStr">
        <is>
          <t>KLIPPAN</t>
        </is>
      </c>
      <c r="G5144" t="n">
        <v>7.4</v>
      </c>
      <c r="H5144" t="n">
        <v>0</v>
      </c>
      <c r="I5144" t="n">
        <v>0</v>
      </c>
      <c r="J5144" t="n">
        <v>0</v>
      </c>
      <c r="K5144" t="n">
        <v>0</v>
      </c>
      <c r="L5144" t="n">
        <v>0</v>
      </c>
      <c r="M5144" t="n">
        <v>0</v>
      </c>
      <c r="N5144" t="n">
        <v>0</v>
      </c>
      <c r="O5144" t="n">
        <v>0</v>
      </c>
      <c r="P5144" t="n">
        <v>0</v>
      </c>
      <c r="Q5144" t="n">
        <v>0</v>
      </c>
      <c r="R5144" s="2" t="inlineStr"/>
    </row>
    <row r="5145" ht="15" customHeight="1">
      <c r="A5145" t="inlineStr">
        <is>
          <t>A 55680-2023</t>
        </is>
      </c>
      <c r="B5145" s="1" t="n">
        <v>45239</v>
      </c>
      <c r="C5145" s="1" t="n">
        <v>45796</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55797-2023</t>
        </is>
      </c>
      <c r="B5146" s="1" t="n">
        <v>45239</v>
      </c>
      <c r="C5146" s="1" t="n">
        <v>45796</v>
      </c>
      <c r="D5146" t="inlineStr">
        <is>
          <t>SKÅNE LÄN</t>
        </is>
      </c>
      <c r="E5146" t="inlineStr">
        <is>
          <t>HÖÖR</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55682-2023</t>
        </is>
      </c>
      <c r="B5147" s="1" t="n">
        <v>45239</v>
      </c>
      <c r="C5147" s="1" t="n">
        <v>45796</v>
      </c>
      <c r="D5147" t="inlineStr">
        <is>
          <t>SKÅNE LÄN</t>
        </is>
      </c>
      <c r="E5147" t="inlineStr">
        <is>
          <t>OSBY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55833-2023</t>
        </is>
      </c>
      <c r="B5148" s="1" t="n">
        <v>45239</v>
      </c>
      <c r="C5148" s="1" t="n">
        <v>45796</v>
      </c>
      <c r="D5148" t="inlineStr">
        <is>
          <t>SKÅNE LÄN</t>
        </is>
      </c>
      <c r="E5148" t="inlineStr">
        <is>
          <t>KLIPPAN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55802-2023</t>
        </is>
      </c>
      <c r="B5149" s="1" t="n">
        <v>45239</v>
      </c>
      <c r="C5149" s="1" t="n">
        <v>45796</v>
      </c>
      <c r="D5149" t="inlineStr">
        <is>
          <t>SKÅNE LÄN</t>
        </is>
      </c>
      <c r="E5149" t="inlineStr">
        <is>
          <t>TOMELILLA</t>
        </is>
      </c>
      <c r="F5149" t="inlineStr">
        <is>
          <t>Övriga Aktiebolag</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55897-2023</t>
        </is>
      </c>
      <c r="B5150" s="1" t="n">
        <v>45239</v>
      </c>
      <c r="C5150" s="1" t="n">
        <v>45796</v>
      </c>
      <c r="D5150" t="inlineStr">
        <is>
          <t>SKÅNE LÄN</t>
        </is>
      </c>
      <c r="E5150" t="inlineStr">
        <is>
          <t>ÖSTRA GÖINGE</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55933-2023</t>
        </is>
      </c>
      <c r="B5151" s="1" t="n">
        <v>45239</v>
      </c>
      <c r="C5151" s="1" t="n">
        <v>45796</v>
      </c>
      <c r="D5151" t="inlineStr">
        <is>
          <t>SKÅNE LÄN</t>
        </is>
      </c>
      <c r="E5151" t="inlineStr">
        <is>
          <t>ÖSTRA GÖINGE</t>
        </is>
      </c>
      <c r="G5151" t="n">
        <v>10.6</v>
      </c>
      <c r="H5151" t="n">
        <v>0</v>
      </c>
      <c r="I5151" t="n">
        <v>0</v>
      </c>
      <c r="J5151" t="n">
        <v>0</v>
      </c>
      <c r="K5151" t="n">
        <v>0</v>
      </c>
      <c r="L5151" t="n">
        <v>0</v>
      </c>
      <c r="M5151" t="n">
        <v>0</v>
      </c>
      <c r="N5151" t="n">
        <v>0</v>
      </c>
      <c r="O5151" t="n">
        <v>0</v>
      </c>
      <c r="P5151" t="n">
        <v>0</v>
      </c>
      <c r="Q5151" t="n">
        <v>0</v>
      </c>
      <c r="R5151" s="2" t="inlineStr"/>
    </row>
    <row r="5152" ht="15" customHeight="1">
      <c r="A5152" t="inlineStr">
        <is>
          <t>A 55934-2023</t>
        </is>
      </c>
      <c r="B5152" s="1" t="n">
        <v>45239</v>
      </c>
      <c r="C5152" s="1" t="n">
        <v>45796</v>
      </c>
      <c r="D5152" t="inlineStr">
        <is>
          <t>SKÅNE LÄN</t>
        </is>
      </c>
      <c r="E5152" t="inlineStr">
        <is>
          <t>ÖSTRA GÖINGE</t>
        </is>
      </c>
      <c r="G5152" t="n">
        <v>16.3</v>
      </c>
      <c r="H5152" t="n">
        <v>0</v>
      </c>
      <c r="I5152" t="n">
        <v>0</v>
      </c>
      <c r="J5152" t="n">
        <v>0</v>
      </c>
      <c r="K5152" t="n">
        <v>0</v>
      </c>
      <c r="L5152" t="n">
        <v>0</v>
      </c>
      <c r="M5152" t="n">
        <v>0</v>
      </c>
      <c r="N5152" t="n">
        <v>0</v>
      </c>
      <c r="O5152" t="n">
        <v>0</v>
      </c>
      <c r="P5152" t="n">
        <v>0</v>
      </c>
      <c r="Q5152" t="n">
        <v>0</v>
      </c>
      <c r="R5152" s="2" t="inlineStr"/>
    </row>
    <row r="5153" ht="15" customHeight="1">
      <c r="A5153" t="inlineStr">
        <is>
          <t>A 55683-2023</t>
        </is>
      </c>
      <c r="B5153" s="1" t="n">
        <v>45239</v>
      </c>
      <c r="C5153" s="1" t="n">
        <v>45796</v>
      </c>
      <c r="D5153" t="inlineStr">
        <is>
          <t>SKÅNE LÄN</t>
        </is>
      </c>
      <c r="E5153" t="inlineStr">
        <is>
          <t>OSBY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56202-2023</t>
        </is>
      </c>
      <c r="B5154" s="1" t="n">
        <v>45240</v>
      </c>
      <c r="C5154" s="1" t="n">
        <v>45796</v>
      </c>
      <c r="D5154" t="inlineStr">
        <is>
          <t>SKÅNE LÄN</t>
        </is>
      </c>
      <c r="E5154" t="inlineStr">
        <is>
          <t>SVEDALA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57428-2023</t>
        </is>
      </c>
      <c r="B5155" s="1" t="n">
        <v>45240</v>
      </c>
      <c r="C5155" s="1" t="n">
        <v>45796</v>
      </c>
      <c r="D5155" t="inlineStr">
        <is>
          <t>SKÅNE LÄN</t>
        </is>
      </c>
      <c r="E5155" t="inlineStr">
        <is>
          <t>HÖÖR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56166-2023</t>
        </is>
      </c>
      <c r="B5156" s="1" t="n">
        <v>45240</v>
      </c>
      <c r="C5156" s="1" t="n">
        <v>45796</v>
      </c>
      <c r="D5156" t="inlineStr">
        <is>
          <t>SKÅNE LÄN</t>
        </is>
      </c>
      <c r="E5156" t="inlineStr">
        <is>
          <t>OSBY</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56080-2023</t>
        </is>
      </c>
      <c r="B5157" s="1" t="n">
        <v>45240</v>
      </c>
      <c r="C5157" s="1" t="n">
        <v>45796</v>
      </c>
      <c r="D5157" t="inlineStr">
        <is>
          <t>SKÅNE LÄN</t>
        </is>
      </c>
      <c r="E5157" t="inlineStr">
        <is>
          <t>HÄSSLEHOLM</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55935-2023</t>
        </is>
      </c>
      <c r="B5158" s="1" t="n">
        <v>45240</v>
      </c>
      <c r="C5158" s="1" t="n">
        <v>45796</v>
      </c>
      <c r="D5158" t="inlineStr">
        <is>
          <t>SKÅNE LÄN</t>
        </is>
      </c>
      <c r="E5158" t="inlineStr">
        <is>
          <t>ÖSTRA GÖINGE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56647-2023</t>
        </is>
      </c>
      <c r="B5159" s="1" t="n">
        <v>45243</v>
      </c>
      <c r="C5159" s="1" t="n">
        <v>45796</v>
      </c>
      <c r="D5159" t="inlineStr">
        <is>
          <t>SKÅNE LÄN</t>
        </is>
      </c>
      <c r="E5159" t="inlineStr">
        <is>
          <t>ÖSTRA GÖINGE</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56355-2023</t>
        </is>
      </c>
      <c r="B5160" s="1" t="n">
        <v>45243</v>
      </c>
      <c r="C5160" s="1" t="n">
        <v>45796</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56360-2023</t>
        </is>
      </c>
      <c r="B5161" s="1" t="n">
        <v>45243</v>
      </c>
      <c r="C5161" s="1" t="n">
        <v>45796</v>
      </c>
      <c r="D5161" t="inlineStr">
        <is>
          <t>SKÅNE LÄN</t>
        </is>
      </c>
      <c r="E5161" t="inlineStr">
        <is>
          <t>BROMÖLLA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56386-2023</t>
        </is>
      </c>
      <c r="B5162" s="1" t="n">
        <v>45243</v>
      </c>
      <c r="C5162" s="1" t="n">
        <v>45796</v>
      </c>
      <c r="D5162" t="inlineStr">
        <is>
          <t>SKÅNE LÄN</t>
        </is>
      </c>
      <c r="E5162" t="inlineStr">
        <is>
          <t>HÄSSLEHOLM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56649-2023</t>
        </is>
      </c>
      <c r="B5163" s="1" t="n">
        <v>45243</v>
      </c>
      <c r="C5163" s="1" t="n">
        <v>45796</v>
      </c>
      <c r="D5163" t="inlineStr">
        <is>
          <t>SKÅNE LÄN</t>
        </is>
      </c>
      <c r="E5163" t="inlineStr">
        <is>
          <t>ÖSTRA GÖINGE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56443-2023</t>
        </is>
      </c>
      <c r="B5164" s="1" t="n">
        <v>45243</v>
      </c>
      <c r="C5164" s="1" t="n">
        <v>45796</v>
      </c>
      <c r="D5164" t="inlineStr">
        <is>
          <t>SKÅNE LÄN</t>
        </is>
      </c>
      <c r="E5164" t="inlineStr">
        <is>
          <t>OSBY</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56460-2023</t>
        </is>
      </c>
      <c r="B5165" s="1" t="n">
        <v>45243</v>
      </c>
      <c r="C5165" s="1" t="n">
        <v>45796</v>
      </c>
      <c r="D5165" t="inlineStr">
        <is>
          <t>SKÅNE LÄN</t>
        </is>
      </c>
      <c r="E5165" t="inlineStr">
        <is>
          <t>ÖRKELLJUNGA</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56646-2023</t>
        </is>
      </c>
      <c r="B5166" s="1" t="n">
        <v>45243</v>
      </c>
      <c r="C5166" s="1" t="n">
        <v>45796</v>
      </c>
      <c r="D5166" t="inlineStr">
        <is>
          <t>SKÅNE LÄN</t>
        </is>
      </c>
      <c r="E5166" t="inlineStr">
        <is>
          <t>ÖSTRA GÖINGE</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57738-2023</t>
        </is>
      </c>
      <c r="B5167" s="1" t="n">
        <v>45243</v>
      </c>
      <c r="C5167" s="1" t="n">
        <v>45796</v>
      </c>
      <c r="D5167" t="inlineStr">
        <is>
          <t>SKÅNE LÄN</t>
        </is>
      </c>
      <c r="E5167" t="inlineStr">
        <is>
          <t>OSBY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57735-2023</t>
        </is>
      </c>
      <c r="B5168" s="1" t="n">
        <v>45243</v>
      </c>
      <c r="C5168" s="1" t="n">
        <v>45796</v>
      </c>
      <c r="D5168" t="inlineStr">
        <is>
          <t>SKÅNE LÄN</t>
        </is>
      </c>
      <c r="E5168" t="inlineStr">
        <is>
          <t>HÄSSLEHOLM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56972-2023</t>
        </is>
      </c>
      <c r="B5169" s="1" t="n">
        <v>45244</v>
      </c>
      <c r="C5169" s="1" t="n">
        <v>45796</v>
      </c>
      <c r="D5169" t="inlineStr">
        <is>
          <t>SKÅNE LÄN</t>
        </is>
      </c>
      <c r="E5169" t="inlineStr">
        <is>
          <t>KRISTIANSTAD</t>
        </is>
      </c>
      <c r="F5169" t="inlineStr">
        <is>
          <t>Övriga Aktiebolag</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56969-2023</t>
        </is>
      </c>
      <c r="B5170" s="1" t="n">
        <v>45244</v>
      </c>
      <c r="C5170" s="1" t="n">
        <v>45796</v>
      </c>
      <c r="D5170" t="inlineStr">
        <is>
          <t>SKÅNE LÄN</t>
        </is>
      </c>
      <c r="E5170" t="inlineStr">
        <is>
          <t>KRISTIANSTAD</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57042-2023</t>
        </is>
      </c>
      <c r="B5171" s="1" t="n">
        <v>45244</v>
      </c>
      <c r="C5171" s="1" t="n">
        <v>45796</v>
      </c>
      <c r="D5171" t="inlineStr">
        <is>
          <t>SKÅNE LÄN</t>
        </is>
      </c>
      <c r="E5171" t="inlineStr">
        <is>
          <t>OSBY</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57039-2023</t>
        </is>
      </c>
      <c r="B5172" s="1" t="n">
        <v>45244</v>
      </c>
      <c r="C5172" s="1" t="n">
        <v>45796</v>
      </c>
      <c r="D5172" t="inlineStr">
        <is>
          <t>SKÅNE LÄN</t>
        </is>
      </c>
      <c r="E5172" t="inlineStr">
        <is>
          <t>OSBY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57043-2023</t>
        </is>
      </c>
      <c r="B5173" s="1" t="n">
        <v>45244</v>
      </c>
      <c r="C5173" s="1" t="n">
        <v>45796</v>
      </c>
      <c r="D5173" t="inlineStr">
        <is>
          <t>SKÅNE LÄN</t>
        </is>
      </c>
      <c r="E5173" t="inlineStr">
        <is>
          <t>OSBY</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56940-2023</t>
        </is>
      </c>
      <c r="B5174" s="1" t="n">
        <v>45244</v>
      </c>
      <c r="C5174" s="1" t="n">
        <v>45796</v>
      </c>
      <c r="D5174" t="inlineStr">
        <is>
          <t>SKÅNE LÄN</t>
        </is>
      </c>
      <c r="E5174" t="inlineStr">
        <is>
          <t>HÖÖR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57033-2023</t>
        </is>
      </c>
      <c r="B5175" s="1" t="n">
        <v>45244</v>
      </c>
      <c r="C5175" s="1" t="n">
        <v>45796</v>
      </c>
      <c r="D5175" t="inlineStr">
        <is>
          <t>SKÅNE LÄN</t>
        </is>
      </c>
      <c r="E5175" t="inlineStr">
        <is>
          <t>OSBY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57045-2023</t>
        </is>
      </c>
      <c r="B5176" s="1" t="n">
        <v>45244</v>
      </c>
      <c r="C5176" s="1" t="n">
        <v>45796</v>
      </c>
      <c r="D5176" t="inlineStr">
        <is>
          <t>SKÅNE LÄN</t>
        </is>
      </c>
      <c r="E5176" t="inlineStr">
        <is>
          <t>OSBY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57293-2023</t>
        </is>
      </c>
      <c r="B5177" s="1" t="n">
        <v>45245</v>
      </c>
      <c r="C5177" s="1" t="n">
        <v>45796</v>
      </c>
      <c r="D5177" t="inlineStr">
        <is>
          <t>SKÅNE LÄN</t>
        </is>
      </c>
      <c r="E5177" t="inlineStr">
        <is>
          <t>ÖSTRA GÖINGE</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57272-2023</t>
        </is>
      </c>
      <c r="B5178" s="1" t="n">
        <v>45245</v>
      </c>
      <c r="C5178" s="1" t="n">
        <v>45796</v>
      </c>
      <c r="D5178" t="inlineStr">
        <is>
          <t>SKÅNE LÄN</t>
        </is>
      </c>
      <c r="E5178" t="inlineStr">
        <is>
          <t>HÄSSLEHOLM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57277-2023</t>
        </is>
      </c>
      <c r="B5179" s="1" t="n">
        <v>45245</v>
      </c>
      <c r="C5179" s="1" t="n">
        <v>45796</v>
      </c>
      <c r="D5179" t="inlineStr">
        <is>
          <t>SKÅNE LÄN</t>
        </is>
      </c>
      <c r="E5179" t="inlineStr">
        <is>
          <t>HÄSSLEHOLM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57290-2023</t>
        </is>
      </c>
      <c r="B5180" s="1" t="n">
        <v>45245</v>
      </c>
      <c r="C5180" s="1" t="n">
        <v>45796</v>
      </c>
      <c r="D5180" t="inlineStr">
        <is>
          <t>SKÅNE LÄN</t>
        </is>
      </c>
      <c r="E5180" t="inlineStr">
        <is>
          <t>ÖSTRA GÖINGE</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57275-2023</t>
        </is>
      </c>
      <c r="B5181" s="1" t="n">
        <v>45245</v>
      </c>
      <c r="C5181" s="1" t="n">
        <v>45796</v>
      </c>
      <c r="D5181" t="inlineStr">
        <is>
          <t>SKÅNE LÄN</t>
        </is>
      </c>
      <c r="E5181" t="inlineStr">
        <is>
          <t>HÄSSLEHOLM</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57487-2023</t>
        </is>
      </c>
      <c r="B5182" s="1" t="n">
        <v>45246</v>
      </c>
      <c r="C5182" s="1" t="n">
        <v>45796</v>
      </c>
      <c r="D5182" t="inlineStr">
        <is>
          <t>SKÅNE LÄN</t>
        </is>
      </c>
      <c r="E5182" t="inlineStr">
        <is>
          <t>ÖSTRA GÖINGE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57552-2023</t>
        </is>
      </c>
      <c r="B5183" s="1" t="n">
        <v>45246</v>
      </c>
      <c r="C5183" s="1" t="n">
        <v>45796</v>
      </c>
      <c r="D5183" t="inlineStr">
        <is>
          <t>SKÅNE LÄN</t>
        </is>
      </c>
      <c r="E5183" t="inlineStr">
        <is>
          <t>ÄNGELHOLM</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57489-2023</t>
        </is>
      </c>
      <c r="B5184" s="1" t="n">
        <v>45246</v>
      </c>
      <c r="C5184" s="1" t="n">
        <v>45796</v>
      </c>
      <c r="D5184" t="inlineStr">
        <is>
          <t>SKÅNE LÄN</t>
        </is>
      </c>
      <c r="E5184" t="inlineStr">
        <is>
          <t>ÖSTRA GÖINGE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57695-2023</t>
        </is>
      </c>
      <c r="B5185" s="1" t="n">
        <v>45246</v>
      </c>
      <c r="C5185" s="1" t="n">
        <v>45796</v>
      </c>
      <c r="D5185" t="inlineStr">
        <is>
          <t>SKÅNE LÄN</t>
        </is>
      </c>
      <c r="E5185" t="inlineStr">
        <is>
          <t>HÄSSLEHOLM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57749-2023</t>
        </is>
      </c>
      <c r="B5186" s="1" t="n">
        <v>45246</v>
      </c>
      <c r="C5186" s="1" t="n">
        <v>45796</v>
      </c>
      <c r="D5186" t="inlineStr">
        <is>
          <t>SKÅNE LÄN</t>
        </is>
      </c>
      <c r="E5186" t="inlineStr">
        <is>
          <t>HÄSSLEHOLM</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57963-2023</t>
        </is>
      </c>
      <c r="B5187" s="1" t="n">
        <v>45247</v>
      </c>
      <c r="C5187" s="1" t="n">
        <v>45796</v>
      </c>
      <c r="D5187" t="inlineStr">
        <is>
          <t>SKÅNE LÄN</t>
        </is>
      </c>
      <c r="E5187" t="inlineStr">
        <is>
          <t>HÄSSLEHOLM</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57979-2023</t>
        </is>
      </c>
      <c r="B5188" s="1" t="n">
        <v>45247</v>
      </c>
      <c r="C5188" s="1" t="n">
        <v>45796</v>
      </c>
      <c r="D5188" t="inlineStr">
        <is>
          <t>SKÅNE LÄN</t>
        </is>
      </c>
      <c r="E5188" t="inlineStr">
        <is>
          <t>KRISTIANSTAD</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57961-2023</t>
        </is>
      </c>
      <c r="B5189" s="1" t="n">
        <v>45247</v>
      </c>
      <c r="C5189" s="1" t="n">
        <v>45796</v>
      </c>
      <c r="D5189" t="inlineStr">
        <is>
          <t>SKÅNE LÄN</t>
        </is>
      </c>
      <c r="E5189" t="inlineStr">
        <is>
          <t>TOMELILLA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57996-2023</t>
        </is>
      </c>
      <c r="B5190" s="1" t="n">
        <v>45247</v>
      </c>
      <c r="C5190" s="1" t="n">
        <v>45796</v>
      </c>
      <c r="D5190" t="inlineStr">
        <is>
          <t>SKÅNE LÄN</t>
        </is>
      </c>
      <c r="E5190" t="inlineStr">
        <is>
          <t>KRISTIANSTAD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58007-2023</t>
        </is>
      </c>
      <c r="B5191" s="1" t="n">
        <v>45247</v>
      </c>
      <c r="C5191" s="1" t="n">
        <v>45796</v>
      </c>
      <c r="D5191" t="inlineStr">
        <is>
          <t>SKÅNE LÄN</t>
        </is>
      </c>
      <c r="E5191" t="inlineStr">
        <is>
          <t>KRISTIANSTAD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57976-2023</t>
        </is>
      </c>
      <c r="B5192" s="1" t="n">
        <v>45247</v>
      </c>
      <c r="C5192" s="1" t="n">
        <v>45796</v>
      </c>
      <c r="D5192" t="inlineStr">
        <is>
          <t>SKÅNE LÄN</t>
        </is>
      </c>
      <c r="E5192" t="inlineStr">
        <is>
          <t>KRISTIANSTAD</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58003-2023</t>
        </is>
      </c>
      <c r="B5193" s="1" t="n">
        <v>45247</v>
      </c>
      <c r="C5193" s="1" t="n">
        <v>45796</v>
      </c>
      <c r="D5193" t="inlineStr">
        <is>
          <t>SKÅNE LÄN</t>
        </is>
      </c>
      <c r="E5193" t="inlineStr">
        <is>
          <t>KRISTIANSTAD</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58815-2023</t>
        </is>
      </c>
      <c r="B5194" s="1" t="n">
        <v>45247</v>
      </c>
      <c r="C5194" s="1" t="n">
        <v>45796</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57987-2023</t>
        </is>
      </c>
      <c r="B5195" s="1" t="n">
        <v>45247</v>
      </c>
      <c r="C5195" s="1" t="n">
        <v>45796</v>
      </c>
      <c r="D5195" t="inlineStr">
        <is>
          <t>SKÅNE LÄN</t>
        </is>
      </c>
      <c r="E5195" t="inlineStr">
        <is>
          <t>KRISTIANSTAD</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57967-2023</t>
        </is>
      </c>
      <c r="B5196" s="1" t="n">
        <v>45247</v>
      </c>
      <c r="C5196" s="1" t="n">
        <v>45796</v>
      </c>
      <c r="D5196" t="inlineStr">
        <is>
          <t>SKÅNE LÄN</t>
        </is>
      </c>
      <c r="E5196" t="inlineStr">
        <is>
          <t>HÄSSLEHOLM</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58360-2023</t>
        </is>
      </c>
      <c r="B5197" s="1" t="n">
        <v>45250</v>
      </c>
      <c r="C5197" s="1" t="n">
        <v>45796</v>
      </c>
      <c r="D5197" t="inlineStr">
        <is>
          <t>SKÅNE LÄN</t>
        </is>
      </c>
      <c r="E5197" t="inlineStr">
        <is>
          <t>HÖRBY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58915-2023</t>
        </is>
      </c>
      <c r="B5198" s="1" t="n">
        <v>45250</v>
      </c>
      <c r="C5198" s="1" t="n">
        <v>45796</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58284-2023</t>
        </is>
      </c>
      <c r="B5199" s="1" t="n">
        <v>45250</v>
      </c>
      <c r="C5199" s="1" t="n">
        <v>45796</v>
      </c>
      <c r="D5199" t="inlineStr">
        <is>
          <t>SKÅNE LÄN</t>
        </is>
      </c>
      <c r="E5199" t="inlineStr">
        <is>
          <t>ÖRKELLJUNGA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58834-2023</t>
        </is>
      </c>
      <c r="B5200" s="1" t="n">
        <v>45250</v>
      </c>
      <c r="C5200" s="1" t="n">
        <v>45796</v>
      </c>
      <c r="D5200" t="inlineStr">
        <is>
          <t>SKÅNE LÄN</t>
        </is>
      </c>
      <c r="E5200" t="inlineStr">
        <is>
          <t>HÄSSLEHOLM</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58523-2023</t>
        </is>
      </c>
      <c r="B5201" s="1" t="n">
        <v>45251</v>
      </c>
      <c r="C5201" s="1" t="n">
        <v>45796</v>
      </c>
      <c r="D5201" t="inlineStr">
        <is>
          <t>SKÅNE LÄN</t>
        </is>
      </c>
      <c r="E5201" t="inlineStr">
        <is>
          <t>OSBY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58475-2023</t>
        </is>
      </c>
      <c r="B5202" s="1" t="n">
        <v>45251</v>
      </c>
      <c r="C5202" s="1" t="n">
        <v>45796</v>
      </c>
      <c r="D5202" t="inlineStr">
        <is>
          <t>SKÅNE LÄN</t>
        </is>
      </c>
      <c r="E5202" t="inlineStr">
        <is>
          <t>ÖSTRA GÖINGE</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58641-2023</t>
        </is>
      </c>
      <c r="B5203" s="1" t="n">
        <v>45251</v>
      </c>
      <c r="C5203" s="1" t="n">
        <v>45796</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58814-2023</t>
        </is>
      </c>
      <c r="B5204" s="1" t="n">
        <v>45252</v>
      </c>
      <c r="C5204" s="1" t="n">
        <v>45796</v>
      </c>
      <c r="D5204" t="inlineStr">
        <is>
          <t>SKÅNE LÄN</t>
        </is>
      </c>
      <c r="E5204" t="inlineStr">
        <is>
          <t>ÄNGELHOLM</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59028-2023</t>
        </is>
      </c>
      <c r="B5205" s="1" t="n">
        <v>45252</v>
      </c>
      <c r="C5205" s="1" t="n">
        <v>45796</v>
      </c>
      <c r="D5205" t="inlineStr">
        <is>
          <t>SKÅNE LÄN</t>
        </is>
      </c>
      <c r="E5205" t="inlineStr">
        <is>
          <t>HÄSSLEHOLM</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59033-2023</t>
        </is>
      </c>
      <c r="B5206" s="1" t="n">
        <v>45252</v>
      </c>
      <c r="C5206" s="1" t="n">
        <v>45796</v>
      </c>
      <c r="D5206" t="inlineStr">
        <is>
          <t>SKÅNE LÄN</t>
        </is>
      </c>
      <c r="E5206" t="inlineStr">
        <is>
          <t>OSBY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58906-2023</t>
        </is>
      </c>
      <c r="B5207" s="1" t="n">
        <v>45252</v>
      </c>
      <c r="C5207" s="1" t="n">
        <v>45796</v>
      </c>
      <c r="D5207" t="inlineStr">
        <is>
          <t>SKÅNE LÄN</t>
        </is>
      </c>
      <c r="E5207" t="inlineStr">
        <is>
          <t>HÄSSLEHOLM</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59059-2023</t>
        </is>
      </c>
      <c r="B5208" s="1" t="n">
        <v>45252</v>
      </c>
      <c r="C5208" s="1" t="n">
        <v>45796</v>
      </c>
      <c r="D5208" t="inlineStr">
        <is>
          <t>SKÅNE LÄN</t>
        </is>
      </c>
      <c r="E5208" t="inlineStr">
        <is>
          <t>HÄSSLEHOLM</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59073-2023</t>
        </is>
      </c>
      <c r="B5209" s="1" t="n">
        <v>45252</v>
      </c>
      <c r="C5209" s="1" t="n">
        <v>45796</v>
      </c>
      <c r="D5209" t="inlineStr">
        <is>
          <t>SKÅNE LÄN</t>
        </is>
      </c>
      <c r="E5209" t="inlineStr">
        <is>
          <t>ÖSTRA GÖINGE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59328-2023</t>
        </is>
      </c>
      <c r="B5210" s="1" t="n">
        <v>45252</v>
      </c>
      <c r="C5210" s="1" t="n">
        <v>45796</v>
      </c>
      <c r="D5210" t="inlineStr">
        <is>
          <t>SKÅNE LÄN</t>
        </is>
      </c>
      <c r="E5210" t="inlineStr">
        <is>
          <t>ÖSTRA GÖINGE</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59197-2023</t>
        </is>
      </c>
      <c r="B5211" s="1" t="n">
        <v>45252</v>
      </c>
      <c r="C5211" s="1" t="n">
        <v>45796</v>
      </c>
      <c r="D5211" t="inlineStr">
        <is>
          <t>SKÅNE LÄN</t>
        </is>
      </c>
      <c r="E5211" t="inlineStr">
        <is>
          <t>ÖSTRA GÖINGE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59308-2023</t>
        </is>
      </c>
      <c r="B5212" s="1" t="n">
        <v>45253</v>
      </c>
      <c r="C5212" s="1" t="n">
        <v>45796</v>
      </c>
      <c r="D5212" t="inlineStr">
        <is>
          <t>SKÅNE LÄN</t>
        </is>
      </c>
      <c r="E5212" t="inlineStr">
        <is>
          <t>HÖRBY</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59109-2023</t>
        </is>
      </c>
      <c r="B5213" s="1" t="n">
        <v>45253</v>
      </c>
      <c r="C5213" s="1" t="n">
        <v>45796</v>
      </c>
      <c r="D5213" t="inlineStr">
        <is>
          <t>SKÅNE LÄN</t>
        </is>
      </c>
      <c r="E5213" t="inlineStr">
        <is>
          <t>HÄSSLEHOLM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59305-2023</t>
        </is>
      </c>
      <c r="B5214" s="1" t="n">
        <v>45253</v>
      </c>
      <c r="C5214" s="1" t="n">
        <v>45796</v>
      </c>
      <c r="D5214" t="inlineStr">
        <is>
          <t>SKÅNE LÄN</t>
        </is>
      </c>
      <c r="E5214" t="inlineStr">
        <is>
          <t>HÖRBY</t>
        </is>
      </c>
      <c r="F5214" t="inlineStr">
        <is>
          <t>Sveaskog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59302-2023</t>
        </is>
      </c>
      <c r="B5215" s="1" t="n">
        <v>45253</v>
      </c>
      <c r="C5215" s="1" t="n">
        <v>45796</v>
      </c>
      <c r="D5215" t="inlineStr">
        <is>
          <t>SKÅNE LÄN</t>
        </is>
      </c>
      <c r="E5215" t="inlineStr">
        <is>
          <t>KRISTIANSTAD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59391-2023</t>
        </is>
      </c>
      <c r="B5216" s="1" t="n">
        <v>45253</v>
      </c>
      <c r="C5216" s="1" t="n">
        <v>45796</v>
      </c>
      <c r="D5216" t="inlineStr">
        <is>
          <t>SKÅNE LÄN</t>
        </is>
      </c>
      <c r="E5216" t="inlineStr">
        <is>
          <t>ÖSTRA GÖINGE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59604-2023</t>
        </is>
      </c>
      <c r="B5217" s="1" t="n">
        <v>45253</v>
      </c>
      <c r="C5217" s="1" t="n">
        <v>45796</v>
      </c>
      <c r="D5217" t="inlineStr">
        <is>
          <t>SKÅNE LÄN</t>
        </is>
      </c>
      <c r="E5217" t="inlineStr">
        <is>
          <t>SJÖBO</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59431-2023</t>
        </is>
      </c>
      <c r="B5218" s="1" t="n">
        <v>45254</v>
      </c>
      <c r="C5218" s="1" t="n">
        <v>45796</v>
      </c>
      <c r="D5218" t="inlineStr">
        <is>
          <t>SKÅNE LÄN</t>
        </is>
      </c>
      <c r="E5218" t="inlineStr">
        <is>
          <t>HÄSSLEHOLM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59445-2023</t>
        </is>
      </c>
      <c r="B5219" s="1" t="n">
        <v>45254</v>
      </c>
      <c r="C5219" s="1" t="n">
        <v>45796</v>
      </c>
      <c r="D5219" t="inlineStr">
        <is>
          <t>SKÅNE LÄN</t>
        </is>
      </c>
      <c r="E5219" t="inlineStr">
        <is>
          <t>HÖRBY</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59434-2023</t>
        </is>
      </c>
      <c r="B5220" s="1" t="n">
        <v>45254</v>
      </c>
      <c r="C5220" s="1" t="n">
        <v>45796</v>
      </c>
      <c r="D5220" t="inlineStr">
        <is>
          <t>SKÅNE LÄN</t>
        </is>
      </c>
      <c r="E5220" t="inlineStr">
        <is>
          <t>HÄSSLEHOLM</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59448-2023</t>
        </is>
      </c>
      <c r="B5221" s="1" t="n">
        <v>45254</v>
      </c>
      <c r="C5221" s="1" t="n">
        <v>45796</v>
      </c>
      <c r="D5221" t="inlineStr">
        <is>
          <t>SKÅNE LÄN</t>
        </is>
      </c>
      <c r="E5221" t="inlineStr">
        <is>
          <t>HÖRBY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59597-2023</t>
        </is>
      </c>
      <c r="B5222" s="1" t="n">
        <v>45254</v>
      </c>
      <c r="C5222" s="1" t="n">
        <v>45796</v>
      </c>
      <c r="D5222" t="inlineStr">
        <is>
          <t>SKÅNE LÄN</t>
        </is>
      </c>
      <c r="E5222" t="inlineStr">
        <is>
          <t>KRISTIANSTAD</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59601-2023</t>
        </is>
      </c>
      <c r="B5223" s="1" t="n">
        <v>45254</v>
      </c>
      <c r="C5223" s="1" t="n">
        <v>45796</v>
      </c>
      <c r="D5223" t="inlineStr">
        <is>
          <t>SKÅNE LÄN</t>
        </is>
      </c>
      <c r="E5223" t="inlineStr">
        <is>
          <t>ÖSTRA GÖINGE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59429-2023</t>
        </is>
      </c>
      <c r="B5224" s="1" t="n">
        <v>45254</v>
      </c>
      <c r="C5224" s="1" t="n">
        <v>45796</v>
      </c>
      <c r="D5224" t="inlineStr">
        <is>
          <t>SKÅNE LÄN</t>
        </is>
      </c>
      <c r="E5224" t="inlineStr">
        <is>
          <t>HÄSSLEHOLM</t>
        </is>
      </c>
      <c r="G5224" t="n">
        <v>0</v>
      </c>
      <c r="H5224" t="n">
        <v>0</v>
      </c>
      <c r="I5224" t="n">
        <v>0</v>
      </c>
      <c r="J5224" t="n">
        <v>0</v>
      </c>
      <c r="K5224" t="n">
        <v>0</v>
      </c>
      <c r="L5224" t="n">
        <v>0</v>
      </c>
      <c r="M5224" t="n">
        <v>0</v>
      </c>
      <c r="N5224" t="n">
        <v>0</v>
      </c>
      <c r="O5224" t="n">
        <v>0</v>
      </c>
      <c r="P5224" t="n">
        <v>0</v>
      </c>
      <c r="Q5224" t="n">
        <v>0</v>
      </c>
      <c r="R5224" s="2" t="inlineStr"/>
    </row>
    <row r="5225" ht="15" customHeight="1">
      <c r="A5225" t="inlineStr">
        <is>
          <t>A 59433-2023</t>
        </is>
      </c>
      <c r="B5225" s="1" t="n">
        <v>45254</v>
      </c>
      <c r="C5225" s="1" t="n">
        <v>45796</v>
      </c>
      <c r="D5225" t="inlineStr">
        <is>
          <t>SKÅNE LÄN</t>
        </is>
      </c>
      <c r="E5225" t="inlineStr">
        <is>
          <t>HÄSSLEHOLM</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59556-2023</t>
        </is>
      </c>
      <c r="B5226" s="1" t="n">
        <v>45254</v>
      </c>
      <c r="C5226" s="1" t="n">
        <v>45796</v>
      </c>
      <c r="D5226" t="inlineStr">
        <is>
          <t>SKÅNE LÄN</t>
        </is>
      </c>
      <c r="E5226" t="inlineStr">
        <is>
          <t>HÄSSLEHOLM</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59677-2023</t>
        </is>
      </c>
      <c r="B5227" s="1" t="n">
        <v>45255</v>
      </c>
      <c r="C5227" s="1" t="n">
        <v>45796</v>
      </c>
      <c r="D5227" t="inlineStr">
        <is>
          <t>SKÅNE LÄN</t>
        </is>
      </c>
      <c r="E5227" t="inlineStr">
        <is>
          <t>OSBY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59678-2023</t>
        </is>
      </c>
      <c r="B5228" s="1" t="n">
        <v>45255</v>
      </c>
      <c r="C5228" s="1" t="n">
        <v>45796</v>
      </c>
      <c r="D5228" t="inlineStr">
        <is>
          <t>SKÅNE LÄN</t>
        </is>
      </c>
      <c r="E5228" t="inlineStr">
        <is>
          <t>OSBY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59675-2023</t>
        </is>
      </c>
      <c r="B5229" s="1" t="n">
        <v>45255</v>
      </c>
      <c r="C5229" s="1" t="n">
        <v>45796</v>
      </c>
      <c r="D5229" t="inlineStr">
        <is>
          <t>SKÅNE LÄN</t>
        </is>
      </c>
      <c r="E5229" t="inlineStr">
        <is>
          <t>OSBY</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59679-2023</t>
        </is>
      </c>
      <c r="B5230" s="1" t="n">
        <v>45255</v>
      </c>
      <c r="C5230" s="1" t="n">
        <v>45796</v>
      </c>
      <c r="D5230" t="inlineStr">
        <is>
          <t>SKÅNE LÄN</t>
        </is>
      </c>
      <c r="E5230" t="inlineStr">
        <is>
          <t>OSBY</t>
        </is>
      </c>
      <c r="G5230" t="n">
        <v>15.6</v>
      </c>
      <c r="H5230" t="n">
        <v>0</v>
      </c>
      <c r="I5230" t="n">
        <v>0</v>
      </c>
      <c r="J5230" t="n">
        <v>0</v>
      </c>
      <c r="K5230" t="n">
        <v>0</v>
      </c>
      <c r="L5230" t="n">
        <v>0</v>
      </c>
      <c r="M5230" t="n">
        <v>0</v>
      </c>
      <c r="N5230" t="n">
        <v>0</v>
      </c>
      <c r="O5230" t="n">
        <v>0</v>
      </c>
      <c r="P5230" t="n">
        <v>0</v>
      </c>
      <c r="Q5230" t="n">
        <v>0</v>
      </c>
      <c r="R5230" s="2" t="inlineStr"/>
    </row>
    <row r="5231" ht="15" customHeight="1">
      <c r="A5231" t="inlineStr">
        <is>
          <t>A 59709-2023</t>
        </is>
      </c>
      <c r="B5231" s="1" t="n">
        <v>45256</v>
      </c>
      <c r="C5231" s="1" t="n">
        <v>45796</v>
      </c>
      <c r="D5231" t="inlineStr">
        <is>
          <t>SKÅNE LÄN</t>
        </is>
      </c>
      <c r="E5231" t="inlineStr">
        <is>
          <t>ÖSTRA GÖINGE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59724-2023</t>
        </is>
      </c>
      <c r="B5232" s="1" t="n">
        <v>45257</v>
      </c>
      <c r="C5232" s="1" t="n">
        <v>45796</v>
      </c>
      <c r="D5232" t="inlineStr">
        <is>
          <t>SKÅNE LÄN</t>
        </is>
      </c>
      <c r="E5232" t="inlineStr">
        <is>
          <t>SJÖBO</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59824-2023</t>
        </is>
      </c>
      <c r="B5233" s="1" t="n">
        <v>45257</v>
      </c>
      <c r="C5233" s="1" t="n">
        <v>45796</v>
      </c>
      <c r="D5233" t="inlineStr">
        <is>
          <t>SKÅNE LÄN</t>
        </is>
      </c>
      <c r="E5233" t="inlineStr">
        <is>
          <t>ÖRKELLJUNGA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59733-2023</t>
        </is>
      </c>
      <c r="B5234" s="1" t="n">
        <v>45257</v>
      </c>
      <c r="C5234" s="1" t="n">
        <v>45796</v>
      </c>
      <c r="D5234" t="inlineStr">
        <is>
          <t>SKÅNE LÄN</t>
        </is>
      </c>
      <c r="E5234" t="inlineStr">
        <is>
          <t>LUND</t>
        </is>
      </c>
      <c r="G5234" t="n">
        <v>8.9</v>
      </c>
      <c r="H5234" t="n">
        <v>0</v>
      </c>
      <c r="I5234" t="n">
        <v>0</v>
      </c>
      <c r="J5234" t="n">
        <v>0</v>
      </c>
      <c r="K5234" t="n">
        <v>0</v>
      </c>
      <c r="L5234" t="n">
        <v>0</v>
      </c>
      <c r="M5234" t="n">
        <v>0</v>
      </c>
      <c r="N5234" t="n">
        <v>0</v>
      </c>
      <c r="O5234" t="n">
        <v>0</v>
      </c>
      <c r="P5234" t="n">
        <v>0</v>
      </c>
      <c r="Q5234" t="n">
        <v>0</v>
      </c>
      <c r="R5234" s="2" t="inlineStr"/>
    </row>
    <row r="5235" ht="15" customHeight="1">
      <c r="A5235" t="inlineStr">
        <is>
          <t>A 60460-2023</t>
        </is>
      </c>
      <c r="B5235" s="1" t="n">
        <v>45258</v>
      </c>
      <c r="C5235" s="1" t="n">
        <v>45796</v>
      </c>
      <c r="D5235" t="inlineStr">
        <is>
          <t>SKÅNE LÄN</t>
        </is>
      </c>
      <c r="E5235" t="inlineStr">
        <is>
          <t>KRISTIANSTAD</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60457-2023</t>
        </is>
      </c>
      <c r="B5236" s="1" t="n">
        <v>45258</v>
      </c>
      <c r="C5236" s="1" t="n">
        <v>45796</v>
      </c>
      <c r="D5236" t="inlineStr">
        <is>
          <t>SKÅNE LÄN</t>
        </is>
      </c>
      <c r="E5236" t="inlineStr">
        <is>
          <t>KRISTIANSTAD</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60498-2023</t>
        </is>
      </c>
      <c r="B5237" s="1" t="n">
        <v>45259</v>
      </c>
      <c r="C5237" s="1" t="n">
        <v>45796</v>
      </c>
      <c r="D5237" t="inlineStr">
        <is>
          <t>SKÅNE LÄN</t>
        </is>
      </c>
      <c r="E5237" t="inlineStr">
        <is>
          <t>PERSTORP</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60511-2023</t>
        </is>
      </c>
      <c r="B5238" s="1" t="n">
        <v>45259</v>
      </c>
      <c r="C5238" s="1" t="n">
        <v>45796</v>
      </c>
      <c r="D5238" t="inlineStr">
        <is>
          <t>SKÅNE LÄN</t>
        </is>
      </c>
      <c r="E5238" t="inlineStr">
        <is>
          <t>PERSTORP</t>
        </is>
      </c>
      <c r="F5238" t="inlineStr">
        <is>
          <t>Övriga Aktiebolag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60515-2023</t>
        </is>
      </c>
      <c r="B5239" s="1" t="n">
        <v>45259</v>
      </c>
      <c r="C5239" s="1" t="n">
        <v>45796</v>
      </c>
      <c r="D5239" t="inlineStr">
        <is>
          <t>SKÅNE LÄN</t>
        </is>
      </c>
      <c r="E5239" t="inlineStr">
        <is>
          <t>HÄSSLEHOLM</t>
        </is>
      </c>
      <c r="F5239" t="inlineStr">
        <is>
          <t>Övriga Aktiebolag</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60504-2023</t>
        </is>
      </c>
      <c r="B5240" s="1" t="n">
        <v>45259</v>
      </c>
      <c r="C5240" s="1" t="n">
        <v>45796</v>
      </c>
      <c r="D5240" t="inlineStr">
        <is>
          <t>SKÅNE LÄN</t>
        </is>
      </c>
      <c r="E5240" t="inlineStr">
        <is>
          <t>PERSTORP</t>
        </is>
      </c>
      <c r="F5240" t="inlineStr">
        <is>
          <t>Övriga Aktiebolag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60527-2023</t>
        </is>
      </c>
      <c r="B5241" s="1" t="n">
        <v>45259</v>
      </c>
      <c r="C5241" s="1" t="n">
        <v>45796</v>
      </c>
      <c r="D5241" t="inlineStr">
        <is>
          <t>SKÅNE LÄN</t>
        </is>
      </c>
      <c r="E5241" t="inlineStr">
        <is>
          <t>KLIPPAN</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60501-2023</t>
        </is>
      </c>
      <c r="B5242" s="1" t="n">
        <v>45259</v>
      </c>
      <c r="C5242" s="1" t="n">
        <v>45796</v>
      </c>
      <c r="D5242" t="inlineStr">
        <is>
          <t>SKÅNE LÄN</t>
        </is>
      </c>
      <c r="E5242" t="inlineStr">
        <is>
          <t>PERSTORP</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60506-2023</t>
        </is>
      </c>
      <c r="B5243" s="1" t="n">
        <v>45259</v>
      </c>
      <c r="C5243" s="1" t="n">
        <v>45796</v>
      </c>
      <c r="D5243" t="inlineStr">
        <is>
          <t>SKÅNE LÄN</t>
        </is>
      </c>
      <c r="E5243" t="inlineStr">
        <is>
          <t>PERSTORP</t>
        </is>
      </c>
      <c r="F5243" t="inlineStr">
        <is>
          <t>Övriga Aktiebolag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60371-2023</t>
        </is>
      </c>
      <c r="B5244" s="1" t="n">
        <v>45259</v>
      </c>
      <c r="C5244" s="1" t="n">
        <v>45796</v>
      </c>
      <c r="D5244" t="inlineStr">
        <is>
          <t>SKÅNE LÄN</t>
        </is>
      </c>
      <c r="E5244" t="inlineStr">
        <is>
          <t>SJÖBO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60519-2023</t>
        </is>
      </c>
      <c r="B5245" s="1" t="n">
        <v>45259</v>
      </c>
      <c r="C5245" s="1" t="n">
        <v>45796</v>
      </c>
      <c r="D5245" t="inlineStr">
        <is>
          <t>SKÅNE LÄN</t>
        </is>
      </c>
      <c r="E5245" t="inlineStr">
        <is>
          <t>ÖSTRA GÖINGE</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60509-2023</t>
        </is>
      </c>
      <c r="B5246" s="1" t="n">
        <v>45259</v>
      </c>
      <c r="C5246" s="1" t="n">
        <v>45796</v>
      </c>
      <c r="D5246" t="inlineStr">
        <is>
          <t>SKÅNE LÄN</t>
        </is>
      </c>
      <c r="E5246" t="inlineStr">
        <is>
          <t>HÄSSLEHOLM</t>
        </is>
      </c>
      <c r="F5246" t="inlineStr">
        <is>
          <t>Övriga Aktiebolag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60561-2023</t>
        </is>
      </c>
      <c r="B5247" s="1" t="n">
        <v>45259</v>
      </c>
      <c r="C5247" s="1" t="n">
        <v>45796</v>
      </c>
      <c r="D5247" t="inlineStr">
        <is>
          <t>SKÅNE LÄN</t>
        </is>
      </c>
      <c r="E5247" t="inlineStr">
        <is>
          <t>HÄSSLEHOLM</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60620-2023</t>
        </is>
      </c>
      <c r="B5248" s="1" t="n">
        <v>45259</v>
      </c>
      <c r="C5248" s="1" t="n">
        <v>45796</v>
      </c>
      <c r="D5248" t="inlineStr">
        <is>
          <t>SKÅNE LÄN</t>
        </is>
      </c>
      <c r="E5248" t="inlineStr">
        <is>
          <t>TOMELILLA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60586-2023</t>
        </is>
      </c>
      <c r="B5249" s="1" t="n">
        <v>45259</v>
      </c>
      <c r="C5249" s="1" t="n">
        <v>45796</v>
      </c>
      <c r="D5249" t="inlineStr">
        <is>
          <t>SKÅNE LÄN</t>
        </is>
      </c>
      <c r="E5249" t="inlineStr">
        <is>
          <t>HÄSSLEHOLM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60585-2023</t>
        </is>
      </c>
      <c r="B5250" s="1" t="n">
        <v>45259</v>
      </c>
      <c r="C5250" s="1" t="n">
        <v>45796</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60623-2023</t>
        </is>
      </c>
      <c r="B5251" s="1" t="n">
        <v>45259</v>
      </c>
      <c r="C5251" s="1" t="n">
        <v>45796</v>
      </c>
      <c r="D5251" t="inlineStr">
        <is>
          <t>SKÅNE LÄN</t>
        </is>
      </c>
      <c r="E5251" t="inlineStr">
        <is>
          <t>TOMELILLA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61018-2023</t>
        </is>
      </c>
      <c r="B5252" s="1" t="n">
        <v>45259</v>
      </c>
      <c r="C5252" s="1" t="n">
        <v>45796</v>
      </c>
      <c r="D5252" t="inlineStr">
        <is>
          <t>SKÅNE LÄN</t>
        </is>
      </c>
      <c r="E5252" t="inlineStr">
        <is>
          <t>OSBY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61029-2023</t>
        </is>
      </c>
      <c r="B5253" s="1" t="n">
        <v>45259</v>
      </c>
      <c r="C5253" s="1" t="n">
        <v>45796</v>
      </c>
      <c r="D5253" t="inlineStr">
        <is>
          <t>SKÅNE LÄN</t>
        </is>
      </c>
      <c r="E5253" t="inlineStr">
        <is>
          <t>OSBY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61024-2023</t>
        </is>
      </c>
      <c r="B5254" s="1" t="n">
        <v>45259</v>
      </c>
      <c r="C5254" s="1" t="n">
        <v>45796</v>
      </c>
      <c r="D5254" t="inlineStr">
        <is>
          <t>SKÅNE LÄN</t>
        </is>
      </c>
      <c r="E5254" t="inlineStr">
        <is>
          <t>OSBY</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60665-2023</t>
        </is>
      </c>
      <c r="B5255" s="1" t="n">
        <v>45260</v>
      </c>
      <c r="C5255" s="1" t="n">
        <v>45796</v>
      </c>
      <c r="D5255" t="inlineStr">
        <is>
          <t>SKÅNE LÄN</t>
        </is>
      </c>
      <c r="E5255" t="inlineStr">
        <is>
          <t>KLIPPAN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60653-2023</t>
        </is>
      </c>
      <c r="B5256" s="1" t="n">
        <v>45260</v>
      </c>
      <c r="C5256" s="1" t="n">
        <v>45796</v>
      </c>
      <c r="D5256" t="inlineStr">
        <is>
          <t>SKÅNE LÄN</t>
        </is>
      </c>
      <c r="E5256" t="inlineStr">
        <is>
          <t>HÄSSLEHOLM</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60774-2023</t>
        </is>
      </c>
      <c r="B5257" s="1" t="n">
        <v>45260</v>
      </c>
      <c r="C5257" s="1" t="n">
        <v>45796</v>
      </c>
      <c r="D5257" t="inlineStr">
        <is>
          <t>SKÅNE LÄN</t>
        </is>
      </c>
      <c r="E5257" t="inlineStr">
        <is>
          <t>HÄSSLEHOLM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60778-2023</t>
        </is>
      </c>
      <c r="B5258" s="1" t="n">
        <v>45260</v>
      </c>
      <c r="C5258" s="1" t="n">
        <v>45796</v>
      </c>
      <c r="D5258" t="inlineStr">
        <is>
          <t>SKÅNE LÄN</t>
        </is>
      </c>
      <c r="E5258" t="inlineStr">
        <is>
          <t>SJÖBO</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45796</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45796</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45796</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45796</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45796</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45796</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45796</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45796</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45796</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45796</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45796</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45796</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45796</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45796</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45796</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45796</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45796</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45796</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45796</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45796</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45796</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45796</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45796</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45796</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45796</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45796</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45796</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45796</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45796</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45796</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45796</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45796</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45796</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45796</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45796</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45796</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45796</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45796</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45796</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45796</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45796</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45796</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45796</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45796</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45796</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45796</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45796</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45796</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45796</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45796</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45796</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45796</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45796</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45796</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45796</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45796</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45796</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45796</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45796</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45796</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45796</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45796</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45796</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45796</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45796</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45796</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45796</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45796</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45796</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45796</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45796</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45796</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45796</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45796</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45796</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45796</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45796</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45796</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45796</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45796</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45796</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45796</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45796</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45796</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45796</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45796</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45796</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45796</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45796</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45796</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45796</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45796</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45796</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45796</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45796</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45796</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45796</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45796</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45796</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45796</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45796</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45796</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45796</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45796</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45796</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45796</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45796</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45796</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45796</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45796</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45796</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45796</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45796</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45796</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45796</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45796</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45796</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45796</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45796</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45796</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45796</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45796</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45796</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45796</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45796</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45796</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45796</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45796</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45796</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45796</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45796</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45796</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45796</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45796</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45796</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45796</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45796</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45796</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45796</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45796</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45796</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45796</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45796</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45796</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45796</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45796</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45796</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45796</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45796</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45796</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45796</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45796</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45796</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45796</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45796</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45796</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45796</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45796</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45796</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45796</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45796</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45796</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45796</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45796</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45796</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45796</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45796</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45796</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45796</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45796</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45796</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45796</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45796</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45796</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45796</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45796</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45796</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45796</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45796</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45796</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45796</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45796</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45796</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45796</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45796</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45796</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45796</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45796</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45796</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45796</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45796</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45796</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45796</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45796</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45796</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45796</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45796</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45796</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45796</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45796</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45796</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45796</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45796</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45796</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45796</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45796</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45796</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45796</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45796</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45796</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45796</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45796</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45796</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45796</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45796</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45796</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45796</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45796</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45796</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45796</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45796</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45796</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45796</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45796</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45796</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45796</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45796</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45796</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45796</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45796</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45796</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45796</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45796</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45796</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45796</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45796</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45796</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45796</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45796</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45796</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45796</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45796</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45796</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45796</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45796</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45796</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45796</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45796</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45796</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45796</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45796</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45796</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45796</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45796</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45796</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45796</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45796</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45796</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45796</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45796</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45796</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45796</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45796</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45796</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45796</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45796</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45796</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45796</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45796</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45796</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45796</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45796</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45796</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45796</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45796</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45796</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45796</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45796</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45796</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45796</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45796</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45796</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45796</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45796</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45796</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45796</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45796</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45796</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45796</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45796</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45796</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45796</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45796</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45796</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45796</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45796</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45796</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45796</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45796</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45796</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45796</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45796</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45796</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45796</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45796</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45796</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45796</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45796</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45796</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45796</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45796</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45796</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45796</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45796</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45796</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45796</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45796</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45796</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45796</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45796</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45796</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45796</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45796</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45796</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45796</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45796</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45796</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45796</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45796</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45796</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45796</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45796</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45796</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45796</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45796</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45796</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45796</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45796</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45796</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45796</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45796</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45796</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45796</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45796</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45796</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45796</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45796</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45796</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45796</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45796</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45796</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45796</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45796</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45796</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45796</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45796</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45796</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45796</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45796</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45796</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45796</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45796</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45796</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45796</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45796</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45796</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45796</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45796</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45796</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45796</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45796</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45796</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45796</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45796</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45796</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45796</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45796</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45796</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45796</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45796</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45796</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45796</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45796</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45796</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45796</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45796</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45796</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45796</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45796</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45796</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45796</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45796</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45796</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45796</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45796</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45796</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45796</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45796</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45796</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45796</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45796</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45796</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45796</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45796</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45796</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45796</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45796</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45796</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45796</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45796</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45796</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45796</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45796</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45796</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45796</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45796</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45796</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45796</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45796</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45796</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45796</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45796</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45796</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45796</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45796</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45796</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45796</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45796</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45796</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45796</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45796</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45796</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45796</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45796</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45796</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45796</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45796</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45796</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45796</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45796</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45796</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45796</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45796</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45796</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45796</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45796</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45796</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45796</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45796</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45796</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45796</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45796</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45796</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45796</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45796</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45796</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45796</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45796</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45796</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45796</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45796</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45796</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45796</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45796</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45796</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45796</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45796</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45796</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45796</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45796</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45796</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45796</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45796</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45796</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45796</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45796</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45796</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45796</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45796</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45796</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45796</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45796</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45796</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45796</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45796</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45796</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45796</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45796</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45796</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45796</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45796</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45796</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45796</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45796</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45796</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45796</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45796</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45796</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45796</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45796</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45796</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45796</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45796</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45796</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45796</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45796</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45796</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45796</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45796</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45796</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45796</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45796</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45796</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45796</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45796</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45796</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45796</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45796</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45796</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45796</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45796</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45796</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45796</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45796</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45796</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45796</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45796</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45796</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45796</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45796</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45796</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45796</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45796</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45796</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45796</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45796</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45796</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45796</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45796</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45796</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45796</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45796</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45796</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45796</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45796</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45796</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45796</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45796</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45796</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45796</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45796</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45796</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45796</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45796</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45796</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45796</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45796</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45796</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45796</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45796</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45796</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45796</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45796</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45796</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45796</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45796</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45796</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45796</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45796</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45796</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45796</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45796</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45796</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45796</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45796</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45796</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45796</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45796</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45796</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45796</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45796</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45796</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45796</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45796</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45796</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45796</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45796</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45796</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45796</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45796</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45796</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45796</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45796</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45796</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45796</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45796</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45796</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45796</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45796</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45796</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45796</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45796</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45796</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45796</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45796</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45796</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45796</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45796</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45796</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45796</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45796</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45796</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45796</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45796</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45796</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45796</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45796</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45796</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45796</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45796</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45796</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45796</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45796</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45796</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45796</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45796</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45796</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45796</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45796</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45796</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45796</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45796</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45796</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45796</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45796</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45796</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45796</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45796</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45796</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45796</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45796</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45796</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45796</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45796</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45796</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45796</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45796</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45796</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45796</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45796</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45796</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45796</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45796</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45796</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45796</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45796</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45796</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45796</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45796</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45796</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45796</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45796</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45796</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45796</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45796</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45796</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45796</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45796</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45796</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45796</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45796</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45796</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45796</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45796</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45796</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45796</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45796</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45796</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45796</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45796</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45796</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45796</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45796</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45796</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45796</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45796</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45796</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45796</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45796</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45796</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45796</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45796</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45796</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45796</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45796</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45796</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45796</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45796</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45796</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45796</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45796</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45796</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45796</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45796</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45796</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45796</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45796</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45796</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45796</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45796</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45796</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45796</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45796</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45796</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45796</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45796</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45796</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45796</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45796</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45796</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45796</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45796</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45796</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45796</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45796</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45796</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45796</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45796</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45796</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45796</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45796</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45796</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45796</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45796</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45796</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45796</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45796</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45796</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45796</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45796</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45796</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45796</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45796</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45796</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45796</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45796</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45796</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45796</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45796</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45796</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45796</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45796</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45796</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45796</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45796</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45796</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45796</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45796</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45796</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45796</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45796</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45796</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45796</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45796</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45796</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45796</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45796</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45796</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45796</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45796</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45796</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45796</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45796</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45796</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45796</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45796</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45796</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45796</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45796</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45796</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45796</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45796</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45796</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45796</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45796</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45796</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45796</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45796</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45796</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45796</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45796</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45796</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45796</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45796</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45796</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45796</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45796</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45796</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45796</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45796</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45796</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45796</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45796</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45796</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45796</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45796</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45796</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45796</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45796</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45796</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45796</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45796</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45796</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45796</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45796</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45796</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45796</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45796</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45796</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45796</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45796</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45796</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45796</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45796</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45796</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45796</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45796</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45796</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45796</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45796</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45796</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45796</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45796</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45796</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45796</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45796</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45796</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45796</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45796</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45796</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45796</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45796</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45796</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45796</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45796</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45796</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45796</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45796</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45796</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45796</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45796</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45796</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45796</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45796</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45796</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45796</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45796</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45796</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45796</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45796</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45796</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45796</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45796</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45796</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45796</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45796</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45796</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45796</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45796</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45796</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45796</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45796</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45796</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45796</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45796</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45796</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45796</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45796</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45796</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45796</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45796</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45796</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45796</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45796</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45796</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45796</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45796</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45796</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45796</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45796</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45796</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45796</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45796</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45796</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45796</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45796</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45796</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45796</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45796</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45796</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45796</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45796</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45796</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45796</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45796</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45796</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45796</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45796</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45796</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45796</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45796</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45796</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45796</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45796</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45796</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45796</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45796</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45796</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45796</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45796</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45796</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45796</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45796</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45796</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45796</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45796</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45796</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45796</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45796</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45796</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45796</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45796</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45796</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45796</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45796</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45796</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45796</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45796</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45796</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45796</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45796</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45796</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45796</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45796</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45796</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45796</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45796</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45796</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45796</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45796</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45796</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45796</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45796</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45796</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45796</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45796</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45796</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45796</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45796</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45796</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45796</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45796</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45796</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45796</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45796</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45796</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45796</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45796</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45796</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45796</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45796</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45796</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45796</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45796</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45796</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45796</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45796</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45796</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45796</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45796</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45796</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45796</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45796</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45796</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45796</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45796</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45796</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45796</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45796</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45796</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45796</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45796</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45796</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45796</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45796</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45796</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45796</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45796</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45796</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45796</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45796</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45796</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45796</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45796</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45796</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45796</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45796</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45796</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45796</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45796</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45796</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45796</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45796</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45796</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45796</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45796</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45796</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45796</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45796</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45796</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45796</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45796</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45796</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45796</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45796</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45796</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45796</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45796</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45796</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45796</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45796</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45796</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45796</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45796</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45796</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45796</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45796</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45796</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45796</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45796</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45796</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45796</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45796</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45796</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45796</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45796</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45796</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45796</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45796</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45796</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45796</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45796</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45796</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45796</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45796</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45796</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45796</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45796</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45796</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45796</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45796</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45796</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45796</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45796</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45796</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45796</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45796</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45796</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45796</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45796</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45796</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45796</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45796</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45796</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45796</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45796</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45796</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45796</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45796</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45796</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45796</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45796</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45796</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45796</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45796</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45796</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45796</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45796</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45796</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45796</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45796</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45796</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45796</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45796</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45796</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45796</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45796</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45796</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45796</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45796</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45796</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45796</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45796</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45796</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45796</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45796</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45796</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45796</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45796</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45796</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45796</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45796</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45796</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45796</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45796</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45796</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45796</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45796</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45796</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45796</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45796</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45796</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45796</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45796</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45796</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45796</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45796</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45796</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45796</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45796</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45796</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45796</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45796</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45796</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45796</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45796</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45796</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45796</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45796</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45796</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45796</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45796</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45796</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45796</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45796</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45796</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45796</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45796</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45796</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45796</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45796</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45796</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45796</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45796</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45796</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45796</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45796</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45796</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45796</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45796</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45796</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45796</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45796</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45796</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45796</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45796</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45796</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45796</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45796</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45796</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45796</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45796</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45796</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45796</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45796</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45796</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45796</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45796</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45796</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45796</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45796</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45796</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45796</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45796</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45796</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45796</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45796</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45796</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45796</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45796</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45796</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45796</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45796</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45796</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45796</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45796</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45796</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45796</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45796</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45796</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45796</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45796</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45796</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45796</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45796</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45796</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45796</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45796</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45796</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45796</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45796</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45796</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45796</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45796</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45796</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45796</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45796</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45796</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45796</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45796</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45796</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45796</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45796</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45796</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45796</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45796</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45796</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45796</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45796</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45796</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45796</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45796</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45796</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45796</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45796</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45796</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45796</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45796</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45796</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45796</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45796</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45796</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45796</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45796</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45796</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45796</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45796</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45796</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45796</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45796</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45796</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45796</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45796</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45796</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45796</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45796</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45796</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45796</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45796</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45796</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45796</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45796</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45796</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45796</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45796</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45796</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45796</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45796</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45796</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45796</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45796</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45796</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45796</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45796</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45796</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45796</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45796</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45796</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45796</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45796</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45796</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45796</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45796</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45796</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45796</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45796</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45796</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45796</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45796</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45796</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45796</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45796</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45796</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45796</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45796</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45796</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45796</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45796</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45796</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45796</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45796</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45796</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45796</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45796</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45796</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45796</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45796</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45796</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45796</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45796</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45796</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45796</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45796</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45796</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45796</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45796</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45796</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45796</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45796</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45796</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45796</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45796</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45796</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45796</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45796</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45796</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45796</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45796</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45796</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45796</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45796</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45796</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45796</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45796</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45796</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45796</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45796</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45796</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45796</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45796</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45796</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45796</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45796</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45796</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45796</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45796</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45796</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45796</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45796</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45796</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45796</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45796</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45796</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45796</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45796</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45796</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45796</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45796</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45796</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45796</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45796</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45796</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45796</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45796</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45796</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45796</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45796</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45796</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45796</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45796</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45796</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45796</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45796</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45796</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45796</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45796</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45796</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45796</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45796</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45796</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45796</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45796</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45796</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45796</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45796</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45796</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45796</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45796</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45796</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45796</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45796</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45796</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45796</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45796</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45796</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45796</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45796</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45796</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45796</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45796</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45796</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45796</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45796</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45796</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45796</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45796</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45796</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45796</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45796</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45796</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45796</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45796</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45796</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45796</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45796</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45796</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45796</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45796</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45796</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45796</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45796</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45796</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45796</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45796</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45796</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45796</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45796</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45796</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45796</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45796</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45796</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45796</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45796</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45796</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45796</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45796</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45796</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45796</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45796</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45796</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45796</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45796</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45796</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45796</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45796</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45796</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45796</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45796</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45796</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45796</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45796</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45796</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45796</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45796</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45796</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45796</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45796</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45796</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45796</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45796</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45796</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45796</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45796</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45796</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45796</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45796</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45796</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45796</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45796</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45796</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45796</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45796</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45796</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45796</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45796</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45796</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45796</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45796</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45796</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45796</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45796</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45796</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45796</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45796</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45796</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45796</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45796</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45796</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45796</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45796</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45796</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45796</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45796</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45796</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45796</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45796</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45796</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45796</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45796</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45796</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45796</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45796</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45796</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45796</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45796</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45796</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45796</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45796</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45796</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45796</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45796</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45796</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45796</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45796</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45796</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45796</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45796</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45796</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45796</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45796</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45796</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45796</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45796</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45796</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45796</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45796</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45796</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45796</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45796</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45796</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45796</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45796</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45796</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45796</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45796</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45796</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45796</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45796</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45796</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45796</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45796</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45796</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45796</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45796</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45796</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45796</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45796</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45796</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45796</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45796</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45796</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45796</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45796</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45796</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45796</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45796</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45796</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45796</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45796</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45796</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45796</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45796</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45796</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45796</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45796</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45796</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45796</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45796</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45796</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45796</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45796</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45796</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45796</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45796</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45796</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45796</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45796</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45796</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45796</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45796</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45796</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45796</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45796</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45796</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45796</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45796</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45796</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45796</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45796</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45796</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45796</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45796</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45796</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45796</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45796</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45796</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45796</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45796</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45796</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45796</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45796</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45796</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45796</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45796</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45796</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45796</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45796</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45796</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45796</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45796</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45796</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45796</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45796</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45796</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45796</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45796</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45796</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45796</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45796</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45796</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45796</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45796</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45796</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45796</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45796</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45796</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45796</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45796</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45796</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45796</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45796</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45796</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45796</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45796</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45796</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45796</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45796</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45796</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45796</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45796</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45796</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45796</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45796</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45796</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45796</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45796</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45796</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45796</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45796</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45796</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45796</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45796</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45796</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45796</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45796</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45796</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45796</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45796</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45796</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45796</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45796</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45796</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45796</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45796</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45796</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45796</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45796</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45796</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45796</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45796</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45796</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45796</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45796</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45796</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45796</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45796</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45796</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45796</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45796</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45796</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45796</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45796</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45796</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45796</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45796</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45796</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45796</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45796</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45796</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45796</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45796</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45796</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45796</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45796</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45796</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45796</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45796</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45796</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45796</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45796</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45796</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45796</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45796</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45796</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45796</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45796</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45796</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45796</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45796</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45796</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45796</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45796</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45796</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45796</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45796</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45796</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45796</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45796</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45796</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45796</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45796</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45796</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45796</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45796</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45796</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45796</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45796</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45796</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45796</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45796</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45796</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45796</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45796</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45796</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45796</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45796</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45796</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45796</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45796</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45796</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45796</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45796</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45796</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45796</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45796</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45796</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45796</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45796</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45796</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45796</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45796</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45796</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45796</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45796</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45796</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45796</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45796</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45796</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45796</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45796</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45796</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45796</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45796</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45796</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45796</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45796</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45796</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45796</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45796</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45796</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45796</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45796</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45796</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45796</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45796</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45796</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45796</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45796</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45796</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45796</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45796</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45796</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45796</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45796</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45796</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45796</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45796</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45796</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45796</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45796</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45796</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45796</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45796</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45796</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45796</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45796</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45796</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45796</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45796</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45796</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45796</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45796</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45796</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45796</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45796</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45796</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45796</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45796</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45796</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45796</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45796</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45796</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45796</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45796</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45796</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45796</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45796</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45796</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45796</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45796</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45796</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45796</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45796</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45796</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45796</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45796</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45796</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45796</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45796</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45796</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45796</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45796</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45796</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45796</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45796</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45796</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45796</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45796</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45796</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45796</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45796</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45796</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45796</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45796</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45796</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45796</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45796</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45796</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45796</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45796</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45796</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45796</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45796</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45796</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45796</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45796</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45796</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45796</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45796</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45796</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45796</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45796</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45796</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45796</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45796</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45796</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45796</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45796</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45796</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45796</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45796</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45796</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45796</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45796</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45796</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45796</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45796</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45796</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45796</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45796</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45796</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45796</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45796</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45796</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45796</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45796</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45796</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45796</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45796</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45796</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45796</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45796</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45796</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45796</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45796</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45796</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45796</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45796</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45796</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45796</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45796</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45796</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45796</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45796</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45796</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45796</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45796</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45796</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45796</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45796</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45796</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45796</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45796</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45796</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45796</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45796</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45796</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45796</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45796</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45796</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45796</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45796</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45796</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45796</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45796</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45796</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45796</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45796</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45796</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45796</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45796</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45796</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45796</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45796</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45796</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45796</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45796</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45796</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45796</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45796</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45796</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45796</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45796</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45796</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45796</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45796</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45796</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45796</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45796</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45796</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45796</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45796</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45796</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45796</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45796</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45796</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45796</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45796</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45796</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45796</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45796</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45796</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45796</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45796</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45796</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45796</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45796</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45796</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45796</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45796</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45796</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45796</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45796</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45796</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45796</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45796</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45796</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45796</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45796</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45796</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45796</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45796</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45796</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45796</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45796</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45796</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45796</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45796</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45796</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45796</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45796</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45796</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45796</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45796</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45796</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45796</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45796</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45796</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45796</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45796</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45796</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45796</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45796</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45796</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45796</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45796</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45796</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45796</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45796</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45796</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45796</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45796</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45796</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45796</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45796</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45796</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45796</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45796</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45796</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45796</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45796</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45796</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45796</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45796</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45796</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45796</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45796</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45796</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45796</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45796</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45796</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45796</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45796</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45796</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45796</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45796</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45796</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45796</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45796</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45796</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45796</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45796</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45796</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45796</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45796</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45796</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45796</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45796</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45796</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45796</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45796</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45796</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45796</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45796</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45796</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45796</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45796</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45796</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45796</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45796</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45796</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45796</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45796</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45796</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45796</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45796</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45796</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45796</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45796</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45796</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45796</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45796</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45796</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45796</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45796</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45796</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45796</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45796</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45796</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45796</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45796</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45796</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45796</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45796</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45796</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45796</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45796</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45796</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45796</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45796</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45796</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45796</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45796</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45796</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45796</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45796</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45796</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45796</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45796</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45796</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45796</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45796</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45796</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45796</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45796</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45796</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45796</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45796</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45796</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45796</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45796</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45796</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45796</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45796</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45796</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45796</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45796</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45796</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45796</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45796</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45796</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45796</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45796</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45796</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45796</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45796</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45796</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45796</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45796</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45796</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45796</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45796</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45796</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45796</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45796</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45796</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45796</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45796</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45796</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45796</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45796</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45796</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45796</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45796</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45796</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45796</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45796</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45796</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45796</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45796</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45796</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45796</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45796</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45796</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45796</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45796</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45796</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45796</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45796</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45796</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45796</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45796</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45796</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45796</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45796</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45796</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45796</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45796</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45796</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45796</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45796</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45796</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45796</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45796</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45796</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45796</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45796</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45796</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45796</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45796</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45796</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45796</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45796</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45796</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45796</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45796</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45796</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45796</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45796</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45796</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45796</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45796</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45796</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45796</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45796</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45796</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45796</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45796</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45796</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45796</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45796</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45796</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45796</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45796</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45796</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45796</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45796</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45796</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45796</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45796</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45796</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45796</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45796</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45796</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45796</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45796</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45796</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45796</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45796</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45796</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45796</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45796</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45796</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45796</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45796</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45796</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45796</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45796</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45796</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45796</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45796</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45796</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45796</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45796</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45796</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45796</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45796</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45796</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45796</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45796</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45796</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45796</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45796</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45796</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45796</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45796</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45796</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45796</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45796</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45796</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45796</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45796</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45796</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45796</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45796</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45796</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45796</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45796</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45796</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45796</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45796</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45796</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45796</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45796</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45796</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45796</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45796</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45796</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45796</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45796</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45796</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45796</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45796</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45796</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45796</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45796</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45796</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45796</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45796</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45796</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45796</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45796</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45796</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45796</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45796</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45796</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45796</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45796</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45796</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45796</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45796</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45796</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45796</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45796</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45796</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45796</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45796</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45796</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45796</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45796</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45796</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45796</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45796</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45796</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45796</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45796</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45796</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45796</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45796</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45796</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45796</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45796</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45796</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45796</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45796</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45796</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45796</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45796</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45796</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45796</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45796</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45796</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45796</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45796</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45796</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45796</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45796</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45796</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45796</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45796</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45796</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45796</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45796</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45796</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45796</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45796</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45796</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45796</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45796</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45796</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45796</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45796</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45796</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45796</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45796</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45796</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45796</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45796</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45796</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45796</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45796</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45796</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45796</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45796</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45796</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45796</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45796</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45796</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45796</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45796</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45796</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45796</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45796</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45796</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45796</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45796</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45796</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45796</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45796</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45796</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45796</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45796</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45796</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45796</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45796</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45796</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45796</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45796</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45796</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45796</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45796</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45796</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45796</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45796</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45796</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45796</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45796</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45796</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45796</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45796</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45796</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45796</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45796</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45796</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45796</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45796</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45796</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45796</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45796</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45796</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45796</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45796</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45796</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45796</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45796</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45796</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45796</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45796</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45796</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45796</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45796</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45796</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45796</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45796</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45796</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45796</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45796</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45796</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45796</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45796</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45796</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45796</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45796</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45796</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45796</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45796</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45796</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45796</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45796</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45796</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45796</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45796</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45796</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45796</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45796</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45796</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45796</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45796</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45796</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45796</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45796</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45796</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45796</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45796</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45796</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45796</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45796</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45796</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45796</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45796</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45796</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45796</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45796</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45796</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45796</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45796</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45796</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45796</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45796</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45796</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45796</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45796</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45796</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45796</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45796</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45796</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45796</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45796</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45796</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45796</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45796</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45796</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45796</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45796</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45796</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45796</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45796</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45796</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45796</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45796</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45796</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45796</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45796</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45796</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45796</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45796</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45796</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45796</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45796</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45796</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45796</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45796</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45796</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45796</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45796</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45796</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45796</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45796</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45796</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45796</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45796</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45796</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45796</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45796</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45796</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45796</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45796</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45796</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45796</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45796</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45796</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45796</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45796</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45796</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45796</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45796</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45796</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45796</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45796</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45796</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45796</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45796</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45796</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45796</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45796</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45796</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45796</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45796</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45796</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45796</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45796</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45796</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45796</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45796</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45796</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45796</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45796</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45796</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45796</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45796</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45796</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45796</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45796</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45796</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45796</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45796</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45796</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45796</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45796</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45796</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45796</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45796</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45796</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45796</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45796</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45796</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45796</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45796</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45796</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45796</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45796</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45796</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45796</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45796</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45796</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45796</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45796</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45796</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45796</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45796</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45796</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45796</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45796</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45796</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45796</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45796</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45796</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45796</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45796</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45796</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45796</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45796</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45796</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45796</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45796</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45796</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45796</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45796</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45796</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45796</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45796</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45796</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45796</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45796</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45796</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45796</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45796</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45796</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45796</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45796</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45796</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45796</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45796</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45796</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45796</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45796</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45796</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45796</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45796</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45796</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45796</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45796</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45796</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45796</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45796</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45796</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45796</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45796</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45796</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45796</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45796</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45796</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45796</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45796</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45796</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45796</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45796</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45796</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45796</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45796</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45796</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45796</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45796</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45796</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45796</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18839-2025</t>
        </is>
      </c>
      <c r="B7894" s="1" t="n">
        <v>45764</v>
      </c>
      <c r="C7894" s="1" t="n">
        <v>45796</v>
      </c>
      <c r="D7894" t="inlineStr">
        <is>
          <t>SKÅNE LÄN</t>
        </is>
      </c>
      <c r="E7894" t="inlineStr">
        <is>
          <t>TOMELILLA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45796</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18968-2025</t>
        </is>
      </c>
      <c r="B7896" s="1" t="n">
        <v>45764</v>
      </c>
      <c r="C7896" s="1" t="n">
        <v>45796</v>
      </c>
      <c r="D7896" t="inlineStr">
        <is>
          <t>SKÅNE LÄN</t>
        </is>
      </c>
      <c r="E7896" t="inlineStr">
        <is>
          <t>KÄVLINGE</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45796</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45796</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45796</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45796</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45796</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19141-2025</t>
        </is>
      </c>
      <c r="B7902" s="1" t="n">
        <v>45769</v>
      </c>
      <c r="C7902" s="1" t="n">
        <v>45796</v>
      </c>
      <c r="D7902" t="inlineStr">
        <is>
          <t>SKÅNE LÄN</t>
        </is>
      </c>
      <c r="E7902" t="inlineStr">
        <is>
          <t>SIMRISHAMN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19137-2025</t>
        </is>
      </c>
      <c r="B7903" s="1" t="n">
        <v>45769</v>
      </c>
      <c r="C7903" s="1" t="n">
        <v>45796</v>
      </c>
      <c r="D7903" t="inlineStr">
        <is>
          <t>SKÅNE LÄN</t>
        </is>
      </c>
      <c r="E7903" t="inlineStr">
        <is>
          <t>SIMRISHAMN</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19367-2025</t>
        </is>
      </c>
      <c r="B7904" s="1" t="n">
        <v>45769</v>
      </c>
      <c r="C7904" s="1" t="n">
        <v>45796</v>
      </c>
      <c r="D7904" t="inlineStr">
        <is>
          <t>SKÅNE LÄN</t>
        </is>
      </c>
      <c r="E7904" t="inlineStr">
        <is>
          <t>OSBY</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19282-2025</t>
        </is>
      </c>
      <c r="B7905" s="1" t="n">
        <v>45769</v>
      </c>
      <c r="C7905" s="1" t="n">
        <v>45796</v>
      </c>
      <c r="D7905" t="inlineStr">
        <is>
          <t>SKÅNE LÄN</t>
        </is>
      </c>
      <c r="E7905" t="inlineStr">
        <is>
          <t>SVALÖV</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45796</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19666-2025</t>
        </is>
      </c>
      <c r="B7907" s="1" t="n">
        <v>45770</v>
      </c>
      <c r="C7907" s="1" t="n">
        <v>45796</v>
      </c>
      <c r="D7907" t="inlineStr">
        <is>
          <t>SKÅNE LÄN</t>
        </is>
      </c>
      <c r="E7907" t="inlineStr">
        <is>
          <t>HÄSSLEHOLM</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19701-2025</t>
        </is>
      </c>
      <c r="B7908" s="1" t="n">
        <v>45771</v>
      </c>
      <c r="C7908" s="1" t="n">
        <v>45796</v>
      </c>
      <c r="D7908" t="inlineStr">
        <is>
          <t>SKÅNE LÄN</t>
        </is>
      </c>
      <c r="E7908" t="inlineStr">
        <is>
          <t>ÖRKELLJUNGA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19693-2025</t>
        </is>
      </c>
      <c r="B7909" s="1" t="n">
        <v>45771</v>
      </c>
      <c r="C7909" s="1" t="n">
        <v>45796</v>
      </c>
      <c r="D7909" t="inlineStr">
        <is>
          <t>SKÅNE LÄN</t>
        </is>
      </c>
      <c r="E7909" t="inlineStr">
        <is>
          <t>SIMRISHAMN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20006-2025</t>
        </is>
      </c>
      <c r="B7910" s="1" t="n">
        <v>45772</v>
      </c>
      <c r="C7910" s="1" t="n">
        <v>45796</v>
      </c>
      <c r="D7910" t="inlineStr">
        <is>
          <t>SKÅNE LÄN</t>
        </is>
      </c>
      <c r="E7910" t="inlineStr">
        <is>
          <t>HÄSSLEHOLM</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20057-2025</t>
        </is>
      </c>
      <c r="B7911" s="1" t="n">
        <v>45772</v>
      </c>
      <c r="C7911" s="1" t="n">
        <v>45796</v>
      </c>
      <c r="D7911" t="inlineStr">
        <is>
          <t>SKÅNE LÄN</t>
        </is>
      </c>
      <c r="E7911" t="inlineStr">
        <is>
          <t>LUND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20235-2025</t>
        </is>
      </c>
      <c r="B7912" s="1" t="n">
        <v>45772</v>
      </c>
      <c r="C7912" s="1" t="n">
        <v>45796</v>
      </c>
      <c r="D7912" t="inlineStr">
        <is>
          <t>SKÅNE LÄN</t>
        </is>
      </c>
      <c r="E7912" t="inlineStr">
        <is>
          <t>SVALÖV</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20239-2025</t>
        </is>
      </c>
      <c r="B7913" s="1" t="n">
        <v>45772</v>
      </c>
      <c r="C7913" s="1" t="n">
        <v>45796</v>
      </c>
      <c r="D7913" t="inlineStr">
        <is>
          <t>SKÅNE LÄN</t>
        </is>
      </c>
      <c r="E7913" t="inlineStr">
        <is>
          <t>BJUV</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20099-2025</t>
        </is>
      </c>
      <c r="B7914" s="1" t="n">
        <v>45772</v>
      </c>
      <c r="C7914" s="1" t="n">
        <v>45796</v>
      </c>
      <c r="D7914" t="inlineStr">
        <is>
          <t>SKÅNE LÄN</t>
        </is>
      </c>
      <c r="E7914" t="inlineStr">
        <is>
          <t>ÖRKELLJUNGA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20176-2025</t>
        </is>
      </c>
      <c r="B7915" s="1" t="n">
        <v>45772</v>
      </c>
      <c r="C7915" s="1" t="n">
        <v>45796</v>
      </c>
      <c r="D7915" t="inlineStr">
        <is>
          <t>SKÅNE LÄN</t>
        </is>
      </c>
      <c r="E7915" t="inlineStr">
        <is>
          <t>ÖRKELLJUNGA</t>
        </is>
      </c>
      <c r="F7915" t="inlineStr">
        <is>
          <t>Kommuner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45796</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20281-2025</t>
        </is>
      </c>
      <c r="B7917" s="1" t="n">
        <v>45774</v>
      </c>
      <c r="C7917" s="1" t="n">
        <v>45796</v>
      </c>
      <c r="D7917" t="inlineStr">
        <is>
          <t>SKÅNE LÄN</t>
        </is>
      </c>
      <c r="E7917" t="inlineStr">
        <is>
          <t>ÖSTRA GÖINGE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20311-2025</t>
        </is>
      </c>
      <c r="B7918" s="1" t="n">
        <v>45775</v>
      </c>
      <c r="C7918" s="1" t="n">
        <v>45796</v>
      </c>
      <c r="D7918" t="inlineStr">
        <is>
          <t>SKÅNE LÄN</t>
        </is>
      </c>
      <c r="E7918" t="inlineStr">
        <is>
          <t>KRISTIANSTAD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20381-2025</t>
        </is>
      </c>
      <c r="B7919" s="1" t="n">
        <v>45775</v>
      </c>
      <c r="C7919" s="1" t="n">
        <v>45796</v>
      </c>
      <c r="D7919" t="inlineStr">
        <is>
          <t>SKÅNE LÄN</t>
        </is>
      </c>
      <c r="E7919" t="inlineStr">
        <is>
          <t>HÖÖR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45796</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45796</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45796</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20970-2025</t>
        </is>
      </c>
      <c r="B7923" s="1" t="n">
        <v>45777</v>
      </c>
      <c r="C7923" s="1" t="n">
        <v>45796</v>
      </c>
      <c r="D7923" t="inlineStr">
        <is>
          <t>SKÅNE LÄN</t>
        </is>
      </c>
      <c r="E7923" t="inlineStr">
        <is>
          <t>HÄSSLEHOLM</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20872-2025</t>
        </is>
      </c>
      <c r="B7924" s="1" t="n">
        <v>45777</v>
      </c>
      <c r="C7924" s="1" t="n">
        <v>45796</v>
      </c>
      <c r="D7924" t="inlineStr">
        <is>
          <t>SKÅNE LÄN</t>
        </is>
      </c>
      <c r="E7924" t="inlineStr">
        <is>
          <t>HÄSSLEHOLM</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20894-2025</t>
        </is>
      </c>
      <c r="B7925" s="1" t="n">
        <v>45777</v>
      </c>
      <c r="C7925" s="1" t="n">
        <v>45796</v>
      </c>
      <c r="D7925" t="inlineStr">
        <is>
          <t>SKÅNE LÄN</t>
        </is>
      </c>
      <c r="E7925" t="inlineStr">
        <is>
          <t>OSBY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20891-2025</t>
        </is>
      </c>
      <c r="B7926" s="1" t="n">
        <v>45777</v>
      </c>
      <c r="C7926" s="1" t="n">
        <v>45796</v>
      </c>
      <c r="D7926" t="inlineStr">
        <is>
          <t>SKÅNE LÄN</t>
        </is>
      </c>
      <c r="E7926" t="inlineStr">
        <is>
          <t>KRISTIANSTAD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45796</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45796</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21541-2025</t>
        </is>
      </c>
      <c r="B7929" s="1" t="n">
        <v>45782</v>
      </c>
      <c r="C7929" s="1" t="n">
        <v>45796</v>
      </c>
      <c r="D7929" t="inlineStr">
        <is>
          <t>SKÅNE LÄN</t>
        </is>
      </c>
      <c r="E7929" t="inlineStr">
        <is>
          <t>SVALÖV</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21570-2025</t>
        </is>
      </c>
      <c r="B7930" s="1" t="n">
        <v>45782</v>
      </c>
      <c r="C7930" s="1" t="n">
        <v>45796</v>
      </c>
      <c r="D7930" t="inlineStr">
        <is>
          <t>SKÅNE LÄN</t>
        </is>
      </c>
      <c r="E7930" t="inlineStr">
        <is>
          <t>OSBY</t>
        </is>
      </c>
      <c r="G7930" t="n">
        <v>15.1</v>
      </c>
      <c r="H7930" t="n">
        <v>0</v>
      </c>
      <c r="I7930" t="n">
        <v>0</v>
      </c>
      <c r="J7930" t="n">
        <v>0</v>
      </c>
      <c r="K7930" t="n">
        <v>0</v>
      </c>
      <c r="L7930" t="n">
        <v>0</v>
      </c>
      <c r="M7930" t="n">
        <v>0</v>
      </c>
      <c r="N7930" t="n">
        <v>0</v>
      </c>
      <c r="O7930" t="n">
        <v>0</v>
      </c>
      <c r="P7930" t="n">
        <v>0</v>
      </c>
      <c r="Q7930" t="n">
        <v>0</v>
      </c>
      <c r="R7930" s="2" t="inlineStr"/>
    </row>
    <row r="7931" ht="15" customHeight="1">
      <c r="A7931" t="inlineStr">
        <is>
          <t>A 21507-2025</t>
        </is>
      </c>
      <c r="B7931" s="1" t="n">
        <v>45782</v>
      </c>
      <c r="C7931" s="1" t="n">
        <v>45796</v>
      </c>
      <c r="D7931" t="inlineStr">
        <is>
          <t>SKÅNE LÄN</t>
        </is>
      </c>
      <c r="E7931" t="inlineStr">
        <is>
          <t>SVALÖV</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21556-2025</t>
        </is>
      </c>
      <c r="B7932" s="1" t="n">
        <v>45782</v>
      </c>
      <c r="C7932" s="1" t="n">
        <v>45796</v>
      </c>
      <c r="D7932" t="inlineStr">
        <is>
          <t>SKÅNE LÄN</t>
        </is>
      </c>
      <c r="E7932" t="inlineStr">
        <is>
          <t>SVALÖV</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21814-2025</t>
        </is>
      </c>
      <c r="B7933" s="1" t="n">
        <v>45783</v>
      </c>
      <c r="C7933" s="1" t="n">
        <v>45796</v>
      </c>
      <c r="D7933" t="inlineStr">
        <is>
          <t>SKÅNE LÄN</t>
        </is>
      </c>
      <c r="E7933" t="inlineStr">
        <is>
          <t>SVALÖV</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45796</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21713-2025</t>
        </is>
      </c>
      <c r="B7935" s="1" t="n">
        <v>45783</v>
      </c>
      <c r="C7935" s="1" t="n">
        <v>45796</v>
      </c>
      <c r="D7935" t="inlineStr">
        <is>
          <t>SKÅNE LÄN</t>
        </is>
      </c>
      <c r="E7935" t="inlineStr">
        <is>
          <t>HÖRBY</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21625-2025</t>
        </is>
      </c>
      <c r="B7936" s="1" t="n">
        <v>45783</v>
      </c>
      <c r="C7936" s="1" t="n">
        <v>45796</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21646-2025</t>
        </is>
      </c>
      <c r="B7937" s="1" t="n">
        <v>45783</v>
      </c>
      <c r="C7937" s="1" t="n">
        <v>45796</v>
      </c>
      <c r="D7937" t="inlineStr">
        <is>
          <t>SKÅNE LÄN</t>
        </is>
      </c>
      <c r="E7937" t="inlineStr">
        <is>
          <t>PERSTORP</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21638-2025</t>
        </is>
      </c>
      <c r="B7938" s="1" t="n">
        <v>45783</v>
      </c>
      <c r="C7938" s="1" t="n">
        <v>45796</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21952-2025</t>
        </is>
      </c>
      <c r="B7939" s="1" t="n">
        <v>45784</v>
      </c>
      <c r="C7939" s="1" t="n">
        <v>45796</v>
      </c>
      <c r="D7939" t="inlineStr">
        <is>
          <t>SKÅNE LÄN</t>
        </is>
      </c>
      <c r="E7939" t="inlineStr">
        <is>
          <t>HÖÖR</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21973-2025</t>
        </is>
      </c>
      <c r="B7940" s="1" t="n">
        <v>45784</v>
      </c>
      <c r="C7940" s="1" t="n">
        <v>45796</v>
      </c>
      <c r="D7940" t="inlineStr">
        <is>
          <t>SKÅNE LÄN</t>
        </is>
      </c>
      <c r="E7940" t="inlineStr">
        <is>
          <t>SJÖBO</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21976-2025</t>
        </is>
      </c>
      <c r="B7941" s="1" t="n">
        <v>45784</v>
      </c>
      <c r="C7941" s="1" t="n">
        <v>45796</v>
      </c>
      <c r="D7941" t="inlineStr">
        <is>
          <t>SKÅNE LÄN</t>
        </is>
      </c>
      <c r="E7941" t="inlineStr">
        <is>
          <t>SJÖBO</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21867-2025</t>
        </is>
      </c>
      <c r="B7942" s="1" t="n">
        <v>45784</v>
      </c>
      <c r="C7942" s="1" t="n">
        <v>45796</v>
      </c>
      <c r="D7942" t="inlineStr">
        <is>
          <t>SKÅNE LÄN</t>
        </is>
      </c>
      <c r="E7942" t="inlineStr">
        <is>
          <t>ÖRKELLJUNGA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22024-2025</t>
        </is>
      </c>
      <c r="B7943" s="1" t="n">
        <v>45784</v>
      </c>
      <c r="C7943" s="1" t="n">
        <v>45796</v>
      </c>
      <c r="D7943" t="inlineStr">
        <is>
          <t>SKÅNE LÄN</t>
        </is>
      </c>
      <c r="E7943" t="inlineStr">
        <is>
          <t>HÄSSLEHOLM</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45796</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22074-2025</t>
        </is>
      </c>
      <c r="B7945" s="1" t="n">
        <v>45785</v>
      </c>
      <c r="C7945" s="1" t="n">
        <v>45796</v>
      </c>
      <c r="D7945" t="inlineStr">
        <is>
          <t>SKÅNE LÄN</t>
        </is>
      </c>
      <c r="E7945" t="inlineStr">
        <is>
          <t>SVALÖV</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22088-2025</t>
        </is>
      </c>
      <c r="B7946" s="1" t="n">
        <v>45785</v>
      </c>
      <c r="C7946" s="1" t="n">
        <v>45796</v>
      </c>
      <c r="D7946" t="inlineStr">
        <is>
          <t>SKÅNE LÄN</t>
        </is>
      </c>
      <c r="E7946" t="inlineStr">
        <is>
          <t>LUND</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22063-2025</t>
        </is>
      </c>
      <c r="B7947" s="1" t="n">
        <v>45785</v>
      </c>
      <c r="C7947" s="1" t="n">
        <v>45796</v>
      </c>
      <c r="D7947" t="inlineStr">
        <is>
          <t>SKÅNE LÄN</t>
        </is>
      </c>
      <c r="E7947" t="inlineStr">
        <is>
          <t>SVALÖV</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22203-2025</t>
        </is>
      </c>
      <c r="B7948" s="1" t="n">
        <v>45785</v>
      </c>
      <c r="C7948" s="1" t="n">
        <v>45796</v>
      </c>
      <c r="D7948" t="inlineStr">
        <is>
          <t>SKÅNE LÄN</t>
        </is>
      </c>
      <c r="E7948" t="inlineStr">
        <is>
          <t>SVALÖV</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22192-2025</t>
        </is>
      </c>
      <c r="B7949" s="1" t="n">
        <v>45785</v>
      </c>
      <c r="C7949" s="1" t="n">
        <v>45796</v>
      </c>
      <c r="D7949" t="inlineStr">
        <is>
          <t>SKÅNE LÄN</t>
        </is>
      </c>
      <c r="E7949" t="inlineStr">
        <is>
          <t>BROMÖLLA</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22138-2025</t>
        </is>
      </c>
      <c r="B7950" s="1" t="n">
        <v>45785</v>
      </c>
      <c r="C7950" s="1" t="n">
        <v>45796</v>
      </c>
      <c r="D7950" t="inlineStr">
        <is>
          <t>SKÅNE LÄN</t>
        </is>
      </c>
      <c r="E7950" t="inlineStr">
        <is>
          <t>HÖÖR</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22052-2025</t>
        </is>
      </c>
      <c r="B7951" s="1" t="n">
        <v>45785</v>
      </c>
      <c r="C7951" s="1" t="n">
        <v>45796</v>
      </c>
      <c r="D7951" t="inlineStr">
        <is>
          <t>SKÅNE LÄN</t>
        </is>
      </c>
      <c r="E7951" t="inlineStr">
        <is>
          <t>OSBY</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22120-2025</t>
        </is>
      </c>
      <c r="B7952" s="1" t="n">
        <v>45785</v>
      </c>
      <c r="C7952" s="1" t="n">
        <v>45796</v>
      </c>
      <c r="D7952" t="inlineStr">
        <is>
          <t>SKÅNE LÄN</t>
        </is>
      </c>
      <c r="E7952" t="inlineStr">
        <is>
          <t>KLIPPAN</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45796</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22678-2025</t>
        </is>
      </c>
      <c r="B7954" s="1" t="n">
        <v>45789</v>
      </c>
      <c r="C7954" s="1" t="n">
        <v>45796</v>
      </c>
      <c r="D7954" t="inlineStr">
        <is>
          <t>SKÅNE LÄN</t>
        </is>
      </c>
      <c r="E7954" t="inlineStr">
        <is>
          <t>HÄSSLEHOLM</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22592-2025</t>
        </is>
      </c>
      <c r="B7955" s="1" t="n">
        <v>45789</v>
      </c>
      <c r="C7955" s="1" t="n">
        <v>45796</v>
      </c>
      <c r="D7955" t="inlineStr">
        <is>
          <t>SKÅNE LÄN</t>
        </is>
      </c>
      <c r="E7955" t="inlineStr">
        <is>
          <t>HÄSSLEHOLM</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22633-2025</t>
        </is>
      </c>
      <c r="B7956" s="1" t="n">
        <v>45789</v>
      </c>
      <c r="C7956" s="1" t="n">
        <v>45796</v>
      </c>
      <c r="D7956" t="inlineStr">
        <is>
          <t>SKÅNE LÄN</t>
        </is>
      </c>
      <c r="E7956" t="inlineStr">
        <is>
          <t>OSBY</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22661-2025</t>
        </is>
      </c>
      <c r="B7957" s="1" t="n">
        <v>45789</v>
      </c>
      <c r="C7957" s="1" t="n">
        <v>45796</v>
      </c>
      <c r="D7957" t="inlineStr">
        <is>
          <t>SKÅNE LÄN</t>
        </is>
      </c>
      <c r="E7957" t="inlineStr">
        <is>
          <t>KRISTIANSTAD</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22634-2025</t>
        </is>
      </c>
      <c r="B7958" s="1" t="n">
        <v>45789</v>
      </c>
      <c r="C7958" s="1" t="n">
        <v>45796</v>
      </c>
      <c r="D7958" t="inlineStr">
        <is>
          <t>SKÅNE LÄN</t>
        </is>
      </c>
      <c r="E7958" t="inlineStr">
        <is>
          <t>KRISTIANSTAD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22587-2025</t>
        </is>
      </c>
      <c r="B7959" s="1" t="n">
        <v>45789</v>
      </c>
      <c r="C7959" s="1" t="n">
        <v>45796</v>
      </c>
      <c r="D7959" t="inlineStr">
        <is>
          <t>SKÅNE LÄN</t>
        </is>
      </c>
      <c r="E7959" t="inlineStr">
        <is>
          <t>HÄSSLEHOLM</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23007-2025</t>
        </is>
      </c>
      <c r="B7960" s="1" t="n">
        <v>45790</v>
      </c>
      <c r="C7960" s="1" t="n">
        <v>45796</v>
      </c>
      <c r="D7960" t="inlineStr">
        <is>
          <t>SKÅNE LÄN</t>
        </is>
      </c>
      <c r="E7960" t="inlineStr">
        <is>
          <t>HÄSSLEHOLM</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23052-2025</t>
        </is>
      </c>
      <c r="B7961" s="1" t="n">
        <v>45790</v>
      </c>
      <c r="C7961" s="1" t="n">
        <v>45796</v>
      </c>
      <c r="D7961" t="inlineStr">
        <is>
          <t>SKÅNE LÄN</t>
        </is>
      </c>
      <c r="E7961" t="inlineStr">
        <is>
          <t>SIMRISHAMN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22934-2025</t>
        </is>
      </c>
      <c r="B7962" s="1" t="n">
        <v>45790</v>
      </c>
      <c r="C7962" s="1" t="n">
        <v>45796</v>
      </c>
      <c r="D7962" t="inlineStr">
        <is>
          <t>SKÅNE LÄN</t>
        </is>
      </c>
      <c r="E7962" t="inlineStr">
        <is>
          <t>KLIPPAN</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23005-2025</t>
        </is>
      </c>
      <c r="B7963" s="1" t="n">
        <v>45790</v>
      </c>
      <c r="C7963" s="1" t="n">
        <v>45796</v>
      </c>
      <c r="D7963" t="inlineStr">
        <is>
          <t>SKÅNE LÄN</t>
        </is>
      </c>
      <c r="E7963" t="inlineStr">
        <is>
          <t>HÄSSLEHOLM</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23251-2025</t>
        </is>
      </c>
      <c r="B7964" s="1" t="n">
        <v>45791</v>
      </c>
      <c r="C7964" s="1" t="n">
        <v>45796</v>
      </c>
      <c r="D7964" t="inlineStr">
        <is>
          <t>SKÅNE LÄN</t>
        </is>
      </c>
      <c r="E7964" t="inlineStr">
        <is>
          <t>OSBY</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23185-2025</t>
        </is>
      </c>
      <c r="B7965" s="1" t="n">
        <v>45791</v>
      </c>
      <c r="C7965" s="1" t="n">
        <v>45796</v>
      </c>
      <c r="D7965" t="inlineStr">
        <is>
          <t>SKÅNE LÄN</t>
        </is>
      </c>
      <c r="E7965" t="inlineStr">
        <is>
          <t>TOMELILLA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23116-2025</t>
        </is>
      </c>
      <c r="B7966" s="1" t="n">
        <v>45791</v>
      </c>
      <c r="C7966" s="1" t="n">
        <v>45796</v>
      </c>
      <c r="D7966" t="inlineStr">
        <is>
          <t>SKÅNE LÄN</t>
        </is>
      </c>
      <c r="E7966" t="inlineStr">
        <is>
          <t>HÖÖR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23560-2025</t>
        </is>
      </c>
      <c r="B7967" s="1" t="n">
        <v>45792</v>
      </c>
      <c r="C7967" s="1" t="n">
        <v>45796</v>
      </c>
      <c r="D7967" t="inlineStr">
        <is>
          <t>SKÅNE LÄN</t>
        </is>
      </c>
      <c r="E7967" t="inlineStr">
        <is>
          <t>KRISTIANSTAD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23484-2025</t>
        </is>
      </c>
      <c r="B7968" s="1" t="n">
        <v>45792</v>
      </c>
      <c r="C7968" s="1" t="n">
        <v>45796</v>
      </c>
      <c r="D7968" t="inlineStr">
        <is>
          <t>SKÅNE LÄN</t>
        </is>
      </c>
      <c r="E7968" t="inlineStr">
        <is>
          <t>HÖRBY</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23469-2025</t>
        </is>
      </c>
      <c r="B7969" s="1" t="n">
        <v>45792</v>
      </c>
      <c r="C7969" s="1" t="n">
        <v>45796</v>
      </c>
      <c r="D7969" t="inlineStr">
        <is>
          <t>SKÅNE LÄN</t>
        </is>
      </c>
      <c r="E7969" t="inlineStr">
        <is>
          <t>ÖRKELLJUNGA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23878-2025</t>
        </is>
      </c>
      <c r="B7970" s="1" t="n">
        <v>45793</v>
      </c>
      <c r="C7970" s="1" t="n">
        <v>45796</v>
      </c>
      <c r="D7970" t="inlineStr">
        <is>
          <t>SKÅNE LÄN</t>
        </is>
      </c>
      <c r="E7970" t="inlineStr">
        <is>
          <t>ÖSTRA GÖINGE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23773-2025</t>
        </is>
      </c>
      <c r="B7971" s="1" t="n">
        <v>45793</v>
      </c>
      <c r="C7971" s="1" t="n">
        <v>45796</v>
      </c>
      <c r="D7971" t="inlineStr">
        <is>
          <t>SKÅNE LÄN</t>
        </is>
      </c>
      <c r="E7971" t="inlineStr">
        <is>
          <t>ESLÖV</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23812-2025</t>
        </is>
      </c>
      <c r="B7972" s="1" t="n">
        <v>45793</v>
      </c>
      <c r="C7972" s="1" t="n">
        <v>45796</v>
      </c>
      <c r="D7972" t="inlineStr">
        <is>
          <t>SKÅNE LÄN</t>
        </is>
      </c>
      <c r="E7972" t="inlineStr">
        <is>
          <t>ÖRKELLJUNGA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23747-2025</t>
        </is>
      </c>
      <c r="B7973" s="1" t="n">
        <v>45793</v>
      </c>
      <c r="C7973" s="1" t="n">
        <v>45796</v>
      </c>
      <c r="D7973" t="inlineStr">
        <is>
          <t>SKÅNE LÄN</t>
        </is>
      </c>
      <c r="E7973" t="inlineStr">
        <is>
          <t>SVALÖV</t>
        </is>
      </c>
      <c r="G7973" t="n">
        <v>2.6</v>
      </c>
      <c r="H7973" t="n">
        <v>0</v>
      </c>
      <c r="I7973" t="n">
        <v>0</v>
      </c>
      <c r="J7973" t="n">
        <v>0</v>
      </c>
      <c r="K7973" t="n">
        <v>0</v>
      </c>
      <c r="L7973" t="n">
        <v>0</v>
      </c>
      <c r="M7973" t="n">
        <v>0</v>
      </c>
      <c r="N7973" t="n">
        <v>0</v>
      </c>
      <c r="O7973" t="n">
        <v>0</v>
      </c>
      <c r="P7973" t="n">
        <v>0</v>
      </c>
      <c r="Q7973" t="n">
        <v>0</v>
      </c>
      <c r="R7973" s="2" t="inlineStr"/>
    </row>
    <row r="7974">
      <c r="A7974" t="inlineStr">
        <is>
          <t>A 23767-2025</t>
        </is>
      </c>
      <c r="B7974" s="1" t="n">
        <v>45793</v>
      </c>
      <c r="C7974" s="1" t="n">
        <v>45796</v>
      </c>
      <c r="D7974" t="inlineStr">
        <is>
          <t>SKÅNE LÄN</t>
        </is>
      </c>
      <c r="E7974" t="inlineStr">
        <is>
          <t>ESLÖV</t>
        </is>
      </c>
      <c r="G7974" t="n">
        <v>3.2</v>
      </c>
      <c r="H7974" t="n">
        <v>0</v>
      </c>
      <c r="I7974" t="n">
        <v>0</v>
      </c>
      <c r="J7974" t="n">
        <v>0</v>
      </c>
      <c r="K7974" t="n">
        <v>0</v>
      </c>
      <c r="L7974" t="n">
        <v>0</v>
      </c>
      <c r="M7974" t="n">
        <v>0</v>
      </c>
      <c r="N7974" t="n">
        <v>0</v>
      </c>
      <c r="O7974" t="n">
        <v>0</v>
      </c>
      <c r="P7974" t="n">
        <v>0</v>
      </c>
      <c r="Q7974" t="n">
        <v>0</v>
      </c>
      <c r="R7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2025-05-19T18:34:54Z</dcterms:created>
  <dcterms:modified xmlns:dcterms="http://purl.org/dc/terms/" xmlns:xsi="http://www.w3.org/2001/XMLSchema-instance" xsi:type="dcterms:W3CDTF">2025-05-19T18:35:02Z</dcterms:modified>
</cp:coreProperties>
</file>