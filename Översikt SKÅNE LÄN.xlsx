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45752</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45752</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45752</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45752</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45752</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45752</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45752</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45752</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45752</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45752</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45752</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45752</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45752</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45752</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45752</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45752</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45752</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45752</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45752</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45752</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45752</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45752</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45752</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45752</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45752</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45752</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45752</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45752</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45752</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45752</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45752</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45752</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45752</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45752</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45752</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45752</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45752</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45752</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45752</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45752</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45752</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45752</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45752</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45752</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45752</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45752</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45752</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45752</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45752</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45752</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45752</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45752</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45752</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45752</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45752</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45752</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45752</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45752</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45752</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45752</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45752</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45752</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45752</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45752</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45752</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45752</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45752</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45752</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45752</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45752</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45752</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45752</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45752</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45752</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45752</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45752</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45752</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45752</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45752</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45752</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45752</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45752</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45752</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45752</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45752</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45752</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45752</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45752</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45752</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45752</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45752</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45752</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45752</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45752</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45752</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45752</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45752</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45752</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45752</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45752</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45752</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45752</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45752</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45752</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30713-2019</t>
        </is>
      </c>
      <c r="B121" s="1" t="n">
        <v>43636</v>
      </c>
      <c r="C121" s="1" t="n">
        <v>45752</v>
      </c>
      <c r="D121" t="inlineStr">
        <is>
          <t>SKÅNE LÄN</t>
        </is>
      </c>
      <c r="E121" t="inlineStr">
        <is>
          <t>SVEDALA</t>
        </is>
      </c>
      <c r="G121" t="n">
        <v>2</v>
      </c>
      <c r="H121" t="n">
        <v>0</v>
      </c>
      <c r="I121" t="n">
        <v>2</v>
      </c>
      <c r="J121" t="n">
        <v>0</v>
      </c>
      <c r="K121" t="n">
        <v>0</v>
      </c>
      <c r="L121" t="n">
        <v>0</v>
      </c>
      <c r="M121" t="n">
        <v>0</v>
      </c>
      <c r="N121" t="n">
        <v>0</v>
      </c>
      <c r="O121" t="n">
        <v>0</v>
      </c>
      <c r="P121" t="n">
        <v>0</v>
      </c>
      <c r="Q121" t="n">
        <v>2</v>
      </c>
      <c r="R121" s="2" t="inlineStr">
        <is>
          <t>Kragjordstjärna
Stor häxört</t>
        </is>
      </c>
      <c r="S121">
        <f>HYPERLINK("https://klasma.github.io/Logging_1263/artfynd/A 30713-2019 artfynd.xlsx", "A 30713-2019")</f>
        <v/>
      </c>
      <c r="T121">
        <f>HYPERLINK("https://klasma.github.io/Logging_1263/kartor/A 30713-2019 karta.png", "A 30713-2019")</f>
        <v/>
      </c>
      <c r="V121">
        <f>HYPERLINK("https://klasma.github.io/Logging_1263/klagomål/A 30713-2019 FSC-klagomål.docx", "A 30713-2019")</f>
        <v/>
      </c>
      <c r="W121">
        <f>HYPERLINK("https://klasma.github.io/Logging_1263/klagomålsmail/A 30713-2019 FSC-klagomål mail.docx", "A 30713-2019")</f>
        <v/>
      </c>
      <c r="X121">
        <f>HYPERLINK("https://klasma.github.io/Logging_1263/tillsyn/A 30713-2019 tillsynsbegäran.docx", "A 30713-2019")</f>
        <v/>
      </c>
      <c r="Y121">
        <f>HYPERLINK("https://klasma.github.io/Logging_1263/tillsynsmail/A 30713-2019 tillsynsbegäran mail.docx", "A 30713-2019")</f>
        <v/>
      </c>
    </row>
    <row r="122" ht="15" customHeight="1">
      <c r="A122" t="inlineStr">
        <is>
          <t>A 38525-2019</t>
        </is>
      </c>
      <c r="B122" s="1" t="n">
        <v>43682</v>
      </c>
      <c r="C122" s="1" t="n">
        <v>45752</v>
      </c>
      <c r="D122" t="inlineStr">
        <is>
          <t>SKÅNE LÄN</t>
        </is>
      </c>
      <c r="E122" t="inlineStr">
        <is>
          <t>HÖRBY</t>
        </is>
      </c>
      <c r="G122" t="n">
        <v>0.3</v>
      </c>
      <c r="H122" t="n">
        <v>1</v>
      </c>
      <c r="I122" t="n">
        <v>0</v>
      </c>
      <c r="J122" t="n">
        <v>0</v>
      </c>
      <c r="K122" t="n">
        <v>0</v>
      </c>
      <c r="L122" t="n">
        <v>1</v>
      </c>
      <c r="M122" t="n">
        <v>0</v>
      </c>
      <c r="N122" t="n">
        <v>0</v>
      </c>
      <c r="O122" t="n">
        <v>1</v>
      </c>
      <c r="P122" t="n">
        <v>1</v>
      </c>
      <c r="Q122" t="n">
        <v>2</v>
      </c>
      <c r="R122" s="2" t="inlineStr">
        <is>
          <t>Ask
Blåsippa</t>
        </is>
      </c>
      <c r="S122">
        <f>HYPERLINK("https://klasma.github.io/Logging_1266/artfynd/A 38525-2019 artfynd.xlsx", "A 38525-2019")</f>
        <v/>
      </c>
      <c r="T122">
        <f>HYPERLINK("https://klasma.github.io/Logging_1266/kartor/A 38525-2019 karta.png", "A 38525-2019")</f>
        <v/>
      </c>
      <c r="V122">
        <f>HYPERLINK("https://klasma.github.io/Logging_1266/klagomål/A 38525-2019 FSC-klagomål.docx", "A 38525-2019")</f>
        <v/>
      </c>
      <c r="W122">
        <f>HYPERLINK("https://klasma.github.io/Logging_1266/klagomålsmail/A 38525-2019 FSC-klagomål mail.docx", "A 38525-2019")</f>
        <v/>
      </c>
      <c r="X122">
        <f>HYPERLINK("https://klasma.github.io/Logging_1266/tillsyn/A 38525-2019 tillsynsbegäran.docx", "A 38525-2019")</f>
        <v/>
      </c>
      <c r="Y122">
        <f>HYPERLINK("https://klasma.github.io/Logging_1266/tillsynsmail/A 38525-2019 tillsynsbegäran mail.docx", "A 38525-2019")</f>
        <v/>
      </c>
    </row>
    <row r="123" ht="15" customHeight="1">
      <c r="A123" t="inlineStr">
        <is>
          <t>A 48597-2019</t>
        </is>
      </c>
      <c r="B123" s="1" t="n">
        <v>43727</v>
      </c>
      <c r="C123" s="1" t="n">
        <v>45752</v>
      </c>
      <c r="D123" t="inlineStr">
        <is>
          <t>SKÅNE LÄN</t>
        </is>
      </c>
      <c r="E123" t="inlineStr">
        <is>
          <t>ÄNGELHOLM</t>
        </is>
      </c>
      <c r="G123" t="n">
        <v>3.8</v>
      </c>
      <c r="H123" t="n">
        <v>0</v>
      </c>
      <c r="I123" t="n">
        <v>0</v>
      </c>
      <c r="J123" t="n">
        <v>1</v>
      </c>
      <c r="K123" t="n">
        <v>1</v>
      </c>
      <c r="L123" t="n">
        <v>0</v>
      </c>
      <c r="M123" t="n">
        <v>0</v>
      </c>
      <c r="N123" t="n">
        <v>0</v>
      </c>
      <c r="O123" t="n">
        <v>2</v>
      </c>
      <c r="P123" t="n">
        <v>1</v>
      </c>
      <c r="Q123" t="n">
        <v>2</v>
      </c>
      <c r="R123" s="2" t="inlineStr">
        <is>
          <t>Bjärebjörnbär
Skånebjörnbär</t>
        </is>
      </c>
      <c r="S123">
        <f>HYPERLINK("https://klasma.github.io/Logging_1292/artfynd/A 48597-2019 artfynd.xlsx", "A 48597-2019")</f>
        <v/>
      </c>
      <c r="T123">
        <f>HYPERLINK("https://klasma.github.io/Logging_1292/kartor/A 48597-2019 karta.png", "A 48597-2019")</f>
        <v/>
      </c>
      <c r="V123">
        <f>HYPERLINK("https://klasma.github.io/Logging_1292/klagomål/A 48597-2019 FSC-klagomål.docx", "A 48597-2019")</f>
        <v/>
      </c>
      <c r="W123">
        <f>HYPERLINK("https://klasma.github.io/Logging_1292/klagomålsmail/A 48597-2019 FSC-klagomål mail.docx", "A 48597-2019")</f>
        <v/>
      </c>
      <c r="X123">
        <f>HYPERLINK("https://klasma.github.io/Logging_1292/tillsyn/A 48597-2019 tillsynsbegäran.docx", "A 48597-2019")</f>
        <v/>
      </c>
      <c r="Y123">
        <f>HYPERLINK("https://klasma.github.io/Logging_1292/tillsynsmail/A 48597-2019 tillsynsbegäran mail.docx", "A 48597-2019")</f>
        <v/>
      </c>
    </row>
    <row r="124" ht="15" customHeight="1">
      <c r="A124" t="inlineStr">
        <is>
          <t>A 48841-2019</t>
        </is>
      </c>
      <c r="B124" s="1" t="n">
        <v>43728</v>
      </c>
      <c r="C124" s="1" t="n">
        <v>45752</v>
      </c>
      <c r="D124" t="inlineStr">
        <is>
          <t>SKÅNE LÄN</t>
        </is>
      </c>
      <c r="E124" t="inlineStr">
        <is>
          <t>KLIPPAN</t>
        </is>
      </c>
      <c r="G124" t="n">
        <v>3.4</v>
      </c>
      <c r="H124" t="n">
        <v>2</v>
      </c>
      <c r="I124" t="n">
        <v>0</v>
      </c>
      <c r="J124" t="n">
        <v>0</v>
      </c>
      <c r="K124" t="n">
        <v>0</v>
      </c>
      <c r="L124" t="n">
        <v>0</v>
      </c>
      <c r="M124" t="n">
        <v>0</v>
      </c>
      <c r="N124" t="n">
        <v>0</v>
      </c>
      <c r="O124" t="n">
        <v>0</v>
      </c>
      <c r="P124" t="n">
        <v>0</v>
      </c>
      <c r="Q124" t="n">
        <v>2</v>
      </c>
      <c r="R124" s="2" t="inlineStr">
        <is>
          <t>Större vattensalamander
Huggorm</t>
        </is>
      </c>
      <c r="S124">
        <f>HYPERLINK("https://klasma.github.io/Logging_1276/artfynd/A 48841-2019 artfynd.xlsx", "A 48841-2019")</f>
        <v/>
      </c>
      <c r="T124">
        <f>HYPERLINK("https://klasma.github.io/Logging_1276/kartor/A 48841-2019 karta.png", "A 48841-2019")</f>
        <v/>
      </c>
      <c r="V124">
        <f>HYPERLINK("https://klasma.github.io/Logging_1276/klagomål/A 48841-2019 FSC-klagomål.docx", "A 48841-2019")</f>
        <v/>
      </c>
      <c r="W124">
        <f>HYPERLINK("https://klasma.github.io/Logging_1276/klagomålsmail/A 48841-2019 FSC-klagomål mail.docx", "A 48841-2019")</f>
        <v/>
      </c>
      <c r="X124">
        <f>HYPERLINK("https://klasma.github.io/Logging_1276/tillsyn/A 48841-2019 tillsynsbegäran.docx", "A 48841-2019")</f>
        <v/>
      </c>
      <c r="Y124">
        <f>HYPERLINK("https://klasma.github.io/Logging_1276/tillsynsmail/A 48841-2019 tillsynsbegäran mail.docx", "A 48841-2019")</f>
        <v/>
      </c>
    </row>
    <row r="125" ht="15" customHeight="1">
      <c r="A125" t="inlineStr">
        <is>
          <t>A 55656-2019</t>
        </is>
      </c>
      <c r="B125" s="1" t="n">
        <v>43760</v>
      </c>
      <c r="C125" s="1" t="n">
        <v>45752</v>
      </c>
      <c r="D125" t="inlineStr">
        <is>
          <t>SKÅNE LÄN</t>
        </is>
      </c>
      <c r="E125" t="inlineStr">
        <is>
          <t>HÄSSLEHOLM</t>
        </is>
      </c>
      <c r="G125" t="n">
        <v>1.8</v>
      </c>
      <c r="H125" t="n">
        <v>2</v>
      </c>
      <c r="I125" t="n">
        <v>0</v>
      </c>
      <c r="J125" t="n">
        <v>0</v>
      </c>
      <c r="K125" t="n">
        <v>2</v>
      </c>
      <c r="L125" t="n">
        <v>0</v>
      </c>
      <c r="M125" t="n">
        <v>0</v>
      </c>
      <c r="N125" t="n">
        <v>0</v>
      </c>
      <c r="O125" t="n">
        <v>2</v>
      </c>
      <c r="P125" t="n">
        <v>2</v>
      </c>
      <c r="Q125" t="n">
        <v>2</v>
      </c>
      <c r="R125" s="2" t="inlineStr">
        <is>
          <t>Hedblomster
Sandödla</t>
        </is>
      </c>
      <c r="S125">
        <f>HYPERLINK("https://klasma.github.io/Logging_1293/artfynd/A 55656-2019 artfynd.xlsx", "A 55656-2019")</f>
        <v/>
      </c>
      <c r="T125">
        <f>HYPERLINK("https://klasma.github.io/Logging_1293/kartor/A 55656-2019 karta.png", "A 55656-2019")</f>
        <v/>
      </c>
      <c r="V125">
        <f>HYPERLINK("https://klasma.github.io/Logging_1293/klagomål/A 55656-2019 FSC-klagomål.docx", "A 55656-2019")</f>
        <v/>
      </c>
      <c r="W125">
        <f>HYPERLINK("https://klasma.github.io/Logging_1293/klagomålsmail/A 55656-2019 FSC-klagomål mail.docx", "A 55656-2019")</f>
        <v/>
      </c>
      <c r="X125">
        <f>HYPERLINK("https://klasma.github.io/Logging_1293/tillsyn/A 55656-2019 tillsynsbegäran.docx", "A 55656-2019")</f>
        <v/>
      </c>
      <c r="Y125">
        <f>HYPERLINK("https://klasma.github.io/Logging_1293/tillsynsmail/A 55656-2019 tillsynsbegäran mail.docx", "A 55656-2019")</f>
        <v/>
      </c>
    </row>
    <row r="126" ht="15" customHeight="1">
      <c r="A126" t="inlineStr">
        <is>
          <t>A 6547-2020</t>
        </is>
      </c>
      <c r="B126" s="1" t="n">
        <v>43866</v>
      </c>
      <c r="C126" s="1" t="n">
        <v>45752</v>
      </c>
      <c r="D126" t="inlineStr">
        <is>
          <t>SKÅNE LÄN</t>
        </is>
      </c>
      <c r="E126" t="inlineStr">
        <is>
          <t>HÖRBY</t>
        </is>
      </c>
      <c r="G126" t="n">
        <v>3.5</v>
      </c>
      <c r="H126" t="n">
        <v>0</v>
      </c>
      <c r="I126" t="n">
        <v>0</v>
      </c>
      <c r="J126" t="n">
        <v>1</v>
      </c>
      <c r="K126" t="n">
        <v>0</v>
      </c>
      <c r="L126" t="n">
        <v>1</v>
      </c>
      <c r="M126" t="n">
        <v>0</v>
      </c>
      <c r="N126" t="n">
        <v>0</v>
      </c>
      <c r="O126" t="n">
        <v>2</v>
      </c>
      <c r="P126" t="n">
        <v>1</v>
      </c>
      <c r="Q126" t="n">
        <v>2</v>
      </c>
      <c r="R126" s="2" t="inlineStr">
        <is>
          <t>Ask
Stor sotdyna</t>
        </is>
      </c>
      <c r="S126">
        <f>HYPERLINK("https://klasma.github.io/Logging_1266/artfynd/A 6547-2020 artfynd.xlsx", "A 6547-2020")</f>
        <v/>
      </c>
      <c r="T126">
        <f>HYPERLINK("https://klasma.github.io/Logging_1266/kartor/A 6547-2020 karta.png", "A 6547-2020")</f>
        <v/>
      </c>
      <c r="V126">
        <f>HYPERLINK("https://klasma.github.io/Logging_1266/klagomål/A 6547-2020 FSC-klagomål.docx", "A 6547-2020")</f>
        <v/>
      </c>
      <c r="W126">
        <f>HYPERLINK("https://klasma.github.io/Logging_1266/klagomålsmail/A 6547-2020 FSC-klagomål mail.docx", "A 6547-2020")</f>
        <v/>
      </c>
      <c r="X126">
        <f>HYPERLINK("https://klasma.github.io/Logging_1266/tillsyn/A 6547-2020 tillsynsbegäran.docx", "A 6547-2020")</f>
        <v/>
      </c>
      <c r="Y126">
        <f>HYPERLINK("https://klasma.github.io/Logging_1266/tillsynsmail/A 6547-2020 tillsynsbegäran mail.docx", "A 6547-2020")</f>
        <v/>
      </c>
    </row>
    <row r="127" ht="15" customHeight="1">
      <c r="A127" t="inlineStr">
        <is>
          <t>A 8861-2020</t>
        </is>
      </c>
      <c r="B127" s="1" t="n">
        <v>43878</v>
      </c>
      <c r="C127" s="1" t="n">
        <v>45752</v>
      </c>
      <c r="D127" t="inlineStr">
        <is>
          <t>SKÅNE LÄN</t>
        </is>
      </c>
      <c r="E127" t="inlineStr">
        <is>
          <t>HÄSSLEHOLM</t>
        </is>
      </c>
      <c r="G127" t="n">
        <v>10.5</v>
      </c>
      <c r="H127" t="n">
        <v>0</v>
      </c>
      <c r="I127" t="n">
        <v>2</v>
      </c>
      <c r="J127" t="n">
        <v>0</v>
      </c>
      <c r="K127" t="n">
        <v>0</v>
      </c>
      <c r="L127" t="n">
        <v>0</v>
      </c>
      <c r="M127" t="n">
        <v>0</v>
      </c>
      <c r="N127" t="n">
        <v>0</v>
      </c>
      <c r="O127" t="n">
        <v>0</v>
      </c>
      <c r="P127" t="n">
        <v>0</v>
      </c>
      <c r="Q127" t="n">
        <v>2</v>
      </c>
      <c r="R127" s="2" t="inlineStr">
        <is>
          <t>Bågpraktmossa
Västlig hakmossa</t>
        </is>
      </c>
      <c r="S127">
        <f>HYPERLINK("https://klasma.github.io/Logging_1293/artfynd/A 8861-2020 artfynd.xlsx", "A 8861-2020")</f>
        <v/>
      </c>
      <c r="T127">
        <f>HYPERLINK("https://klasma.github.io/Logging_1293/kartor/A 8861-2020 karta.png", "A 8861-2020")</f>
        <v/>
      </c>
      <c r="V127">
        <f>HYPERLINK("https://klasma.github.io/Logging_1293/klagomål/A 8861-2020 FSC-klagomål.docx", "A 8861-2020")</f>
        <v/>
      </c>
      <c r="W127">
        <f>HYPERLINK("https://klasma.github.io/Logging_1293/klagomålsmail/A 8861-2020 FSC-klagomål mail.docx", "A 8861-2020")</f>
        <v/>
      </c>
      <c r="X127">
        <f>HYPERLINK("https://klasma.github.io/Logging_1293/tillsyn/A 8861-2020 tillsynsbegäran.docx", "A 8861-2020")</f>
        <v/>
      </c>
      <c r="Y127">
        <f>HYPERLINK("https://klasma.github.io/Logging_1293/tillsynsmail/A 8861-2020 tillsynsbegäran mail.docx", "A 8861-2020")</f>
        <v/>
      </c>
    </row>
    <row r="128" ht="15" customHeight="1">
      <c r="A128" t="inlineStr">
        <is>
          <t>A 18228-2020</t>
        </is>
      </c>
      <c r="B128" s="1" t="n">
        <v>43928</v>
      </c>
      <c r="C128" s="1" t="n">
        <v>45752</v>
      </c>
      <c r="D128" t="inlineStr">
        <is>
          <t>SKÅNE LÄN</t>
        </is>
      </c>
      <c r="E128" t="inlineStr">
        <is>
          <t>SVEDALA</t>
        </is>
      </c>
      <c r="G128" t="n">
        <v>1.1</v>
      </c>
      <c r="H128" t="n">
        <v>0</v>
      </c>
      <c r="I128" t="n">
        <v>0</v>
      </c>
      <c r="J128" t="n">
        <v>1</v>
      </c>
      <c r="K128" t="n">
        <v>0</v>
      </c>
      <c r="L128" t="n">
        <v>1</v>
      </c>
      <c r="M128" t="n">
        <v>0</v>
      </c>
      <c r="N128" t="n">
        <v>0</v>
      </c>
      <c r="O128" t="n">
        <v>2</v>
      </c>
      <c r="P128" t="n">
        <v>1</v>
      </c>
      <c r="Q128" t="n">
        <v>2</v>
      </c>
      <c r="R128" s="2" t="inlineStr">
        <is>
          <t>Ädellav
Bokkantlav</t>
        </is>
      </c>
      <c r="S128">
        <f>HYPERLINK("https://klasma.github.io/Logging_1263/artfynd/A 18228-2020 artfynd.xlsx", "A 18228-2020")</f>
        <v/>
      </c>
      <c r="T128">
        <f>HYPERLINK("https://klasma.github.io/Logging_1263/kartor/A 18228-2020 karta.png", "A 18228-2020")</f>
        <v/>
      </c>
      <c r="V128">
        <f>HYPERLINK("https://klasma.github.io/Logging_1263/klagomål/A 18228-2020 FSC-klagomål.docx", "A 18228-2020")</f>
        <v/>
      </c>
      <c r="W128">
        <f>HYPERLINK("https://klasma.github.io/Logging_1263/klagomålsmail/A 18228-2020 FSC-klagomål mail.docx", "A 18228-2020")</f>
        <v/>
      </c>
      <c r="X128">
        <f>HYPERLINK("https://klasma.github.io/Logging_1263/tillsyn/A 18228-2020 tillsynsbegäran.docx", "A 18228-2020")</f>
        <v/>
      </c>
      <c r="Y128">
        <f>HYPERLINK("https://klasma.github.io/Logging_1263/tillsynsmail/A 18228-2020 tillsynsbegäran mail.docx", "A 18228-2020")</f>
        <v/>
      </c>
    </row>
    <row r="129" ht="15" customHeight="1">
      <c r="A129" t="inlineStr">
        <is>
          <t>A 58790-2020</t>
        </is>
      </c>
      <c r="B129" s="1" t="n">
        <v>44146</v>
      </c>
      <c r="C129" s="1" t="n">
        <v>45752</v>
      </c>
      <c r="D129" t="inlineStr">
        <is>
          <t>SKÅNE LÄN</t>
        </is>
      </c>
      <c r="E129" t="inlineStr">
        <is>
          <t>ÄNGELHOLM</t>
        </is>
      </c>
      <c r="G129" t="n">
        <v>2.9</v>
      </c>
      <c r="H129" t="n">
        <v>1</v>
      </c>
      <c r="I129" t="n">
        <v>1</v>
      </c>
      <c r="J129" t="n">
        <v>1</v>
      </c>
      <c r="K129" t="n">
        <v>0</v>
      </c>
      <c r="L129" t="n">
        <v>0</v>
      </c>
      <c r="M129" t="n">
        <v>0</v>
      </c>
      <c r="N129" t="n">
        <v>0</v>
      </c>
      <c r="O129" t="n">
        <v>1</v>
      </c>
      <c r="P129" t="n">
        <v>0</v>
      </c>
      <c r="Q129" t="n">
        <v>2</v>
      </c>
      <c r="R129" s="2" t="inlineStr">
        <is>
          <t>Entita
Skogsbräsma</t>
        </is>
      </c>
      <c r="S129">
        <f>HYPERLINK("https://klasma.github.io/Logging_1292/artfynd/A 58790-2020 artfynd.xlsx", "A 58790-2020")</f>
        <v/>
      </c>
      <c r="T129">
        <f>HYPERLINK("https://klasma.github.io/Logging_1292/kartor/A 58790-2020 karta.png", "A 58790-2020")</f>
        <v/>
      </c>
      <c r="V129">
        <f>HYPERLINK("https://klasma.github.io/Logging_1292/klagomål/A 58790-2020 FSC-klagomål.docx", "A 58790-2020")</f>
        <v/>
      </c>
      <c r="W129">
        <f>HYPERLINK("https://klasma.github.io/Logging_1292/klagomålsmail/A 58790-2020 FSC-klagomål mail.docx", "A 58790-2020")</f>
        <v/>
      </c>
      <c r="X129">
        <f>HYPERLINK("https://klasma.github.io/Logging_1292/tillsyn/A 58790-2020 tillsynsbegäran.docx", "A 58790-2020")</f>
        <v/>
      </c>
      <c r="Y129">
        <f>HYPERLINK("https://klasma.github.io/Logging_1292/tillsynsmail/A 58790-2020 tillsynsbegäran mail.docx", "A 58790-2020")</f>
        <v/>
      </c>
      <c r="Z129">
        <f>HYPERLINK("https://klasma.github.io/Logging_1292/fåglar/A 58790-2020 prioriterade fågelarter.docx", "A 58790-2020")</f>
        <v/>
      </c>
    </row>
    <row r="130" ht="15" customHeight="1">
      <c r="A130" t="inlineStr">
        <is>
          <t>A 60100-2020</t>
        </is>
      </c>
      <c r="B130" s="1" t="n">
        <v>44151</v>
      </c>
      <c r="C130" s="1" t="n">
        <v>45752</v>
      </c>
      <c r="D130" t="inlineStr">
        <is>
          <t>SKÅNE LÄN</t>
        </is>
      </c>
      <c r="E130" t="inlineStr">
        <is>
          <t>SJÖBO</t>
        </is>
      </c>
      <c r="G130" t="n">
        <v>5.7</v>
      </c>
      <c r="H130" t="n">
        <v>1</v>
      </c>
      <c r="I130" t="n">
        <v>2</v>
      </c>
      <c r="J130" t="n">
        <v>0</v>
      </c>
      <c r="K130" t="n">
        <v>0</v>
      </c>
      <c r="L130" t="n">
        <v>0</v>
      </c>
      <c r="M130" t="n">
        <v>0</v>
      </c>
      <c r="N130" t="n">
        <v>0</v>
      </c>
      <c r="O130" t="n">
        <v>0</v>
      </c>
      <c r="P130" t="n">
        <v>0</v>
      </c>
      <c r="Q130" t="n">
        <v>2</v>
      </c>
      <c r="R130" s="2" t="inlineStr">
        <is>
          <t>Skogsknipprot
Svart trolldruva</t>
        </is>
      </c>
      <c r="S130">
        <f>HYPERLINK("https://klasma.github.io/Logging_1265/artfynd/A 60100-2020 artfynd.xlsx", "A 60100-2020")</f>
        <v/>
      </c>
      <c r="T130">
        <f>HYPERLINK("https://klasma.github.io/Logging_1265/kartor/A 60100-2020 karta.png", "A 60100-2020")</f>
        <v/>
      </c>
      <c r="V130">
        <f>HYPERLINK("https://klasma.github.io/Logging_1265/klagomål/A 60100-2020 FSC-klagomål.docx", "A 60100-2020")</f>
        <v/>
      </c>
      <c r="W130">
        <f>HYPERLINK("https://klasma.github.io/Logging_1265/klagomålsmail/A 60100-2020 FSC-klagomål mail.docx", "A 60100-2020")</f>
        <v/>
      </c>
      <c r="X130">
        <f>HYPERLINK("https://klasma.github.io/Logging_1265/tillsyn/A 60100-2020 tillsynsbegäran.docx", "A 60100-2020")</f>
        <v/>
      </c>
      <c r="Y130">
        <f>HYPERLINK("https://klasma.github.io/Logging_1265/tillsynsmail/A 60100-2020 tillsynsbegäran mail.docx", "A 60100-2020")</f>
        <v/>
      </c>
    </row>
    <row r="131" ht="15" customHeight="1">
      <c r="A131" t="inlineStr">
        <is>
          <t>A 66175-2020</t>
        </is>
      </c>
      <c r="B131" s="1" t="n">
        <v>44174</v>
      </c>
      <c r="C131" s="1" t="n">
        <v>45752</v>
      </c>
      <c r="D131" t="inlineStr">
        <is>
          <t>SKÅNE LÄN</t>
        </is>
      </c>
      <c r="E131" t="inlineStr">
        <is>
          <t>SJÖBO</t>
        </is>
      </c>
      <c r="G131" t="n">
        <v>4.5</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66175-2020 artfynd.xlsx", "A 66175-2020")</f>
        <v/>
      </c>
      <c r="T131">
        <f>HYPERLINK("https://klasma.github.io/Logging_1265/kartor/A 66175-2020 karta.png", "A 66175-2020")</f>
        <v/>
      </c>
      <c r="V131">
        <f>HYPERLINK("https://klasma.github.io/Logging_1265/klagomål/A 66175-2020 FSC-klagomål.docx", "A 66175-2020")</f>
        <v/>
      </c>
      <c r="W131">
        <f>HYPERLINK("https://klasma.github.io/Logging_1265/klagomålsmail/A 66175-2020 FSC-klagomål mail.docx", "A 66175-2020")</f>
        <v/>
      </c>
      <c r="X131">
        <f>HYPERLINK("https://klasma.github.io/Logging_1265/tillsyn/A 66175-2020 tillsynsbegäran.docx", "A 66175-2020")</f>
        <v/>
      </c>
      <c r="Y131">
        <f>HYPERLINK("https://klasma.github.io/Logging_1265/tillsynsmail/A 66175-2020 tillsynsbegäran mail.docx", "A 66175-2020")</f>
        <v/>
      </c>
    </row>
    <row r="132" ht="15" customHeight="1">
      <c r="A132" t="inlineStr">
        <is>
          <t>A 3853-2021</t>
        </is>
      </c>
      <c r="B132" s="1" t="n">
        <v>44222</v>
      </c>
      <c r="C132" s="1" t="n">
        <v>45752</v>
      </c>
      <c r="D132" t="inlineStr">
        <is>
          <t>SKÅNE LÄN</t>
        </is>
      </c>
      <c r="E132" t="inlineStr">
        <is>
          <t>ÖSTRA GÖINGE</t>
        </is>
      </c>
      <c r="G132" t="n">
        <v>1.4</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HYPERLINK("https://klasma.github.io/Logging_1256/artfynd/A 3853-2021 artfynd.xlsx", "A 3853-2021")</f>
        <v/>
      </c>
      <c r="T132">
        <f>HYPERLINK("https://klasma.github.io/Logging_1256/kartor/A 3853-2021 karta.png", "A 3853-2021")</f>
        <v/>
      </c>
      <c r="V132">
        <f>HYPERLINK("https://klasma.github.io/Logging_1256/klagomål/A 3853-2021 FSC-klagomål.docx", "A 3853-2021")</f>
        <v/>
      </c>
      <c r="W132">
        <f>HYPERLINK("https://klasma.github.io/Logging_1256/klagomålsmail/A 3853-2021 FSC-klagomål mail.docx", "A 3853-2021")</f>
        <v/>
      </c>
      <c r="X132">
        <f>HYPERLINK("https://klasma.github.io/Logging_1256/tillsyn/A 3853-2021 tillsynsbegäran.docx", "A 3853-2021")</f>
        <v/>
      </c>
      <c r="Y132">
        <f>HYPERLINK("https://klasma.github.io/Logging_1256/tillsynsmail/A 3853-2021 tillsynsbegäran mail.docx", "A 3853-2021")</f>
        <v/>
      </c>
    </row>
    <row r="133" ht="15" customHeight="1">
      <c r="A133" t="inlineStr">
        <is>
          <t>A 5244-2021</t>
        </is>
      </c>
      <c r="B133" s="1" t="n">
        <v>44229</v>
      </c>
      <c r="C133" s="1" t="n">
        <v>45752</v>
      </c>
      <c r="D133" t="inlineStr">
        <is>
          <t>SKÅNE LÄN</t>
        </is>
      </c>
      <c r="E133" t="inlineStr">
        <is>
          <t>SVEDALA</t>
        </is>
      </c>
      <c r="G133" t="n">
        <v>5.3</v>
      </c>
      <c r="H133" t="n">
        <v>0</v>
      </c>
      <c r="I133" t="n">
        <v>1</v>
      </c>
      <c r="J133" t="n">
        <v>1</v>
      </c>
      <c r="K133" t="n">
        <v>0</v>
      </c>
      <c r="L133" t="n">
        <v>0</v>
      </c>
      <c r="M133" t="n">
        <v>0</v>
      </c>
      <c r="N133" t="n">
        <v>0</v>
      </c>
      <c r="O133" t="n">
        <v>1</v>
      </c>
      <c r="P133" t="n">
        <v>0</v>
      </c>
      <c r="Q133" t="n">
        <v>2</v>
      </c>
      <c r="R133" s="2" t="inlineStr">
        <is>
          <t>Koralltaggsvamp
Safsa</t>
        </is>
      </c>
      <c r="S133">
        <f>HYPERLINK("https://klasma.github.io/Logging_1263/artfynd/A 5244-2021 artfynd.xlsx", "A 5244-2021")</f>
        <v/>
      </c>
      <c r="T133">
        <f>HYPERLINK("https://klasma.github.io/Logging_1263/kartor/A 5244-2021 karta.png", "A 5244-2021")</f>
        <v/>
      </c>
      <c r="V133">
        <f>HYPERLINK("https://klasma.github.io/Logging_1263/klagomål/A 5244-2021 FSC-klagomål.docx", "A 5244-2021")</f>
        <v/>
      </c>
      <c r="W133">
        <f>HYPERLINK("https://klasma.github.io/Logging_1263/klagomålsmail/A 5244-2021 FSC-klagomål mail.docx", "A 5244-2021")</f>
        <v/>
      </c>
      <c r="X133">
        <f>HYPERLINK("https://klasma.github.io/Logging_1263/tillsyn/A 5244-2021 tillsynsbegäran.docx", "A 5244-2021")</f>
        <v/>
      </c>
      <c r="Y133">
        <f>HYPERLINK("https://klasma.github.io/Logging_1263/tillsynsmail/A 5244-2021 tillsynsbegäran mail.docx", "A 5244-2021")</f>
        <v/>
      </c>
    </row>
    <row r="134" ht="15" customHeight="1">
      <c r="A134" t="inlineStr">
        <is>
          <t>A 21117-2021</t>
        </is>
      </c>
      <c r="B134" s="1" t="n">
        <v>44319</v>
      </c>
      <c r="C134" s="1" t="n">
        <v>45752</v>
      </c>
      <c r="D134" t="inlineStr">
        <is>
          <t>SKÅNE LÄN</t>
        </is>
      </c>
      <c r="E134" t="inlineStr">
        <is>
          <t>KRISTIANSTAD</t>
        </is>
      </c>
      <c r="G134" t="n">
        <v>22</v>
      </c>
      <c r="H134" t="n">
        <v>1</v>
      </c>
      <c r="I134" t="n">
        <v>0</v>
      </c>
      <c r="J134" t="n">
        <v>0</v>
      </c>
      <c r="K134" t="n">
        <v>0</v>
      </c>
      <c r="L134" t="n">
        <v>1</v>
      </c>
      <c r="M134" t="n">
        <v>0</v>
      </c>
      <c r="N134" t="n">
        <v>0</v>
      </c>
      <c r="O134" t="n">
        <v>1</v>
      </c>
      <c r="P134" t="n">
        <v>1</v>
      </c>
      <c r="Q134" t="n">
        <v>2</v>
      </c>
      <c r="R134" s="2" t="inlineStr">
        <is>
          <t>Ryl
Revlummer</t>
        </is>
      </c>
      <c r="S134">
        <f>HYPERLINK("https://klasma.github.io/Logging_1290/artfynd/A 21117-2021 artfynd.xlsx", "A 21117-2021")</f>
        <v/>
      </c>
      <c r="T134">
        <f>HYPERLINK("https://klasma.github.io/Logging_1290/kartor/A 21117-2021 karta.png", "A 21117-2021")</f>
        <v/>
      </c>
      <c r="V134">
        <f>HYPERLINK("https://klasma.github.io/Logging_1290/klagomål/A 21117-2021 FSC-klagomål.docx", "A 21117-2021")</f>
        <v/>
      </c>
      <c r="W134">
        <f>HYPERLINK("https://klasma.github.io/Logging_1290/klagomålsmail/A 21117-2021 FSC-klagomål mail.docx", "A 21117-2021")</f>
        <v/>
      </c>
      <c r="X134">
        <f>HYPERLINK("https://klasma.github.io/Logging_1290/tillsyn/A 21117-2021 tillsynsbegäran.docx", "A 21117-2021")</f>
        <v/>
      </c>
      <c r="Y134">
        <f>HYPERLINK("https://klasma.github.io/Logging_1290/tillsynsmail/A 21117-2021 tillsynsbegäran mail.docx", "A 21117-2021")</f>
        <v/>
      </c>
    </row>
    <row r="135" ht="15" customHeight="1">
      <c r="A135" t="inlineStr">
        <is>
          <t>A 28124-2021</t>
        </is>
      </c>
      <c r="B135" s="1" t="n">
        <v>44355</v>
      </c>
      <c r="C135" s="1" t="n">
        <v>45752</v>
      </c>
      <c r="D135" t="inlineStr">
        <is>
          <t>SKÅNE LÄN</t>
        </is>
      </c>
      <c r="E135" t="inlineStr">
        <is>
          <t>TOMELILLA</t>
        </is>
      </c>
      <c r="F135" t="inlineStr">
        <is>
          <t>Övriga Aktiebolag</t>
        </is>
      </c>
      <c r="G135" t="n">
        <v>7.4</v>
      </c>
      <c r="H135" t="n">
        <v>0</v>
      </c>
      <c r="I135" t="n">
        <v>1</v>
      </c>
      <c r="J135" t="n">
        <v>1</v>
      </c>
      <c r="K135" t="n">
        <v>0</v>
      </c>
      <c r="L135" t="n">
        <v>0</v>
      </c>
      <c r="M135" t="n">
        <v>0</v>
      </c>
      <c r="N135" t="n">
        <v>0</v>
      </c>
      <c r="O135" t="n">
        <v>1</v>
      </c>
      <c r="P135" t="n">
        <v>0</v>
      </c>
      <c r="Q135" t="n">
        <v>2</v>
      </c>
      <c r="R135" s="2" t="inlineStr">
        <is>
          <t>Bokvårtlav
Guldlockmossa</t>
        </is>
      </c>
      <c r="S135">
        <f>HYPERLINK("https://klasma.github.io/Logging_1270/artfynd/A 28124-2021 artfynd.xlsx", "A 28124-2021")</f>
        <v/>
      </c>
      <c r="T135">
        <f>HYPERLINK("https://klasma.github.io/Logging_1270/kartor/A 28124-2021 karta.png", "A 28124-2021")</f>
        <v/>
      </c>
      <c r="V135">
        <f>HYPERLINK("https://klasma.github.io/Logging_1270/klagomål/A 28124-2021 FSC-klagomål.docx", "A 28124-2021")</f>
        <v/>
      </c>
      <c r="W135">
        <f>HYPERLINK("https://klasma.github.io/Logging_1270/klagomålsmail/A 28124-2021 FSC-klagomål mail.docx", "A 28124-2021")</f>
        <v/>
      </c>
      <c r="X135">
        <f>HYPERLINK("https://klasma.github.io/Logging_1270/tillsyn/A 28124-2021 tillsynsbegäran.docx", "A 28124-2021")</f>
        <v/>
      </c>
      <c r="Y135">
        <f>HYPERLINK("https://klasma.github.io/Logging_1270/tillsynsmail/A 28124-2021 tillsynsbegäran mail.docx", "A 28124-2021")</f>
        <v/>
      </c>
    </row>
    <row r="136" ht="15" customHeight="1">
      <c r="A136" t="inlineStr">
        <is>
          <t>A 39121-2021</t>
        </is>
      </c>
      <c r="B136" s="1" t="n">
        <v>44412</v>
      </c>
      <c r="C136" s="1" t="n">
        <v>45752</v>
      </c>
      <c r="D136" t="inlineStr">
        <is>
          <t>SKÅNE LÄN</t>
        </is>
      </c>
      <c r="E136" t="inlineStr">
        <is>
          <t>SIMRISHAMN</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HYPERLINK("https://klasma.github.io/Logging_1291/artfynd/A 39121-2021 artfynd.xlsx", "A 39121-2021")</f>
        <v/>
      </c>
      <c r="T136">
        <f>HYPERLINK("https://klasma.github.io/Logging_1291/kartor/A 39121-2021 karta.png", "A 39121-2021")</f>
        <v/>
      </c>
      <c r="V136">
        <f>HYPERLINK("https://klasma.github.io/Logging_1291/klagomål/A 39121-2021 FSC-klagomål.docx", "A 39121-2021")</f>
        <v/>
      </c>
      <c r="W136">
        <f>HYPERLINK("https://klasma.github.io/Logging_1291/klagomålsmail/A 39121-2021 FSC-klagomål mail.docx", "A 39121-2021")</f>
        <v/>
      </c>
      <c r="X136">
        <f>HYPERLINK("https://klasma.github.io/Logging_1291/tillsyn/A 39121-2021 tillsynsbegäran.docx", "A 39121-2021")</f>
        <v/>
      </c>
      <c r="Y136">
        <f>HYPERLINK("https://klasma.github.io/Logging_1291/tillsynsmail/A 39121-2021 tillsynsbegäran mail.docx", "A 39121-2021")</f>
        <v/>
      </c>
    </row>
    <row r="137" ht="15" customHeight="1">
      <c r="A137" t="inlineStr">
        <is>
          <t>A 40999-2021</t>
        </is>
      </c>
      <c r="B137" s="1" t="n">
        <v>44421</v>
      </c>
      <c r="C137" s="1" t="n">
        <v>45752</v>
      </c>
      <c r="D137" t="inlineStr">
        <is>
          <t>SKÅNE LÄN</t>
        </is>
      </c>
      <c r="E137" t="inlineStr">
        <is>
          <t>LUND</t>
        </is>
      </c>
      <c r="G137" t="n">
        <v>4.4</v>
      </c>
      <c r="H137" t="n">
        <v>2</v>
      </c>
      <c r="I137" t="n">
        <v>0</v>
      </c>
      <c r="J137" t="n">
        <v>2</v>
      </c>
      <c r="K137" t="n">
        <v>0</v>
      </c>
      <c r="L137" t="n">
        <v>0</v>
      </c>
      <c r="M137" t="n">
        <v>0</v>
      </c>
      <c r="N137" t="n">
        <v>0</v>
      </c>
      <c r="O137" t="n">
        <v>2</v>
      </c>
      <c r="P137" t="n">
        <v>0</v>
      </c>
      <c r="Q137" t="n">
        <v>2</v>
      </c>
      <c r="R137" s="2" t="inlineStr">
        <is>
          <t>Spillkråka
Talltita</t>
        </is>
      </c>
      <c r="S137">
        <f>HYPERLINK("https://klasma.github.io/Logging_1281/artfynd/A 40999-2021 artfynd.xlsx", "A 40999-2021")</f>
        <v/>
      </c>
      <c r="T137">
        <f>HYPERLINK("https://klasma.github.io/Logging_1281/kartor/A 40999-2021 karta.png", "A 40999-2021")</f>
        <v/>
      </c>
      <c r="V137">
        <f>HYPERLINK("https://klasma.github.io/Logging_1281/klagomål/A 40999-2021 FSC-klagomål.docx", "A 40999-2021")</f>
        <v/>
      </c>
      <c r="W137">
        <f>HYPERLINK("https://klasma.github.io/Logging_1281/klagomålsmail/A 40999-2021 FSC-klagomål mail.docx", "A 40999-2021")</f>
        <v/>
      </c>
      <c r="X137">
        <f>HYPERLINK("https://klasma.github.io/Logging_1281/tillsyn/A 40999-2021 tillsynsbegäran.docx", "A 40999-2021")</f>
        <v/>
      </c>
      <c r="Y137">
        <f>HYPERLINK("https://klasma.github.io/Logging_1281/tillsynsmail/A 40999-2021 tillsynsbegäran mail.docx", "A 40999-2021")</f>
        <v/>
      </c>
      <c r="Z137">
        <f>HYPERLINK("https://klasma.github.io/Logging_1281/fåglar/A 40999-2021 prioriterade fågelarter.docx", "A 40999-2021")</f>
        <v/>
      </c>
    </row>
    <row r="138" ht="15" customHeight="1">
      <c r="A138" t="inlineStr">
        <is>
          <t>A 44167-2021</t>
        </is>
      </c>
      <c r="B138" s="1" t="n">
        <v>44434</v>
      </c>
      <c r="C138" s="1" t="n">
        <v>45752</v>
      </c>
      <c r="D138" t="inlineStr">
        <is>
          <t>SKÅNE LÄN</t>
        </is>
      </c>
      <c r="E138" t="inlineStr">
        <is>
          <t>HÄSSLEHOLM</t>
        </is>
      </c>
      <c r="G138" t="n">
        <v>0.7</v>
      </c>
      <c r="H138" t="n">
        <v>0</v>
      </c>
      <c r="I138" t="n">
        <v>1</v>
      </c>
      <c r="J138" t="n">
        <v>0</v>
      </c>
      <c r="K138" t="n">
        <v>0</v>
      </c>
      <c r="L138" t="n">
        <v>0</v>
      </c>
      <c r="M138" t="n">
        <v>1</v>
      </c>
      <c r="N138" t="n">
        <v>0</v>
      </c>
      <c r="O138" t="n">
        <v>1</v>
      </c>
      <c r="P138" t="n">
        <v>1</v>
      </c>
      <c r="Q138" t="n">
        <v>2</v>
      </c>
      <c r="R138" s="2" t="inlineStr">
        <is>
          <t>Naverlönn
Platt fjädermossa</t>
        </is>
      </c>
      <c r="S138">
        <f>HYPERLINK("https://klasma.github.io/Logging_1293/artfynd/A 44167-2021 artfynd.xlsx", "A 44167-2021")</f>
        <v/>
      </c>
      <c r="T138">
        <f>HYPERLINK("https://klasma.github.io/Logging_1293/kartor/A 44167-2021 karta.png", "A 44167-2021")</f>
        <v/>
      </c>
      <c r="V138">
        <f>HYPERLINK("https://klasma.github.io/Logging_1293/klagomål/A 44167-2021 FSC-klagomål.docx", "A 44167-2021")</f>
        <v/>
      </c>
      <c r="W138">
        <f>HYPERLINK("https://klasma.github.io/Logging_1293/klagomålsmail/A 44167-2021 FSC-klagomål mail.docx", "A 44167-2021")</f>
        <v/>
      </c>
      <c r="X138">
        <f>HYPERLINK("https://klasma.github.io/Logging_1293/tillsyn/A 44167-2021 tillsynsbegäran.docx", "A 44167-2021")</f>
        <v/>
      </c>
      <c r="Y138">
        <f>HYPERLINK("https://klasma.github.io/Logging_1293/tillsynsmail/A 44167-2021 tillsynsbegäran mail.docx", "A 44167-2021")</f>
        <v/>
      </c>
    </row>
    <row r="139" ht="15" customHeight="1">
      <c r="A139" t="inlineStr">
        <is>
          <t>A 52010-2021</t>
        </is>
      </c>
      <c r="B139" s="1" t="n">
        <v>44463</v>
      </c>
      <c r="C139" s="1" t="n">
        <v>45752</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54306-2021</t>
        </is>
      </c>
      <c r="B140" s="1" t="n">
        <v>44472</v>
      </c>
      <c r="C140" s="1" t="n">
        <v>45752</v>
      </c>
      <c r="D140" t="inlineStr">
        <is>
          <t>SKÅNE LÄN</t>
        </is>
      </c>
      <c r="E140" t="inlineStr">
        <is>
          <t>OSBY</t>
        </is>
      </c>
      <c r="G140" t="n">
        <v>2.3</v>
      </c>
      <c r="H140" t="n">
        <v>0</v>
      </c>
      <c r="I140" t="n">
        <v>2</v>
      </c>
      <c r="J140" t="n">
        <v>0</v>
      </c>
      <c r="K140" t="n">
        <v>0</v>
      </c>
      <c r="L140" t="n">
        <v>0</v>
      </c>
      <c r="M140" t="n">
        <v>0</v>
      </c>
      <c r="N140" t="n">
        <v>0</v>
      </c>
      <c r="O140" t="n">
        <v>0</v>
      </c>
      <c r="P140" t="n">
        <v>0</v>
      </c>
      <c r="Q140" t="n">
        <v>2</v>
      </c>
      <c r="R140" s="2" t="inlineStr">
        <is>
          <t>Bårdlav
Fällmossa</t>
        </is>
      </c>
      <c r="S140">
        <f>HYPERLINK("https://klasma.github.io/Logging_1273/artfynd/A 54306-2021 artfynd.xlsx", "A 54306-2021")</f>
        <v/>
      </c>
      <c r="T140">
        <f>HYPERLINK("https://klasma.github.io/Logging_1273/kartor/A 54306-2021 karta.png", "A 54306-2021")</f>
        <v/>
      </c>
      <c r="V140">
        <f>HYPERLINK("https://klasma.github.io/Logging_1273/klagomål/A 54306-2021 FSC-klagomål.docx", "A 54306-2021")</f>
        <v/>
      </c>
      <c r="W140">
        <f>HYPERLINK("https://klasma.github.io/Logging_1273/klagomålsmail/A 54306-2021 FSC-klagomål mail.docx", "A 54306-2021")</f>
        <v/>
      </c>
      <c r="X140">
        <f>HYPERLINK("https://klasma.github.io/Logging_1273/tillsyn/A 54306-2021 tillsynsbegäran.docx", "A 54306-2021")</f>
        <v/>
      </c>
      <c r="Y140">
        <f>HYPERLINK("https://klasma.github.io/Logging_1273/tillsynsmail/A 54306-2021 tillsynsbegäran mail.docx", "A 54306-2021")</f>
        <v/>
      </c>
    </row>
    <row r="141" ht="15" customHeight="1">
      <c r="A141" t="inlineStr">
        <is>
          <t>A 59690-2021</t>
        </is>
      </c>
      <c r="B141" s="1" t="n">
        <v>44494</v>
      </c>
      <c r="C141" s="1" t="n">
        <v>45752</v>
      </c>
      <c r="D141" t="inlineStr">
        <is>
          <t>SKÅNE LÄN</t>
        </is>
      </c>
      <c r="E141" t="inlineStr">
        <is>
          <t>KRISTIANSTAD</t>
        </is>
      </c>
      <c r="G141" t="n">
        <v>5.2</v>
      </c>
      <c r="H141" t="n">
        <v>1</v>
      </c>
      <c r="I141" t="n">
        <v>1</v>
      </c>
      <c r="J141" t="n">
        <v>0</v>
      </c>
      <c r="K141" t="n">
        <v>0</v>
      </c>
      <c r="L141" t="n">
        <v>0</v>
      </c>
      <c r="M141" t="n">
        <v>0</v>
      </c>
      <c r="N141" t="n">
        <v>0</v>
      </c>
      <c r="O141" t="n">
        <v>0</v>
      </c>
      <c r="P141" t="n">
        <v>0</v>
      </c>
      <c r="Q141" t="n">
        <v>2</v>
      </c>
      <c r="R141" s="2" t="inlineStr">
        <is>
          <t>Lundvårlök
Grönvit nattviol</t>
        </is>
      </c>
      <c r="S141">
        <f>HYPERLINK("https://klasma.github.io/Logging_1290/artfynd/A 59690-2021 artfynd.xlsx", "A 59690-2021")</f>
        <v/>
      </c>
      <c r="T141">
        <f>HYPERLINK("https://klasma.github.io/Logging_1290/kartor/A 59690-2021 karta.png", "A 59690-2021")</f>
        <v/>
      </c>
      <c r="V141">
        <f>HYPERLINK("https://klasma.github.io/Logging_1290/klagomål/A 59690-2021 FSC-klagomål.docx", "A 59690-2021")</f>
        <v/>
      </c>
      <c r="W141">
        <f>HYPERLINK("https://klasma.github.io/Logging_1290/klagomålsmail/A 59690-2021 FSC-klagomål mail.docx", "A 59690-2021")</f>
        <v/>
      </c>
      <c r="X141">
        <f>HYPERLINK("https://klasma.github.io/Logging_1290/tillsyn/A 59690-2021 tillsynsbegäran.docx", "A 59690-2021")</f>
        <v/>
      </c>
      <c r="Y141">
        <f>HYPERLINK("https://klasma.github.io/Logging_1290/tillsynsmail/A 59690-2021 tillsynsbegäran mail.docx", "A 59690-2021")</f>
        <v/>
      </c>
    </row>
    <row r="142" ht="15" customHeight="1">
      <c r="A142" t="inlineStr">
        <is>
          <t>A 4345-2022</t>
        </is>
      </c>
      <c r="B142" s="1" t="n">
        <v>44589</v>
      </c>
      <c r="C142" s="1" t="n">
        <v>45752</v>
      </c>
      <c r="D142" t="inlineStr">
        <is>
          <t>SKÅNE LÄN</t>
        </is>
      </c>
      <c r="E142" t="inlineStr">
        <is>
          <t>OSBY</t>
        </is>
      </c>
      <c r="G142" t="n">
        <v>2.1</v>
      </c>
      <c r="H142" t="n">
        <v>2</v>
      </c>
      <c r="I142" t="n">
        <v>0</v>
      </c>
      <c r="J142" t="n">
        <v>1</v>
      </c>
      <c r="K142" t="n">
        <v>0</v>
      </c>
      <c r="L142" t="n">
        <v>0</v>
      </c>
      <c r="M142" t="n">
        <v>0</v>
      </c>
      <c r="N142" t="n">
        <v>0</v>
      </c>
      <c r="O142" t="n">
        <v>1</v>
      </c>
      <c r="P142" t="n">
        <v>0</v>
      </c>
      <c r="Q142" t="n">
        <v>2</v>
      </c>
      <c r="R142" s="2" t="inlineStr">
        <is>
          <t>Mindre hackspett
Kungsfågel</t>
        </is>
      </c>
      <c r="S142">
        <f>HYPERLINK("https://klasma.github.io/Logging_1273/artfynd/A 4345-2022 artfynd.xlsx", "A 4345-2022")</f>
        <v/>
      </c>
      <c r="T142">
        <f>HYPERLINK("https://klasma.github.io/Logging_1273/kartor/A 4345-2022 karta.png", "A 4345-2022")</f>
        <v/>
      </c>
      <c r="V142">
        <f>HYPERLINK("https://klasma.github.io/Logging_1273/klagomål/A 4345-2022 FSC-klagomål.docx", "A 4345-2022")</f>
        <v/>
      </c>
      <c r="W142">
        <f>HYPERLINK("https://klasma.github.io/Logging_1273/klagomålsmail/A 4345-2022 FSC-klagomål mail.docx", "A 4345-2022")</f>
        <v/>
      </c>
      <c r="X142">
        <f>HYPERLINK("https://klasma.github.io/Logging_1273/tillsyn/A 4345-2022 tillsynsbegäran.docx", "A 4345-2022")</f>
        <v/>
      </c>
      <c r="Y142">
        <f>HYPERLINK("https://klasma.github.io/Logging_1273/tillsynsmail/A 4345-2022 tillsynsbegäran mail.docx", "A 4345-2022")</f>
        <v/>
      </c>
      <c r="Z142">
        <f>HYPERLINK("https://klasma.github.io/Logging_1273/fåglar/A 4345-2022 prioriterade fågelarter.docx", "A 4345-2022")</f>
        <v/>
      </c>
    </row>
    <row r="143" ht="15" customHeight="1">
      <c r="A143" t="inlineStr">
        <is>
          <t>A 11673-2022</t>
        </is>
      </c>
      <c r="B143" s="1" t="n">
        <v>44633</v>
      </c>
      <c r="C143" s="1" t="n">
        <v>45752</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26855-2022</t>
        </is>
      </c>
      <c r="B144" s="1" t="n">
        <v>44740</v>
      </c>
      <c r="C144" s="1" t="n">
        <v>45752</v>
      </c>
      <c r="D144" t="inlineStr">
        <is>
          <t>SKÅNE LÄN</t>
        </is>
      </c>
      <c r="E144" t="inlineStr">
        <is>
          <t>SVALÖV</t>
        </is>
      </c>
      <c r="G144" t="n">
        <v>5.2</v>
      </c>
      <c r="H144" t="n">
        <v>1</v>
      </c>
      <c r="I144" t="n">
        <v>1</v>
      </c>
      <c r="J144" t="n">
        <v>0</v>
      </c>
      <c r="K144" t="n">
        <v>0</v>
      </c>
      <c r="L144" t="n">
        <v>0</v>
      </c>
      <c r="M144" t="n">
        <v>0</v>
      </c>
      <c r="N144" t="n">
        <v>0</v>
      </c>
      <c r="O144" t="n">
        <v>0</v>
      </c>
      <c r="P144" t="n">
        <v>0</v>
      </c>
      <c r="Q144" t="n">
        <v>2</v>
      </c>
      <c r="R144" s="2" t="inlineStr">
        <is>
          <t>Skogsbräsma
Mattlummer</t>
        </is>
      </c>
      <c r="S144">
        <f>HYPERLINK("https://klasma.github.io/Logging_1214/artfynd/A 26855-2022 artfynd.xlsx", "A 26855-2022")</f>
        <v/>
      </c>
      <c r="T144">
        <f>HYPERLINK("https://klasma.github.io/Logging_1214/kartor/A 26855-2022 karta.png", "A 26855-2022")</f>
        <v/>
      </c>
      <c r="V144">
        <f>HYPERLINK("https://klasma.github.io/Logging_1214/klagomål/A 26855-2022 FSC-klagomål.docx", "A 26855-2022")</f>
        <v/>
      </c>
      <c r="W144">
        <f>HYPERLINK("https://klasma.github.io/Logging_1214/klagomålsmail/A 26855-2022 FSC-klagomål mail.docx", "A 26855-2022")</f>
        <v/>
      </c>
      <c r="X144">
        <f>HYPERLINK("https://klasma.github.io/Logging_1214/tillsyn/A 26855-2022 tillsynsbegäran.docx", "A 26855-2022")</f>
        <v/>
      </c>
      <c r="Y144">
        <f>HYPERLINK("https://klasma.github.io/Logging_1214/tillsynsmail/A 26855-2022 tillsynsbegäran mail.docx", "A 26855-2022")</f>
        <v/>
      </c>
    </row>
    <row r="145" ht="15" customHeight="1">
      <c r="A145" t="inlineStr">
        <is>
          <t>A 26984-2022</t>
        </is>
      </c>
      <c r="B145" s="1" t="n">
        <v>44740</v>
      </c>
      <c r="C145" s="1" t="n">
        <v>45752</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28929-2022</t>
        </is>
      </c>
      <c r="B146" s="1" t="n">
        <v>44749</v>
      </c>
      <c r="C146" s="1" t="n">
        <v>45752</v>
      </c>
      <c r="D146" t="inlineStr">
        <is>
          <t>SKÅNE LÄN</t>
        </is>
      </c>
      <c r="E146" t="inlineStr">
        <is>
          <t>SJÖBO</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HYPERLINK("https://klasma.github.io/Logging_1265/artfynd/A 28929-2022 artfynd.xlsx", "A 28929-2022")</f>
        <v/>
      </c>
      <c r="T146">
        <f>HYPERLINK("https://klasma.github.io/Logging_1265/kartor/A 28929-2022 karta.png", "A 28929-2022")</f>
        <v/>
      </c>
      <c r="V146">
        <f>HYPERLINK("https://klasma.github.io/Logging_1265/klagomål/A 28929-2022 FSC-klagomål.docx", "A 28929-2022")</f>
        <v/>
      </c>
      <c r="W146">
        <f>HYPERLINK("https://klasma.github.io/Logging_1265/klagomålsmail/A 28929-2022 FSC-klagomål mail.docx", "A 28929-2022")</f>
        <v/>
      </c>
      <c r="X146">
        <f>HYPERLINK("https://klasma.github.io/Logging_1265/tillsyn/A 28929-2022 tillsynsbegäran.docx", "A 28929-2022")</f>
        <v/>
      </c>
      <c r="Y146">
        <f>HYPERLINK("https://klasma.github.io/Logging_1265/tillsynsmail/A 28929-2022 tillsynsbegäran mail.docx", "A 28929-2022")</f>
        <v/>
      </c>
    </row>
    <row r="147" ht="15" customHeight="1">
      <c r="A147" t="inlineStr">
        <is>
          <t>A 30842-2022</t>
        </is>
      </c>
      <c r="B147" s="1" t="n">
        <v>44767</v>
      </c>
      <c r="C147" s="1" t="n">
        <v>45752</v>
      </c>
      <c r="D147" t="inlineStr">
        <is>
          <t>SKÅNE LÄN</t>
        </is>
      </c>
      <c r="E147" t="inlineStr">
        <is>
          <t>KRISTIANSTAD</t>
        </is>
      </c>
      <c r="G147" t="n">
        <v>2.6</v>
      </c>
      <c r="H147" t="n">
        <v>1</v>
      </c>
      <c r="I147" t="n">
        <v>0</v>
      </c>
      <c r="J147" t="n">
        <v>0</v>
      </c>
      <c r="K147" t="n">
        <v>1</v>
      </c>
      <c r="L147" t="n">
        <v>0</v>
      </c>
      <c r="M147" t="n">
        <v>0</v>
      </c>
      <c r="N147" t="n">
        <v>0</v>
      </c>
      <c r="O147" t="n">
        <v>1</v>
      </c>
      <c r="P147" t="n">
        <v>1</v>
      </c>
      <c r="Q147" t="n">
        <v>2</v>
      </c>
      <c r="R147" s="2" t="inlineStr">
        <is>
          <t>Småvänderot
Större vattensalamander</t>
        </is>
      </c>
      <c r="S147">
        <f>HYPERLINK("https://klasma.github.io/Logging_1290/artfynd/A 30842-2022 artfynd.xlsx", "A 30842-2022")</f>
        <v/>
      </c>
      <c r="T147">
        <f>HYPERLINK("https://klasma.github.io/Logging_1290/kartor/A 30842-2022 karta.png", "A 30842-2022")</f>
        <v/>
      </c>
      <c r="V147">
        <f>HYPERLINK("https://klasma.github.io/Logging_1290/klagomål/A 30842-2022 FSC-klagomål.docx", "A 30842-2022")</f>
        <v/>
      </c>
      <c r="W147">
        <f>HYPERLINK("https://klasma.github.io/Logging_1290/klagomålsmail/A 30842-2022 FSC-klagomål mail.docx", "A 30842-2022")</f>
        <v/>
      </c>
      <c r="X147">
        <f>HYPERLINK("https://klasma.github.io/Logging_1290/tillsyn/A 30842-2022 tillsynsbegäran.docx", "A 30842-2022")</f>
        <v/>
      </c>
      <c r="Y147">
        <f>HYPERLINK("https://klasma.github.io/Logging_1290/tillsynsmail/A 30842-2022 tillsynsbegäran mail.docx", "A 30842-2022")</f>
        <v/>
      </c>
    </row>
    <row r="148" ht="15" customHeight="1">
      <c r="A148" t="inlineStr">
        <is>
          <t>A 44586-2022</t>
        </is>
      </c>
      <c r="B148" s="1" t="n">
        <v>44840</v>
      </c>
      <c r="C148" s="1" t="n">
        <v>45752</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53878-2022</t>
        </is>
      </c>
      <c r="B149" s="1" t="n">
        <v>44880</v>
      </c>
      <c r="C149" s="1" t="n">
        <v>45752</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55072-2022</t>
        </is>
      </c>
      <c r="B150" s="1" t="n">
        <v>44886</v>
      </c>
      <c r="C150" s="1" t="n">
        <v>45752</v>
      </c>
      <c r="D150" t="inlineStr">
        <is>
          <t>SKÅNE LÄN</t>
        </is>
      </c>
      <c r="E150" t="inlineStr">
        <is>
          <t>SIMRISHAMN</t>
        </is>
      </c>
      <c r="F150" t="inlineStr">
        <is>
          <t>Sveaskog</t>
        </is>
      </c>
      <c r="G150" t="n">
        <v>7.3</v>
      </c>
      <c r="H150" t="n">
        <v>1</v>
      </c>
      <c r="I150" t="n">
        <v>1</v>
      </c>
      <c r="J150" t="n">
        <v>0</v>
      </c>
      <c r="K150" t="n">
        <v>0</v>
      </c>
      <c r="L150" t="n">
        <v>0</v>
      </c>
      <c r="M150" t="n">
        <v>0</v>
      </c>
      <c r="N150" t="n">
        <v>0</v>
      </c>
      <c r="O150" t="n">
        <v>0</v>
      </c>
      <c r="P150" t="n">
        <v>0</v>
      </c>
      <c r="Q150" t="n">
        <v>2</v>
      </c>
      <c r="R150" s="2" t="inlineStr">
        <is>
          <t>Murgröna
Gullviva</t>
        </is>
      </c>
      <c r="S150">
        <f>HYPERLINK("https://klasma.github.io/Logging_1291/artfynd/A 55072-2022 artfynd.xlsx", "A 55072-2022")</f>
        <v/>
      </c>
      <c r="T150">
        <f>HYPERLINK("https://klasma.github.io/Logging_1291/kartor/A 55072-2022 karta.png", "A 55072-2022")</f>
        <v/>
      </c>
      <c r="V150">
        <f>HYPERLINK("https://klasma.github.io/Logging_1291/klagomål/A 55072-2022 FSC-klagomål.docx", "A 55072-2022")</f>
        <v/>
      </c>
      <c r="W150">
        <f>HYPERLINK("https://klasma.github.io/Logging_1291/klagomålsmail/A 55072-2022 FSC-klagomål mail.docx", "A 55072-2022")</f>
        <v/>
      </c>
      <c r="X150">
        <f>HYPERLINK("https://klasma.github.io/Logging_1291/tillsyn/A 55072-2022 tillsynsbegäran.docx", "A 55072-2022")</f>
        <v/>
      </c>
      <c r="Y150">
        <f>HYPERLINK("https://klasma.github.io/Logging_1291/tillsynsmail/A 55072-2022 tillsynsbegäran mail.docx", "A 55072-2022")</f>
        <v/>
      </c>
    </row>
    <row r="151" ht="15" customHeight="1">
      <c r="A151" t="inlineStr">
        <is>
          <t>A 56294-2022</t>
        </is>
      </c>
      <c r="B151" s="1" t="n">
        <v>44887</v>
      </c>
      <c r="C151" s="1" t="n">
        <v>45752</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60295-2022</t>
        </is>
      </c>
      <c r="B152" s="1" t="n">
        <v>44903</v>
      </c>
      <c r="C152" s="1" t="n">
        <v>45752</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62065-2022</t>
        </is>
      </c>
      <c r="B153" s="1" t="n">
        <v>44918</v>
      </c>
      <c r="C153" s="1" t="n">
        <v>45752</v>
      </c>
      <c r="D153" t="inlineStr">
        <is>
          <t>SKÅNE LÄN</t>
        </is>
      </c>
      <c r="E153" t="inlineStr">
        <is>
          <t>KRISTIANSTAD</t>
        </is>
      </c>
      <c r="G153" t="n">
        <v>0.8</v>
      </c>
      <c r="H153" t="n">
        <v>1</v>
      </c>
      <c r="I153" t="n">
        <v>0</v>
      </c>
      <c r="J153" t="n">
        <v>1</v>
      </c>
      <c r="K153" t="n">
        <v>1</v>
      </c>
      <c r="L153" t="n">
        <v>0</v>
      </c>
      <c r="M153" t="n">
        <v>0</v>
      </c>
      <c r="N153" t="n">
        <v>0</v>
      </c>
      <c r="O153" t="n">
        <v>2</v>
      </c>
      <c r="P153" t="n">
        <v>1</v>
      </c>
      <c r="Q153" t="n">
        <v>2</v>
      </c>
      <c r="R153" s="2" t="inlineStr">
        <is>
          <t>Myrvapenfluga
Mindre hackspett</t>
        </is>
      </c>
      <c r="S153">
        <f>HYPERLINK("https://klasma.github.io/Logging_1290/artfynd/A 62065-2022 artfynd.xlsx", "A 62065-2022")</f>
        <v/>
      </c>
      <c r="T153">
        <f>HYPERLINK("https://klasma.github.io/Logging_1290/kartor/A 62065-2022 karta.png", "A 62065-2022")</f>
        <v/>
      </c>
      <c r="V153">
        <f>HYPERLINK("https://klasma.github.io/Logging_1290/klagomål/A 62065-2022 FSC-klagomål.docx", "A 62065-2022")</f>
        <v/>
      </c>
      <c r="W153">
        <f>HYPERLINK("https://klasma.github.io/Logging_1290/klagomålsmail/A 62065-2022 FSC-klagomål mail.docx", "A 62065-2022")</f>
        <v/>
      </c>
      <c r="X153">
        <f>HYPERLINK("https://klasma.github.io/Logging_1290/tillsyn/A 62065-2022 tillsynsbegäran.docx", "A 62065-2022")</f>
        <v/>
      </c>
      <c r="Y153">
        <f>HYPERLINK("https://klasma.github.io/Logging_1290/tillsynsmail/A 62065-2022 tillsynsbegäran mail.docx", "A 62065-2022")</f>
        <v/>
      </c>
      <c r="Z153">
        <f>HYPERLINK("https://klasma.github.io/Logging_1290/fåglar/A 62065-2022 prioriterade fågelarter.docx", "A 62065-2022")</f>
        <v/>
      </c>
    </row>
    <row r="154" ht="15" customHeight="1">
      <c r="A154" t="inlineStr">
        <is>
          <t>A 15229-2023</t>
        </is>
      </c>
      <c r="B154" s="1" t="n">
        <v>45016</v>
      </c>
      <c r="C154" s="1" t="n">
        <v>45752</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20702-2023</t>
        </is>
      </c>
      <c r="B155" s="1" t="n">
        <v>45058</v>
      </c>
      <c r="C155" s="1" t="n">
        <v>45752</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26736-2023</t>
        </is>
      </c>
      <c r="B156" s="1" t="n">
        <v>45090</v>
      </c>
      <c r="C156" s="1" t="n">
        <v>45752</v>
      </c>
      <c r="D156" t="inlineStr">
        <is>
          <t>SKÅNE LÄN</t>
        </is>
      </c>
      <c r="E156" t="inlineStr">
        <is>
          <t>SJÖBO</t>
        </is>
      </c>
      <c r="G156" t="n">
        <v>9.4</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27284-2023</t>
        </is>
      </c>
      <c r="B157" s="1" t="n">
        <v>45096</v>
      </c>
      <c r="C157" s="1" t="n">
        <v>45752</v>
      </c>
      <c r="D157" t="inlineStr">
        <is>
          <t>SKÅNE LÄN</t>
        </is>
      </c>
      <c r="E157" t="inlineStr">
        <is>
          <t>ÖSTRA GÖINGE</t>
        </is>
      </c>
      <c r="F157" t="inlineStr">
        <is>
          <t>Sveaskog</t>
        </is>
      </c>
      <c r="G157" t="n">
        <v>6.6</v>
      </c>
      <c r="H157" t="n">
        <v>2</v>
      </c>
      <c r="I157" t="n">
        <v>0</v>
      </c>
      <c r="J157" t="n">
        <v>0</v>
      </c>
      <c r="K157" t="n">
        <v>0</v>
      </c>
      <c r="L157" t="n">
        <v>0</v>
      </c>
      <c r="M157" t="n">
        <v>0</v>
      </c>
      <c r="N157" t="n">
        <v>0</v>
      </c>
      <c r="O157" t="n">
        <v>0</v>
      </c>
      <c r="P157" t="n">
        <v>0</v>
      </c>
      <c r="Q157" t="n">
        <v>2</v>
      </c>
      <c r="R157" s="2" t="inlineStr">
        <is>
          <t>Bred paljettdykare
Bredkantad dykare</t>
        </is>
      </c>
      <c r="S157">
        <f>HYPERLINK("https://klasma.github.io/Logging_1256/artfynd/A 27284-2023 artfynd.xlsx", "A 27284-2023")</f>
        <v/>
      </c>
      <c r="T157">
        <f>HYPERLINK("https://klasma.github.io/Logging_1256/kartor/A 27284-2023 karta.png", "A 27284-2023")</f>
        <v/>
      </c>
      <c r="V157">
        <f>HYPERLINK("https://klasma.github.io/Logging_1256/klagomål/A 27284-2023 FSC-klagomål.docx", "A 27284-2023")</f>
        <v/>
      </c>
      <c r="W157">
        <f>HYPERLINK("https://klasma.github.io/Logging_1256/klagomålsmail/A 27284-2023 FSC-klagomål mail.docx", "A 27284-2023")</f>
        <v/>
      </c>
      <c r="X157">
        <f>HYPERLINK("https://klasma.github.io/Logging_1256/tillsyn/A 27284-2023 tillsynsbegäran.docx", "A 27284-2023")</f>
        <v/>
      </c>
      <c r="Y157">
        <f>HYPERLINK("https://klasma.github.io/Logging_1256/tillsynsmail/A 27284-2023 tillsynsbegäran mail.docx", "A 27284-2023")</f>
        <v/>
      </c>
    </row>
    <row r="158" ht="15" customHeight="1">
      <c r="A158" t="inlineStr">
        <is>
          <t>A 29029-2023</t>
        </is>
      </c>
      <c r="B158" s="1" t="n">
        <v>45104</v>
      </c>
      <c r="C158" s="1" t="n">
        <v>45752</v>
      </c>
      <c r="D158" t="inlineStr">
        <is>
          <t>SKÅNE LÄN</t>
        </is>
      </c>
      <c r="E158" t="inlineStr">
        <is>
          <t>SVEDALA</t>
        </is>
      </c>
      <c r="G158" t="n">
        <v>22.3</v>
      </c>
      <c r="H158" t="n">
        <v>2</v>
      </c>
      <c r="I158" t="n">
        <v>0</v>
      </c>
      <c r="J158" t="n">
        <v>0</v>
      </c>
      <c r="K158" t="n">
        <v>0</v>
      </c>
      <c r="L158" t="n">
        <v>0</v>
      </c>
      <c r="M158" t="n">
        <v>0</v>
      </c>
      <c r="N158" t="n">
        <v>0</v>
      </c>
      <c r="O158" t="n">
        <v>0</v>
      </c>
      <c r="P158" t="n">
        <v>0</v>
      </c>
      <c r="Q158" t="n">
        <v>2</v>
      </c>
      <c r="R158" s="2" t="inlineStr">
        <is>
          <t>Citronfläckad kärrtrollslända
Ätlig groda</t>
        </is>
      </c>
      <c r="S158">
        <f>HYPERLINK("https://klasma.github.io/Logging_1263/artfynd/A 29029-2023 artfynd.xlsx", "A 29029-2023")</f>
        <v/>
      </c>
      <c r="T158">
        <f>HYPERLINK("https://klasma.github.io/Logging_1263/kartor/A 29029-2023 karta.png", "A 29029-2023")</f>
        <v/>
      </c>
      <c r="V158">
        <f>HYPERLINK("https://klasma.github.io/Logging_1263/klagomål/A 29029-2023 FSC-klagomål.docx", "A 29029-2023")</f>
        <v/>
      </c>
      <c r="W158">
        <f>HYPERLINK("https://klasma.github.io/Logging_1263/klagomålsmail/A 29029-2023 FSC-klagomål mail.docx", "A 29029-2023")</f>
        <v/>
      </c>
      <c r="X158">
        <f>HYPERLINK("https://klasma.github.io/Logging_1263/tillsyn/A 29029-2023 tillsynsbegäran.docx", "A 29029-2023")</f>
        <v/>
      </c>
      <c r="Y158">
        <f>HYPERLINK("https://klasma.github.io/Logging_1263/tillsynsmail/A 29029-2023 tillsynsbegäran mail.docx", "A 29029-2023")</f>
        <v/>
      </c>
    </row>
    <row r="159" ht="15" customHeight="1">
      <c r="A159" t="inlineStr">
        <is>
          <t>A 29032-2023</t>
        </is>
      </c>
      <c r="B159" s="1" t="n">
        <v>45104</v>
      </c>
      <c r="C159" s="1" t="n">
        <v>45752</v>
      </c>
      <c r="D159" t="inlineStr">
        <is>
          <t>SKÅNE LÄN</t>
        </is>
      </c>
      <c r="E159" t="inlineStr">
        <is>
          <t>SVEDALA</t>
        </is>
      </c>
      <c r="G159" t="n">
        <v>2</v>
      </c>
      <c r="H159" t="n">
        <v>2</v>
      </c>
      <c r="I159" t="n">
        <v>0</v>
      </c>
      <c r="J159" t="n">
        <v>0</v>
      </c>
      <c r="K159" t="n">
        <v>0</v>
      </c>
      <c r="L159" t="n">
        <v>0</v>
      </c>
      <c r="M159" t="n">
        <v>0</v>
      </c>
      <c r="N159" t="n">
        <v>0</v>
      </c>
      <c r="O159" t="n">
        <v>0</v>
      </c>
      <c r="P159" t="n">
        <v>0</v>
      </c>
      <c r="Q159" t="n">
        <v>2</v>
      </c>
      <c r="R159" s="2" t="inlineStr">
        <is>
          <t>Åkergroda
Vanlig groda</t>
        </is>
      </c>
      <c r="S159">
        <f>HYPERLINK("https://klasma.github.io/Logging_1263/artfynd/A 29032-2023 artfynd.xlsx", "A 29032-2023")</f>
        <v/>
      </c>
      <c r="T159">
        <f>HYPERLINK("https://klasma.github.io/Logging_1263/kartor/A 29032-2023 karta.png", "A 29032-2023")</f>
        <v/>
      </c>
      <c r="V159">
        <f>HYPERLINK("https://klasma.github.io/Logging_1263/klagomål/A 29032-2023 FSC-klagomål.docx", "A 29032-2023")</f>
        <v/>
      </c>
      <c r="W159">
        <f>HYPERLINK("https://klasma.github.io/Logging_1263/klagomålsmail/A 29032-2023 FSC-klagomål mail.docx", "A 29032-2023")</f>
        <v/>
      </c>
      <c r="X159">
        <f>HYPERLINK("https://klasma.github.io/Logging_1263/tillsyn/A 29032-2023 tillsynsbegäran.docx", "A 29032-2023")</f>
        <v/>
      </c>
      <c r="Y159">
        <f>HYPERLINK("https://klasma.github.io/Logging_1263/tillsynsmail/A 29032-2023 tillsynsbegäran mail.docx", "A 29032-2023")</f>
        <v/>
      </c>
    </row>
    <row r="160" ht="15" customHeight="1">
      <c r="A160" t="inlineStr">
        <is>
          <t>A 29038-2023</t>
        </is>
      </c>
      <c r="B160" s="1" t="n">
        <v>45104</v>
      </c>
      <c r="C160" s="1" t="n">
        <v>45752</v>
      </c>
      <c r="D160" t="inlineStr">
        <is>
          <t>SKÅNE LÄN</t>
        </is>
      </c>
      <c r="E160" t="inlineStr">
        <is>
          <t>LUND</t>
        </is>
      </c>
      <c r="G160" t="n">
        <v>10.1</v>
      </c>
      <c r="H160" t="n">
        <v>0</v>
      </c>
      <c r="I160" t="n">
        <v>1</v>
      </c>
      <c r="J160" t="n">
        <v>0</v>
      </c>
      <c r="K160" t="n">
        <v>1</v>
      </c>
      <c r="L160" t="n">
        <v>0</v>
      </c>
      <c r="M160" t="n">
        <v>0</v>
      </c>
      <c r="N160" t="n">
        <v>0</v>
      </c>
      <c r="O160" t="n">
        <v>1</v>
      </c>
      <c r="P160" t="n">
        <v>1</v>
      </c>
      <c r="Q160" t="n">
        <v>2</v>
      </c>
      <c r="R160" s="2" t="inlineStr">
        <is>
          <t>Revig blodrot
Skogsbräsma</t>
        </is>
      </c>
      <c r="S160">
        <f>HYPERLINK("https://klasma.github.io/Logging_1281/artfynd/A 29038-2023 artfynd.xlsx", "A 29038-2023")</f>
        <v/>
      </c>
      <c r="T160">
        <f>HYPERLINK("https://klasma.github.io/Logging_1281/kartor/A 29038-2023 karta.png", "A 29038-2023")</f>
        <v/>
      </c>
      <c r="V160">
        <f>HYPERLINK("https://klasma.github.io/Logging_1281/klagomål/A 29038-2023 FSC-klagomål.docx", "A 29038-2023")</f>
        <v/>
      </c>
      <c r="W160">
        <f>HYPERLINK("https://klasma.github.io/Logging_1281/klagomålsmail/A 29038-2023 FSC-klagomål mail.docx", "A 29038-2023")</f>
        <v/>
      </c>
      <c r="X160">
        <f>HYPERLINK("https://klasma.github.io/Logging_1281/tillsyn/A 29038-2023 tillsynsbegäran.docx", "A 29038-2023")</f>
        <v/>
      </c>
      <c r="Y160">
        <f>HYPERLINK("https://klasma.github.io/Logging_1281/tillsynsmail/A 29038-2023 tillsynsbegäran mail.docx", "A 29038-2023")</f>
        <v/>
      </c>
    </row>
    <row r="161" ht="15" customHeight="1">
      <c r="A161" t="inlineStr">
        <is>
          <t>A 29157-2023</t>
        </is>
      </c>
      <c r="B161" s="1" t="n">
        <v>45105</v>
      </c>
      <c r="C161" s="1" t="n">
        <v>45752</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45752</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33364-2023</t>
        </is>
      </c>
      <c r="B163" s="1" t="n">
        <v>45128</v>
      </c>
      <c r="C163" s="1" t="n">
        <v>45752</v>
      </c>
      <c r="D163" t="inlineStr">
        <is>
          <t>SKÅNE LÄN</t>
        </is>
      </c>
      <c r="E163" t="inlineStr">
        <is>
          <t>KRISTIANSTAD</t>
        </is>
      </c>
      <c r="G163" t="n">
        <v>4.9</v>
      </c>
      <c r="H163" t="n">
        <v>1</v>
      </c>
      <c r="I163" t="n">
        <v>1</v>
      </c>
      <c r="J163" t="n">
        <v>0</v>
      </c>
      <c r="K163" t="n">
        <v>0</v>
      </c>
      <c r="L163" t="n">
        <v>0</v>
      </c>
      <c r="M163" t="n">
        <v>0</v>
      </c>
      <c r="N163" t="n">
        <v>0</v>
      </c>
      <c r="O163" t="n">
        <v>0</v>
      </c>
      <c r="P163" t="n">
        <v>0</v>
      </c>
      <c r="Q163" t="n">
        <v>2</v>
      </c>
      <c r="R163" s="2" t="inlineStr">
        <is>
          <t>Västlig hakmossa
Större vattensalamander</t>
        </is>
      </c>
      <c r="S163">
        <f>HYPERLINK("https://klasma.github.io/Logging_1290/artfynd/A 33364-2023 artfynd.xlsx", "A 33364-2023")</f>
        <v/>
      </c>
      <c r="T163">
        <f>HYPERLINK("https://klasma.github.io/Logging_1290/kartor/A 33364-2023 karta.png", "A 33364-2023")</f>
        <v/>
      </c>
      <c r="V163">
        <f>HYPERLINK("https://klasma.github.io/Logging_1290/klagomål/A 33364-2023 FSC-klagomål.docx", "A 33364-2023")</f>
        <v/>
      </c>
      <c r="W163">
        <f>HYPERLINK("https://klasma.github.io/Logging_1290/klagomålsmail/A 33364-2023 FSC-klagomål mail.docx", "A 33364-2023")</f>
        <v/>
      </c>
      <c r="X163">
        <f>HYPERLINK("https://klasma.github.io/Logging_1290/tillsyn/A 33364-2023 tillsynsbegäran.docx", "A 33364-2023")</f>
        <v/>
      </c>
      <c r="Y163">
        <f>HYPERLINK("https://klasma.github.io/Logging_1290/tillsynsmail/A 33364-2023 tillsynsbegäran mail.docx", "A 33364-2023")</f>
        <v/>
      </c>
    </row>
    <row r="164" ht="15" customHeight="1">
      <c r="A164" t="inlineStr">
        <is>
          <t>A 44585-2023</t>
        </is>
      </c>
      <c r="B164" s="1" t="n">
        <v>45189</v>
      </c>
      <c r="C164" s="1" t="n">
        <v>45752</v>
      </c>
      <c r="D164" t="inlineStr">
        <is>
          <t>SKÅNE LÄN</t>
        </is>
      </c>
      <c r="E164" t="inlineStr">
        <is>
          <t>KRISTIANSTAD</t>
        </is>
      </c>
      <c r="G164" t="n">
        <v>1.4</v>
      </c>
      <c r="H164" t="n">
        <v>1</v>
      </c>
      <c r="I164" t="n">
        <v>1</v>
      </c>
      <c r="J164" t="n">
        <v>0</v>
      </c>
      <c r="K164" t="n">
        <v>0</v>
      </c>
      <c r="L164" t="n">
        <v>0</v>
      </c>
      <c r="M164" t="n">
        <v>0</v>
      </c>
      <c r="N164" t="n">
        <v>0</v>
      </c>
      <c r="O164" t="n">
        <v>0</v>
      </c>
      <c r="P164" t="n">
        <v>0</v>
      </c>
      <c r="Q164" t="n">
        <v>2</v>
      </c>
      <c r="R164" s="2" t="inlineStr">
        <is>
          <t>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53486-2023</t>
        </is>
      </c>
      <c r="B165" s="1" t="n">
        <v>45230</v>
      </c>
      <c r="C165" s="1" t="n">
        <v>45752</v>
      </c>
      <c r="D165" t="inlineStr">
        <is>
          <t>SKÅNE LÄN</t>
        </is>
      </c>
      <c r="E165" t="inlineStr">
        <is>
          <t>KÄVLINGE</t>
        </is>
      </c>
      <c r="G165" t="n">
        <v>1.2</v>
      </c>
      <c r="H165" t="n">
        <v>1</v>
      </c>
      <c r="I165" t="n">
        <v>0</v>
      </c>
      <c r="J165" t="n">
        <v>1</v>
      </c>
      <c r="K165" t="n">
        <v>1</v>
      </c>
      <c r="L165" t="n">
        <v>0</v>
      </c>
      <c r="M165" t="n">
        <v>0</v>
      </c>
      <c r="N165" t="n">
        <v>0</v>
      </c>
      <c r="O165" t="n">
        <v>2</v>
      </c>
      <c r="P165" t="n">
        <v>1</v>
      </c>
      <c r="Q165" t="n">
        <v>2</v>
      </c>
      <c r="R165" s="2" t="inlineStr">
        <is>
          <t>Hedblomster
Backtimjan</t>
        </is>
      </c>
      <c r="S165">
        <f>HYPERLINK("https://klasma.github.io/Logging_1261/artfynd/A 53486-2023 artfynd.xlsx", "A 53486-2023")</f>
        <v/>
      </c>
      <c r="T165">
        <f>HYPERLINK("https://klasma.github.io/Logging_1261/kartor/A 53486-2023 karta.png", "A 53486-2023")</f>
        <v/>
      </c>
      <c r="V165">
        <f>HYPERLINK("https://klasma.github.io/Logging_1261/klagomål/A 53486-2023 FSC-klagomål.docx", "A 53486-2023")</f>
        <v/>
      </c>
      <c r="W165">
        <f>HYPERLINK("https://klasma.github.io/Logging_1261/klagomålsmail/A 53486-2023 FSC-klagomål mail.docx", "A 53486-2023")</f>
        <v/>
      </c>
      <c r="X165">
        <f>HYPERLINK("https://klasma.github.io/Logging_1261/tillsyn/A 53486-2023 tillsynsbegäran.docx", "A 53486-2023")</f>
        <v/>
      </c>
      <c r="Y165">
        <f>HYPERLINK("https://klasma.github.io/Logging_1261/tillsynsmail/A 53486-2023 tillsynsbegäran mail.docx", "A 53486-2023")</f>
        <v/>
      </c>
    </row>
    <row r="166" ht="15" customHeight="1">
      <c r="A166" t="inlineStr">
        <is>
          <t>A 58481-2023</t>
        </is>
      </c>
      <c r="B166" s="1" t="n">
        <v>45251</v>
      </c>
      <c r="C166" s="1" t="n">
        <v>45752</v>
      </c>
      <c r="D166" t="inlineStr">
        <is>
          <t>SKÅNE LÄN</t>
        </is>
      </c>
      <c r="E166" t="inlineStr">
        <is>
          <t>SVALÖV</t>
        </is>
      </c>
      <c r="G166" t="n">
        <v>8.1</v>
      </c>
      <c r="H166" t="n">
        <v>0</v>
      </c>
      <c r="I166" t="n">
        <v>2</v>
      </c>
      <c r="J166" t="n">
        <v>0</v>
      </c>
      <c r="K166" t="n">
        <v>0</v>
      </c>
      <c r="L166" t="n">
        <v>0</v>
      </c>
      <c r="M166" t="n">
        <v>0</v>
      </c>
      <c r="N166" t="n">
        <v>0</v>
      </c>
      <c r="O166" t="n">
        <v>0</v>
      </c>
      <c r="P166" t="n">
        <v>0</v>
      </c>
      <c r="Q166" t="n">
        <v>2</v>
      </c>
      <c r="R166" s="2" t="inlineStr">
        <is>
          <t>Springkorn
Stor häxört</t>
        </is>
      </c>
      <c r="S166">
        <f>HYPERLINK("https://klasma.github.io/Logging_1214/artfynd/A 58481-2023 artfynd.xlsx", "A 58481-2023")</f>
        <v/>
      </c>
      <c r="T166">
        <f>HYPERLINK("https://klasma.github.io/Logging_1214/kartor/A 58481-2023 karta.png", "A 58481-2023")</f>
        <v/>
      </c>
      <c r="V166">
        <f>HYPERLINK("https://klasma.github.io/Logging_1214/klagomål/A 58481-2023 FSC-klagomål.docx", "A 58481-2023")</f>
        <v/>
      </c>
      <c r="W166">
        <f>HYPERLINK("https://klasma.github.io/Logging_1214/klagomålsmail/A 58481-2023 FSC-klagomål mail.docx", "A 58481-2023")</f>
        <v/>
      </c>
      <c r="X166">
        <f>HYPERLINK("https://klasma.github.io/Logging_1214/tillsyn/A 58481-2023 tillsynsbegäran.docx", "A 58481-2023")</f>
        <v/>
      </c>
      <c r="Y166">
        <f>HYPERLINK("https://klasma.github.io/Logging_1214/tillsynsmail/A 58481-2023 tillsynsbegäran mail.docx", "A 58481-2023")</f>
        <v/>
      </c>
    </row>
    <row r="167" ht="15" customHeight="1">
      <c r="A167" t="inlineStr">
        <is>
          <t>A 63560-2023</t>
        </is>
      </c>
      <c r="B167" s="1" t="n">
        <v>45274</v>
      </c>
      <c r="C167" s="1" t="n">
        <v>45752</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1415-2024</t>
        </is>
      </c>
      <c r="B168" s="1" t="n">
        <v>45303</v>
      </c>
      <c r="C168" s="1" t="n">
        <v>45752</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45752</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8188-2024</t>
        </is>
      </c>
      <c r="B170" s="1" t="n">
        <v>45338</v>
      </c>
      <c r="C170" s="1" t="n">
        <v>45752</v>
      </c>
      <c r="D170" t="inlineStr">
        <is>
          <t>SKÅNE LÄN</t>
        </is>
      </c>
      <c r="E170" t="inlineStr">
        <is>
          <t>TOMELILLA</t>
        </is>
      </c>
      <c r="F170" t="inlineStr">
        <is>
          <t>Kyrkan</t>
        </is>
      </c>
      <c r="G170" t="n">
        <v>4.7</v>
      </c>
      <c r="H170" t="n">
        <v>0</v>
      </c>
      <c r="I170" t="n">
        <v>1</v>
      </c>
      <c r="J170" t="n">
        <v>1</v>
      </c>
      <c r="K170" t="n">
        <v>0</v>
      </c>
      <c r="L170" t="n">
        <v>0</v>
      </c>
      <c r="M170" t="n">
        <v>0</v>
      </c>
      <c r="N170" t="n">
        <v>0</v>
      </c>
      <c r="O170" t="n">
        <v>1</v>
      </c>
      <c r="P170" t="n">
        <v>0</v>
      </c>
      <c r="Q170" t="n">
        <v>2</v>
      </c>
      <c r="R170" s="2" t="inlineStr">
        <is>
          <t>Krusfrö
Kransrams</t>
        </is>
      </c>
      <c r="S170">
        <f>HYPERLINK("https://klasma.github.io/Logging_1270/artfynd/A 8188-2024 artfynd.xlsx", "A 8188-2024")</f>
        <v/>
      </c>
      <c r="T170">
        <f>HYPERLINK("https://klasma.github.io/Logging_1270/kartor/A 8188-2024 karta.png", "A 8188-2024")</f>
        <v/>
      </c>
      <c r="V170">
        <f>HYPERLINK("https://klasma.github.io/Logging_1270/klagomål/A 8188-2024 FSC-klagomål.docx", "A 8188-2024")</f>
        <v/>
      </c>
      <c r="W170">
        <f>HYPERLINK("https://klasma.github.io/Logging_1270/klagomålsmail/A 8188-2024 FSC-klagomål mail.docx", "A 8188-2024")</f>
        <v/>
      </c>
      <c r="X170">
        <f>HYPERLINK("https://klasma.github.io/Logging_1270/tillsyn/A 8188-2024 tillsynsbegäran.docx", "A 8188-2024")</f>
        <v/>
      </c>
      <c r="Y170">
        <f>HYPERLINK("https://klasma.github.io/Logging_1270/tillsynsmail/A 8188-2024 tillsynsbegäran mail.docx", "A 8188-2024")</f>
        <v/>
      </c>
    </row>
    <row r="171" ht="15" customHeight="1">
      <c r="A171" t="inlineStr">
        <is>
          <t>A 10017-2024</t>
        </is>
      </c>
      <c r="B171" s="1" t="n">
        <v>45363</v>
      </c>
      <c r="C171" s="1" t="n">
        <v>45752</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11648-2024</t>
        </is>
      </c>
      <c r="B172" s="1" t="n">
        <v>45373</v>
      </c>
      <c r="C172" s="1" t="n">
        <v>45752</v>
      </c>
      <c r="D172" t="inlineStr">
        <is>
          <t>SKÅNE LÄN</t>
        </is>
      </c>
      <c r="E172" t="inlineStr">
        <is>
          <t>KÄVLINGE</t>
        </is>
      </c>
      <c r="F172" t="inlineStr">
        <is>
          <t>Övriga Aktiebolag</t>
        </is>
      </c>
      <c r="G172" t="n">
        <v>10.5</v>
      </c>
      <c r="H172" t="n">
        <v>0</v>
      </c>
      <c r="I172" t="n">
        <v>1</v>
      </c>
      <c r="J172" t="n">
        <v>0</v>
      </c>
      <c r="K172" t="n">
        <v>0</v>
      </c>
      <c r="L172" t="n">
        <v>1</v>
      </c>
      <c r="M172" t="n">
        <v>0</v>
      </c>
      <c r="N172" t="n">
        <v>0</v>
      </c>
      <c r="O172" t="n">
        <v>1</v>
      </c>
      <c r="P172" t="n">
        <v>1</v>
      </c>
      <c r="Q172" t="n">
        <v>2</v>
      </c>
      <c r="R172" s="2" t="inlineStr">
        <is>
          <t>Ask
Bokoxe</t>
        </is>
      </c>
      <c r="S172">
        <f>HYPERLINK("https://klasma.github.io/Logging_1261/artfynd/A 11648-2024 artfynd.xlsx", "A 11648-2024")</f>
        <v/>
      </c>
      <c r="T172">
        <f>HYPERLINK("https://klasma.github.io/Logging_1261/kartor/A 11648-2024 karta.png", "A 11648-2024")</f>
        <v/>
      </c>
      <c r="V172">
        <f>HYPERLINK("https://klasma.github.io/Logging_1261/klagomål/A 11648-2024 FSC-klagomål.docx", "A 11648-2024")</f>
        <v/>
      </c>
      <c r="W172">
        <f>HYPERLINK("https://klasma.github.io/Logging_1261/klagomålsmail/A 11648-2024 FSC-klagomål mail.docx", "A 11648-2024")</f>
        <v/>
      </c>
      <c r="X172">
        <f>HYPERLINK("https://klasma.github.io/Logging_1261/tillsyn/A 11648-2024 tillsynsbegäran.docx", "A 11648-2024")</f>
        <v/>
      </c>
      <c r="Y172">
        <f>HYPERLINK("https://klasma.github.io/Logging_1261/tillsynsmail/A 11648-2024 tillsynsbegäran mail.docx", "A 11648-2024")</f>
        <v/>
      </c>
    </row>
    <row r="173" ht="15" customHeight="1">
      <c r="A173" t="inlineStr">
        <is>
          <t>A 15571-2024</t>
        </is>
      </c>
      <c r="B173" s="1" t="n">
        <v>45401</v>
      </c>
      <c r="C173" s="1" t="n">
        <v>45752</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16122-2024</t>
        </is>
      </c>
      <c r="B174" s="1" t="n">
        <v>45406</v>
      </c>
      <c r="C174" s="1" t="n">
        <v>45752</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20987-2024</t>
        </is>
      </c>
      <c r="B175" s="1" t="n">
        <v>45439</v>
      </c>
      <c r="C175" s="1" t="n">
        <v>45752</v>
      </c>
      <c r="D175" t="inlineStr">
        <is>
          <t>SKÅNE LÄN</t>
        </is>
      </c>
      <c r="E175" t="inlineStr">
        <is>
          <t>HÖÖR</t>
        </is>
      </c>
      <c r="G175" t="n">
        <v>5</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HYPERLINK("https://klasma.github.io/Logging_1267/artfynd/A 20987-2024 artfynd.xlsx", "A 20987-2024")</f>
        <v/>
      </c>
      <c r="T175">
        <f>HYPERLINK("https://klasma.github.io/Logging_1267/kartor/A 20987-2024 karta.png", "A 20987-2024")</f>
        <v/>
      </c>
      <c r="V175">
        <f>HYPERLINK("https://klasma.github.io/Logging_1267/klagomål/A 20987-2024 FSC-klagomål.docx", "A 20987-2024")</f>
        <v/>
      </c>
      <c r="W175">
        <f>HYPERLINK("https://klasma.github.io/Logging_1267/klagomålsmail/A 20987-2024 FSC-klagomål mail.docx", "A 20987-2024")</f>
        <v/>
      </c>
      <c r="X175">
        <f>HYPERLINK("https://klasma.github.io/Logging_1267/tillsyn/A 20987-2024 tillsynsbegäran.docx", "A 20987-2024")</f>
        <v/>
      </c>
      <c r="Y175">
        <f>HYPERLINK("https://klasma.github.io/Logging_1267/tillsynsmail/A 20987-2024 tillsynsbegäran mail.docx", "A 20987-2024")</f>
        <v/>
      </c>
      <c r="Z175">
        <f>HYPERLINK("https://klasma.github.io/Logging_1267/fåglar/A 20987-2024 prioriterade fågelarter.docx", "A 20987-2024")</f>
        <v/>
      </c>
    </row>
    <row r="176" ht="15" customHeight="1">
      <c r="A176" t="inlineStr">
        <is>
          <t>A 20975-2024</t>
        </is>
      </c>
      <c r="B176" s="1" t="n">
        <v>45439</v>
      </c>
      <c r="C176" s="1" t="n">
        <v>45752</v>
      </c>
      <c r="D176" t="inlineStr">
        <is>
          <t>SKÅNE LÄN</t>
        </is>
      </c>
      <c r="E176" t="inlineStr">
        <is>
          <t>HÖÖR</t>
        </is>
      </c>
      <c r="G176" t="n">
        <v>2</v>
      </c>
      <c r="H176" t="n">
        <v>0</v>
      </c>
      <c r="I176" t="n">
        <v>2</v>
      </c>
      <c r="J176" t="n">
        <v>0</v>
      </c>
      <c r="K176" t="n">
        <v>0</v>
      </c>
      <c r="L176" t="n">
        <v>0</v>
      </c>
      <c r="M176" t="n">
        <v>0</v>
      </c>
      <c r="N176" t="n">
        <v>0</v>
      </c>
      <c r="O176" t="n">
        <v>0</v>
      </c>
      <c r="P176" t="n">
        <v>0</v>
      </c>
      <c r="Q176" t="n">
        <v>2</v>
      </c>
      <c r="R176" s="2" t="inlineStr">
        <is>
          <t>Dvärghäxört
Västlig hakmossa</t>
        </is>
      </c>
      <c r="S176">
        <f>HYPERLINK("https://klasma.github.io/Logging_1267/artfynd/A 20975-2024 artfynd.xlsx", "A 20975-2024")</f>
        <v/>
      </c>
      <c r="T176">
        <f>HYPERLINK("https://klasma.github.io/Logging_1267/kartor/A 20975-2024 karta.png", "A 20975-2024")</f>
        <v/>
      </c>
      <c r="V176">
        <f>HYPERLINK("https://klasma.github.io/Logging_1267/klagomål/A 20975-2024 FSC-klagomål.docx", "A 20975-2024")</f>
        <v/>
      </c>
      <c r="W176">
        <f>HYPERLINK("https://klasma.github.io/Logging_1267/klagomålsmail/A 20975-2024 FSC-klagomål mail.docx", "A 20975-2024")</f>
        <v/>
      </c>
      <c r="X176">
        <f>HYPERLINK("https://klasma.github.io/Logging_1267/tillsyn/A 20975-2024 tillsynsbegäran.docx", "A 20975-2024")</f>
        <v/>
      </c>
      <c r="Y176">
        <f>HYPERLINK("https://klasma.github.io/Logging_1267/tillsynsmail/A 20975-2024 tillsynsbegäran mail.docx", "A 20975-2024")</f>
        <v/>
      </c>
    </row>
    <row r="177" ht="15" customHeight="1">
      <c r="A177" t="inlineStr">
        <is>
          <t>A 22776-2024</t>
        </is>
      </c>
      <c r="B177" s="1" t="n">
        <v>45448</v>
      </c>
      <c r="C177" s="1" t="n">
        <v>45752</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25058-2024</t>
        </is>
      </c>
      <c r="B178" s="1" t="n">
        <v>45462</v>
      </c>
      <c r="C178" s="1" t="n">
        <v>45752</v>
      </c>
      <c r="D178" t="inlineStr">
        <is>
          <t>SKÅNE LÄN</t>
        </is>
      </c>
      <c r="E178" t="inlineStr">
        <is>
          <t>KRISTIANSTAD</t>
        </is>
      </c>
      <c r="G178" t="n">
        <v>5.2</v>
      </c>
      <c r="H178" t="n">
        <v>1</v>
      </c>
      <c r="I178" t="n">
        <v>1</v>
      </c>
      <c r="J178" t="n">
        <v>0</v>
      </c>
      <c r="K178" t="n">
        <v>0</v>
      </c>
      <c r="L178" t="n">
        <v>0</v>
      </c>
      <c r="M178" t="n">
        <v>0</v>
      </c>
      <c r="N178" t="n">
        <v>0</v>
      </c>
      <c r="O178" t="n">
        <v>0</v>
      </c>
      <c r="P178" t="n">
        <v>0</v>
      </c>
      <c r="Q178" t="n">
        <v>2</v>
      </c>
      <c r="R178" s="2" t="inlineStr">
        <is>
          <t>Lundvårlök
Grönvit nattviol</t>
        </is>
      </c>
      <c r="S178">
        <f>HYPERLINK("https://klasma.github.io/Logging_1290/artfynd/A 25058-2024 artfynd.xlsx", "A 25058-2024")</f>
        <v/>
      </c>
      <c r="T178">
        <f>HYPERLINK("https://klasma.github.io/Logging_1290/kartor/A 25058-2024 karta.png", "A 25058-2024")</f>
        <v/>
      </c>
      <c r="V178">
        <f>HYPERLINK("https://klasma.github.io/Logging_1290/klagomål/A 25058-2024 FSC-klagomål.docx", "A 25058-2024")</f>
        <v/>
      </c>
      <c r="W178">
        <f>HYPERLINK("https://klasma.github.io/Logging_1290/klagomålsmail/A 25058-2024 FSC-klagomål mail.docx", "A 25058-2024")</f>
        <v/>
      </c>
      <c r="X178">
        <f>HYPERLINK("https://klasma.github.io/Logging_1290/tillsyn/A 25058-2024 tillsynsbegäran.docx", "A 25058-2024")</f>
        <v/>
      </c>
      <c r="Y178">
        <f>HYPERLINK("https://klasma.github.io/Logging_1290/tillsynsmail/A 25058-2024 tillsynsbegäran mail.docx", "A 25058-2024")</f>
        <v/>
      </c>
    </row>
    <row r="179" ht="15" customHeight="1">
      <c r="A179" t="inlineStr">
        <is>
          <t>A 26488-2024</t>
        </is>
      </c>
      <c r="B179" s="1" t="n">
        <v>45469</v>
      </c>
      <c r="C179" s="1" t="n">
        <v>45752</v>
      </c>
      <c r="D179" t="inlineStr">
        <is>
          <t>SKÅNE LÄN</t>
        </is>
      </c>
      <c r="E179" t="inlineStr">
        <is>
          <t>SJÖBO</t>
        </is>
      </c>
      <c r="G179" t="n">
        <v>8.1</v>
      </c>
      <c r="H179" t="n">
        <v>1</v>
      </c>
      <c r="I179" t="n">
        <v>0</v>
      </c>
      <c r="J179" t="n">
        <v>1</v>
      </c>
      <c r="K179" t="n">
        <v>0</v>
      </c>
      <c r="L179" t="n">
        <v>0</v>
      </c>
      <c r="M179" t="n">
        <v>0</v>
      </c>
      <c r="N179" t="n">
        <v>0</v>
      </c>
      <c r="O179" t="n">
        <v>1</v>
      </c>
      <c r="P179" t="n">
        <v>0</v>
      </c>
      <c r="Q179" t="n">
        <v>2</v>
      </c>
      <c r="R179" s="2" t="inlineStr">
        <is>
          <t>Triplax rufipes
Vanlig groda</t>
        </is>
      </c>
      <c r="S179">
        <f>HYPERLINK("https://klasma.github.io/Logging_1265/artfynd/A 26488-2024 artfynd.xlsx", "A 26488-2024")</f>
        <v/>
      </c>
      <c r="T179">
        <f>HYPERLINK("https://klasma.github.io/Logging_1265/kartor/A 26488-2024 karta.png", "A 26488-2024")</f>
        <v/>
      </c>
      <c r="V179">
        <f>HYPERLINK("https://klasma.github.io/Logging_1265/klagomål/A 26488-2024 FSC-klagomål.docx", "A 26488-2024")</f>
        <v/>
      </c>
      <c r="W179">
        <f>HYPERLINK("https://klasma.github.io/Logging_1265/klagomålsmail/A 26488-2024 FSC-klagomål mail.docx", "A 26488-2024")</f>
        <v/>
      </c>
      <c r="X179">
        <f>HYPERLINK("https://klasma.github.io/Logging_1265/tillsyn/A 26488-2024 tillsynsbegäran.docx", "A 26488-2024")</f>
        <v/>
      </c>
      <c r="Y179">
        <f>HYPERLINK("https://klasma.github.io/Logging_1265/tillsynsmail/A 26488-2024 tillsynsbegäran mail.docx", "A 26488-2024")</f>
        <v/>
      </c>
    </row>
    <row r="180" ht="15" customHeight="1">
      <c r="A180" t="inlineStr">
        <is>
          <t>A 30246-2024</t>
        </is>
      </c>
      <c r="B180" s="1" t="n">
        <v>45490</v>
      </c>
      <c r="C180" s="1" t="n">
        <v>45752</v>
      </c>
      <c r="D180" t="inlineStr">
        <is>
          <t>SKÅNE LÄN</t>
        </is>
      </c>
      <c r="E180" t="inlineStr">
        <is>
          <t>KRISTIANSTAD</t>
        </is>
      </c>
      <c r="G180" t="n">
        <v>8.699999999999999</v>
      </c>
      <c r="H180" t="n">
        <v>1</v>
      </c>
      <c r="I180" t="n">
        <v>0</v>
      </c>
      <c r="J180" t="n">
        <v>2</v>
      </c>
      <c r="K180" t="n">
        <v>0</v>
      </c>
      <c r="L180" t="n">
        <v>0</v>
      </c>
      <c r="M180" t="n">
        <v>0</v>
      </c>
      <c r="N180" t="n">
        <v>0</v>
      </c>
      <c r="O180" t="n">
        <v>2</v>
      </c>
      <c r="P180" t="n">
        <v>0</v>
      </c>
      <c r="Q180" t="n">
        <v>2</v>
      </c>
      <c r="R180" s="2" t="inlineStr">
        <is>
          <t>Desmeknopp
Spillkråka</t>
        </is>
      </c>
      <c r="S180">
        <f>HYPERLINK("https://klasma.github.io/Logging_1290/artfynd/A 30246-2024 artfynd.xlsx", "A 30246-2024")</f>
        <v/>
      </c>
      <c r="T180">
        <f>HYPERLINK("https://klasma.github.io/Logging_1290/kartor/A 30246-2024 karta.png", "A 30246-2024")</f>
        <v/>
      </c>
      <c r="V180">
        <f>HYPERLINK("https://klasma.github.io/Logging_1290/klagomål/A 30246-2024 FSC-klagomål.docx", "A 30246-2024")</f>
        <v/>
      </c>
      <c r="W180">
        <f>HYPERLINK("https://klasma.github.io/Logging_1290/klagomålsmail/A 30246-2024 FSC-klagomål mail.docx", "A 30246-2024")</f>
        <v/>
      </c>
      <c r="X180">
        <f>HYPERLINK("https://klasma.github.io/Logging_1290/tillsyn/A 30246-2024 tillsynsbegäran.docx", "A 30246-2024")</f>
        <v/>
      </c>
      <c r="Y180">
        <f>HYPERLINK("https://klasma.github.io/Logging_1290/tillsynsmail/A 30246-2024 tillsynsbegäran mail.docx", "A 30246-2024")</f>
        <v/>
      </c>
      <c r="Z180">
        <f>HYPERLINK("https://klasma.github.io/Logging_1290/fåglar/A 30246-2024 prioriterade fågelarter.docx", "A 30246-2024")</f>
        <v/>
      </c>
    </row>
    <row r="181" ht="15" customHeight="1">
      <c r="A181" t="inlineStr">
        <is>
          <t>A 31923-2024</t>
        </is>
      </c>
      <c r="B181" s="1" t="n">
        <v>45510</v>
      </c>
      <c r="C181" s="1" t="n">
        <v>45752</v>
      </c>
      <c r="D181" t="inlineStr">
        <is>
          <t>SKÅNE LÄN</t>
        </is>
      </c>
      <c r="E181" t="inlineStr">
        <is>
          <t>ÖRKELLJUNGA</t>
        </is>
      </c>
      <c r="G181" t="n">
        <v>3.3</v>
      </c>
      <c r="H181" t="n">
        <v>0</v>
      </c>
      <c r="I181" t="n">
        <v>2</v>
      </c>
      <c r="J181" t="n">
        <v>0</v>
      </c>
      <c r="K181" t="n">
        <v>0</v>
      </c>
      <c r="L181" t="n">
        <v>0</v>
      </c>
      <c r="M181" t="n">
        <v>0</v>
      </c>
      <c r="N181" t="n">
        <v>0</v>
      </c>
      <c r="O181" t="n">
        <v>0</v>
      </c>
      <c r="P181" t="n">
        <v>0</v>
      </c>
      <c r="Q181" t="n">
        <v>2</v>
      </c>
      <c r="R181" s="2" t="inlineStr">
        <is>
          <t>Havstulpanlav
Västlig hakmossa</t>
        </is>
      </c>
      <c r="S181">
        <f>HYPERLINK("https://klasma.github.io/Logging_1257/artfynd/A 31923-2024 artfynd.xlsx", "A 31923-2024")</f>
        <v/>
      </c>
      <c r="T181">
        <f>HYPERLINK("https://klasma.github.io/Logging_1257/kartor/A 31923-2024 karta.png", "A 31923-2024")</f>
        <v/>
      </c>
      <c r="V181">
        <f>HYPERLINK("https://klasma.github.io/Logging_1257/klagomål/A 31923-2024 FSC-klagomål.docx", "A 31923-2024")</f>
        <v/>
      </c>
      <c r="W181">
        <f>HYPERLINK("https://klasma.github.io/Logging_1257/klagomålsmail/A 31923-2024 FSC-klagomål mail.docx", "A 31923-2024")</f>
        <v/>
      </c>
      <c r="X181">
        <f>HYPERLINK("https://klasma.github.io/Logging_1257/tillsyn/A 31923-2024 tillsynsbegäran.docx", "A 31923-2024")</f>
        <v/>
      </c>
      <c r="Y181">
        <f>HYPERLINK("https://klasma.github.io/Logging_1257/tillsynsmail/A 31923-2024 tillsynsbegäran mail.docx", "A 31923-2024")</f>
        <v/>
      </c>
    </row>
    <row r="182" ht="15" customHeight="1">
      <c r="A182" t="inlineStr">
        <is>
          <t>A 37585-2024</t>
        </is>
      </c>
      <c r="B182" s="1" t="n">
        <v>45541</v>
      </c>
      <c r="C182" s="1" t="n">
        <v>45752</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37966-2024</t>
        </is>
      </c>
      <c r="B183" s="1" t="n">
        <v>45544</v>
      </c>
      <c r="C183" s="1" t="n">
        <v>45752</v>
      </c>
      <c r="D183" t="inlineStr">
        <is>
          <t>SKÅNE LÄN</t>
        </is>
      </c>
      <c r="E183" t="inlineStr">
        <is>
          <t>KLIPPAN</t>
        </is>
      </c>
      <c r="G183" t="n">
        <v>2.7</v>
      </c>
      <c r="H183" t="n">
        <v>2</v>
      </c>
      <c r="I183" t="n">
        <v>0</v>
      </c>
      <c r="J183" t="n">
        <v>0</v>
      </c>
      <c r="K183" t="n">
        <v>0</v>
      </c>
      <c r="L183" t="n">
        <v>0</v>
      </c>
      <c r="M183" t="n">
        <v>0</v>
      </c>
      <c r="N183" t="n">
        <v>0</v>
      </c>
      <c r="O183" t="n">
        <v>0</v>
      </c>
      <c r="P183" t="n">
        <v>0</v>
      </c>
      <c r="Q183" t="n">
        <v>2</v>
      </c>
      <c r="R183" s="2" t="inlineStr">
        <is>
          <t>Större vattensalamander
Vanlig padda</t>
        </is>
      </c>
      <c r="S183">
        <f>HYPERLINK("https://klasma.github.io/Logging_1276/artfynd/A 37966-2024 artfynd.xlsx", "A 37966-2024")</f>
        <v/>
      </c>
      <c r="T183">
        <f>HYPERLINK("https://klasma.github.io/Logging_1276/kartor/A 37966-2024 karta.png", "A 37966-2024")</f>
        <v/>
      </c>
      <c r="V183">
        <f>HYPERLINK("https://klasma.github.io/Logging_1276/klagomål/A 37966-2024 FSC-klagomål.docx", "A 37966-2024")</f>
        <v/>
      </c>
      <c r="W183">
        <f>HYPERLINK("https://klasma.github.io/Logging_1276/klagomålsmail/A 37966-2024 FSC-klagomål mail.docx", "A 37966-2024")</f>
        <v/>
      </c>
      <c r="X183">
        <f>HYPERLINK("https://klasma.github.io/Logging_1276/tillsyn/A 37966-2024 tillsynsbegäran.docx", "A 37966-2024")</f>
        <v/>
      </c>
      <c r="Y183">
        <f>HYPERLINK("https://klasma.github.io/Logging_1276/tillsynsmail/A 37966-2024 tillsynsbegäran mail.docx", "A 37966-2024")</f>
        <v/>
      </c>
    </row>
    <row r="184" ht="15" customHeight="1">
      <c r="A184" t="inlineStr">
        <is>
          <t>A 39165-2024</t>
        </is>
      </c>
      <c r="B184" s="1" t="n">
        <v>45548</v>
      </c>
      <c r="C184" s="1" t="n">
        <v>45752</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45911-2024</t>
        </is>
      </c>
      <c r="B185" s="1" t="n">
        <v>45580</v>
      </c>
      <c r="C185" s="1" t="n">
        <v>45752</v>
      </c>
      <c r="D185" t="inlineStr">
        <is>
          <t>SKÅNE LÄN</t>
        </is>
      </c>
      <c r="E185" t="inlineStr">
        <is>
          <t>KRISTIANSTAD</t>
        </is>
      </c>
      <c r="G185" t="n">
        <v>2.2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61064-2024</t>
        </is>
      </c>
      <c r="B186" s="1" t="n">
        <v>45645</v>
      </c>
      <c r="C186" s="1" t="n">
        <v>45752</v>
      </c>
      <c r="D186" t="inlineStr">
        <is>
          <t>SKÅNE LÄN</t>
        </is>
      </c>
      <c r="E186" t="inlineStr">
        <is>
          <t>SVALÖV</t>
        </is>
      </c>
      <c r="G186" t="n">
        <v>5.6</v>
      </c>
      <c r="H186" t="n">
        <v>1</v>
      </c>
      <c r="I186" t="n">
        <v>1</v>
      </c>
      <c r="J186" t="n">
        <v>0</v>
      </c>
      <c r="K186" t="n">
        <v>0</v>
      </c>
      <c r="L186" t="n">
        <v>1</v>
      </c>
      <c r="M186" t="n">
        <v>0</v>
      </c>
      <c r="N186" t="n">
        <v>0</v>
      </c>
      <c r="O186" t="n">
        <v>1</v>
      </c>
      <c r="P186" t="n">
        <v>1</v>
      </c>
      <c r="Q186" t="n">
        <v>2</v>
      </c>
      <c r="R186" s="2" t="inlineStr">
        <is>
          <t>Ask
Skogsknipprot</t>
        </is>
      </c>
      <c r="S186">
        <f>HYPERLINK("https://klasma.github.io/Logging_1214/artfynd/A 61064-2024 artfynd.xlsx", "A 61064-2024")</f>
        <v/>
      </c>
      <c r="T186">
        <f>HYPERLINK("https://klasma.github.io/Logging_1214/kartor/A 61064-2024 karta.png", "A 61064-2024")</f>
        <v/>
      </c>
      <c r="V186">
        <f>HYPERLINK("https://klasma.github.io/Logging_1214/klagomål/A 61064-2024 FSC-klagomål.docx", "A 61064-2024")</f>
        <v/>
      </c>
      <c r="W186">
        <f>HYPERLINK("https://klasma.github.io/Logging_1214/klagomålsmail/A 61064-2024 FSC-klagomål mail.docx", "A 61064-2024")</f>
        <v/>
      </c>
      <c r="X186">
        <f>HYPERLINK("https://klasma.github.io/Logging_1214/tillsyn/A 61064-2024 tillsynsbegäran.docx", "A 61064-2024")</f>
        <v/>
      </c>
      <c r="Y186">
        <f>HYPERLINK("https://klasma.github.io/Logging_1214/tillsynsmail/A 61064-2024 tillsynsbegäran mail.docx", "A 61064-2024")</f>
        <v/>
      </c>
    </row>
    <row r="187" ht="15" customHeight="1">
      <c r="A187" t="inlineStr">
        <is>
          <t>A 419-2025</t>
        </is>
      </c>
      <c r="B187" s="1" t="n">
        <v>45663</v>
      </c>
      <c r="C187" s="1" t="n">
        <v>45752</v>
      </c>
      <c r="D187" t="inlineStr">
        <is>
          <t>SKÅNE LÄN</t>
        </is>
      </c>
      <c r="E187" t="inlineStr">
        <is>
          <t>KRISTIANSTAD</t>
        </is>
      </c>
      <c r="G187" t="n">
        <v>14.5</v>
      </c>
      <c r="H187" t="n">
        <v>1</v>
      </c>
      <c r="I187" t="n">
        <v>1</v>
      </c>
      <c r="J187" t="n">
        <v>0</v>
      </c>
      <c r="K187" t="n">
        <v>0</v>
      </c>
      <c r="L187" t="n">
        <v>0</v>
      </c>
      <c r="M187" t="n">
        <v>0</v>
      </c>
      <c r="N187" t="n">
        <v>0</v>
      </c>
      <c r="O187" t="n">
        <v>0</v>
      </c>
      <c r="P187" t="n">
        <v>0</v>
      </c>
      <c r="Q187" t="n">
        <v>2</v>
      </c>
      <c r="R187" s="2" t="inlineStr">
        <is>
          <t>Murgröna
Vanlig groda</t>
        </is>
      </c>
      <c r="S187">
        <f>HYPERLINK("https://klasma.github.io/Logging_1290/artfynd/A 419-2025 artfynd.xlsx", "A 419-2025")</f>
        <v/>
      </c>
      <c r="T187">
        <f>HYPERLINK("https://klasma.github.io/Logging_1290/kartor/A 419-2025 karta.png", "A 419-2025")</f>
        <v/>
      </c>
      <c r="V187">
        <f>HYPERLINK("https://klasma.github.io/Logging_1290/klagomål/A 419-2025 FSC-klagomål.docx", "A 419-2025")</f>
        <v/>
      </c>
      <c r="W187">
        <f>HYPERLINK("https://klasma.github.io/Logging_1290/klagomålsmail/A 419-2025 FSC-klagomål mail.docx", "A 419-2025")</f>
        <v/>
      </c>
      <c r="X187">
        <f>HYPERLINK("https://klasma.github.io/Logging_1290/tillsyn/A 419-2025 tillsynsbegäran.docx", "A 419-2025")</f>
        <v/>
      </c>
      <c r="Y187">
        <f>HYPERLINK("https://klasma.github.io/Logging_1290/tillsynsmail/A 419-2025 tillsynsbegäran mail.docx", "A 419-2025")</f>
        <v/>
      </c>
    </row>
    <row r="188" ht="15" customHeight="1">
      <c r="A188" t="inlineStr">
        <is>
          <t>A 2194-2025</t>
        </is>
      </c>
      <c r="B188" s="1" t="n">
        <v>45673</v>
      </c>
      <c r="C188" s="1" t="n">
        <v>45752</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4112-2025</t>
        </is>
      </c>
      <c r="B189" s="1" t="n">
        <v>45684</v>
      </c>
      <c r="C189" s="1" t="n">
        <v>45752</v>
      </c>
      <c r="D189" t="inlineStr">
        <is>
          <t>SKÅNE LÄN</t>
        </is>
      </c>
      <c r="E189" t="inlineStr">
        <is>
          <t>ÖRKELLJUNGA</t>
        </is>
      </c>
      <c r="G189" t="n">
        <v>11.4</v>
      </c>
      <c r="H189" t="n">
        <v>2</v>
      </c>
      <c r="I189" t="n">
        <v>0</v>
      </c>
      <c r="J189" t="n">
        <v>1</v>
      </c>
      <c r="K189" t="n">
        <v>0</v>
      </c>
      <c r="L189" t="n">
        <v>0</v>
      </c>
      <c r="M189" t="n">
        <v>0</v>
      </c>
      <c r="N189" t="n">
        <v>0</v>
      </c>
      <c r="O189" t="n">
        <v>1</v>
      </c>
      <c r="P189" t="n">
        <v>0</v>
      </c>
      <c r="Q189" t="n">
        <v>2</v>
      </c>
      <c r="R189" s="2" t="inlineStr">
        <is>
          <t>Utter
Vanlig padda</t>
        </is>
      </c>
      <c r="S189">
        <f>HYPERLINK("https://klasma.github.io/Logging_1257/artfynd/A 4112-2025 artfynd.xlsx", "A 4112-2025")</f>
        <v/>
      </c>
      <c r="T189">
        <f>HYPERLINK("https://klasma.github.io/Logging_1257/kartor/A 4112-2025 karta.png", "A 4112-2025")</f>
        <v/>
      </c>
      <c r="V189">
        <f>HYPERLINK("https://klasma.github.io/Logging_1257/klagomål/A 4112-2025 FSC-klagomål.docx", "A 4112-2025")</f>
        <v/>
      </c>
      <c r="W189">
        <f>HYPERLINK("https://klasma.github.io/Logging_1257/klagomålsmail/A 4112-2025 FSC-klagomål mail.docx", "A 4112-2025")</f>
        <v/>
      </c>
      <c r="X189">
        <f>HYPERLINK("https://klasma.github.io/Logging_1257/tillsyn/A 4112-2025 tillsynsbegäran.docx", "A 4112-2025")</f>
        <v/>
      </c>
      <c r="Y189">
        <f>HYPERLINK("https://klasma.github.io/Logging_1257/tillsynsmail/A 4112-2025 tillsynsbegäran mail.docx", "A 4112-2025")</f>
        <v/>
      </c>
    </row>
    <row r="190" ht="15" customHeight="1">
      <c r="A190" t="inlineStr">
        <is>
          <t>A 4595-2025</t>
        </is>
      </c>
      <c r="B190" s="1" t="n">
        <v>45687</v>
      </c>
      <c r="C190" s="1" t="n">
        <v>45752</v>
      </c>
      <c r="D190" t="inlineStr">
        <is>
          <t>SKÅNE LÄN</t>
        </is>
      </c>
      <c r="E190" t="inlineStr">
        <is>
          <t>HÄSSLEHOLM</t>
        </is>
      </c>
      <c r="G190" t="n">
        <v>2.6</v>
      </c>
      <c r="H190" t="n">
        <v>1</v>
      </c>
      <c r="I190" t="n">
        <v>1</v>
      </c>
      <c r="J190" t="n">
        <v>0</v>
      </c>
      <c r="K190" t="n">
        <v>0</v>
      </c>
      <c r="L190" t="n">
        <v>0</v>
      </c>
      <c r="M190" t="n">
        <v>0</v>
      </c>
      <c r="N190" t="n">
        <v>0</v>
      </c>
      <c r="O190" t="n">
        <v>0</v>
      </c>
      <c r="P190" t="n">
        <v>0</v>
      </c>
      <c r="Q190" t="n">
        <v>2</v>
      </c>
      <c r="R190" s="2" t="inlineStr">
        <is>
          <t>Blåmossa
Tjäder</t>
        </is>
      </c>
      <c r="S190">
        <f>HYPERLINK("https://klasma.github.io/Logging_1293/artfynd/A 4595-2025 artfynd.xlsx", "A 4595-2025")</f>
        <v/>
      </c>
      <c r="T190">
        <f>HYPERLINK("https://klasma.github.io/Logging_1293/kartor/A 4595-2025 karta.png", "A 4595-2025")</f>
        <v/>
      </c>
      <c r="V190">
        <f>HYPERLINK("https://klasma.github.io/Logging_1293/klagomål/A 4595-2025 FSC-klagomål.docx", "A 4595-2025")</f>
        <v/>
      </c>
      <c r="W190">
        <f>HYPERLINK("https://klasma.github.io/Logging_1293/klagomålsmail/A 4595-2025 FSC-klagomål mail.docx", "A 4595-2025")</f>
        <v/>
      </c>
      <c r="X190">
        <f>HYPERLINK("https://klasma.github.io/Logging_1293/tillsyn/A 4595-2025 tillsynsbegäran.docx", "A 4595-2025")</f>
        <v/>
      </c>
      <c r="Y190">
        <f>HYPERLINK("https://klasma.github.io/Logging_1293/tillsynsmail/A 4595-2025 tillsynsbegäran mail.docx", "A 4595-2025")</f>
        <v/>
      </c>
      <c r="Z190">
        <f>HYPERLINK("https://klasma.github.io/Logging_1293/fåglar/A 4595-2025 prioriterade fågelarter.docx", "A 4595-2025")</f>
        <v/>
      </c>
    </row>
    <row r="191" ht="15" customHeight="1">
      <c r="A191" t="inlineStr">
        <is>
          <t>A 8253-2025</t>
        </is>
      </c>
      <c r="B191" s="1" t="n">
        <v>45708</v>
      </c>
      <c r="C191" s="1" t="n">
        <v>45752</v>
      </c>
      <c r="D191" t="inlineStr">
        <is>
          <t>SKÅNE LÄN</t>
        </is>
      </c>
      <c r="E191" t="inlineStr">
        <is>
          <t>HÄSSLEHOLM</t>
        </is>
      </c>
      <c r="G191" t="n">
        <v>2</v>
      </c>
      <c r="H191" t="n">
        <v>2</v>
      </c>
      <c r="I191" t="n">
        <v>0</v>
      </c>
      <c r="J191" t="n">
        <v>1</v>
      </c>
      <c r="K191" t="n">
        <v>0</v>
      </c>
      <c r="L191" t="n">
        <v>1</v>
      </c>
      <c r="M191" t="n">
        <v>0</v>
      </c>
      <c r="N191" t="n">
        <v>0</v>
      </c>
      <c r="O191" t="n">
        <v>2</v>
      </c>
      <c r="P191" t="n">
        <v>1</v>
      </c>
      <c r="Q191" t="n">
        <v>2</v>
      </c>
      <c r="R191" s="2" t="inlineStr">
        <is>
          <t>Grönfink
Entita</t>
        </is>
      </c>
      <c r="S191">
        <f>HYPERLINK("https://klasma.github.io/Logging_1293/artfynd/A 8253-2025 artfynd.xlsx", "A 8253-2025")</f>
        <v/>
      </c>
      <c r="T191">
        <f>HYPERLINK("https://klasma.github.io/Logging_1293/kartor/A 8253-2025 karta.png", "A 8253-2025")</f>
        <v/>
      </c>
      <c r="V191">
        <f>HYPERLINK("https://klasma.github.io/Logging_1293/klagomål/A 8253-2025 FSC-klagomål.docx", "A 8253-2025")</f>
        <v/>
      </c>
      <c r="W191">
        <f>HYPERLINK("https://klasma.github.io/Logging_1293/klagomålsmail/A 8253-2025 FSC-klagomål mail.docx", "A 8253-2025")</f>
        <v/>
      </c>
      <c r="X191">
        <f>HYPERLINK("https://klasma.github.io/Logging_1293/tillsyn/A 8253-2025 tillsynsbegäran.docx", "A 8253-2025")</f>
        <v/>
      </c>
      <c r="Y191">
        <f>HYPERLINK("https://klasma.github.io/Logging_1293/tillsynsmail/A 8253-2025 tillsynsbegäran mail.docx", "A 8253-2025")</f>
        <v/>
      </c>
      <c r="Z191">
        <f>HYPERLINK("https://klasma.github.io/Logging_1293/fåglar/A 8253-2025 prioriterade fågelarter.docx", "A 8253-2025")</f>
        <v/>
      </c>
    </row>
    <row r="192" ht="15" customHeight="1">
      <c r="A192" t="inlineStr">
        <is>
          <t>A 8257-2025</t>
        </is>
      </c>
      <c r="B192" s="1" t="n">
        <v>45708</v>
      </c>
      <c r="C192" s="1" t="n">
        <v>45752</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45752</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45752</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45752</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45752</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45752</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45752</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45752</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45752</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45752</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45752</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45752</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45752</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45752</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45752</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45752</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45752</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45752</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45752</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45752</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45752</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45752</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45752</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45752</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45752</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45752</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45752</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45752</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45752</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45752</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45752</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45752</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45752</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45752</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45752</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45752</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45752</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45752</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45752</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45752</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45752</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45752</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45752</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45752</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45752</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45752</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45752</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45752</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45752</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45752</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45752</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45752</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45752</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45752</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45752</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45752</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45752</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45752</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45752</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45752</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45752</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45752</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45752</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45752</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45752</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45752</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45752</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45752</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45752</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45752</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45752</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45752</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45752</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45752</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45752</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45752</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45752</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45752</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45752</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45752</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45752</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45752</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45752</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45752</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45752</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45752</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45752</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45752</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45752</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45752</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45752</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45752</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45752</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45752</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45752</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45752</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45752</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45752</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45752</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45752</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45752</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45752</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45752</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45752</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45752</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45752</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45752</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45752</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45752</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45752</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45752</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45752</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45752</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45752</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45752</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45752</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45752</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45752</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45752</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45752</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45752</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45752</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45752</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45752</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45752</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45752</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45752</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45752</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45752</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45752</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45752</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45752</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45752</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45752</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45752</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45752</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45752</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45752</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45752</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45752</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45752</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45752</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45752</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45752</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45752</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45752</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45752</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45752</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45752</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45752</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45752</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45752</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45752</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45752</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45752</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45752</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45752</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45752</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45752</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45752</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45752</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45752</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45752</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45752</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45752</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45752</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45752</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45752</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45752</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45752</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45752</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45752</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45752</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45752</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45752</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45752</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45752</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45752</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45752</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45752</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45752</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45752</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45752</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45752</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45752</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45752</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45752</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45752</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45752</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45752</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45752</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45752</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45752</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45752</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45752</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45752</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45752</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45752</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45752</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45752</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45752</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45752</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45752</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45752</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45752</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45752</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45752</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45752</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45752</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45752</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45752</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45752</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45752</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45752</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45752</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45752</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45752</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45752</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45752</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45752</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45752</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45752</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45752</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45752</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45752</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45752</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45752</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45752</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45752</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45752</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45752</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45752</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45752</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45752</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45752</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45752</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45752</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45752</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45752</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45752</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45752</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45752</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45752</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45752</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45752</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45752</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45752</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45752</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45752</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45752</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45752</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45752</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45752</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45752</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45752</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45752</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45752</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45752</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45752</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45752</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45752</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45752</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45752</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45752</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45752</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45752</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45752</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45752</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45752</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45752</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45752</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45752</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45752</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45752</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45752</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45752</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45752</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45752</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45752</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45752</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45752</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45752</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45752</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45752</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45752</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45752</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45752</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45752</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45752</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45752</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45752</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45752</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45752</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45752</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45752</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45752</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45752</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45752</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45752</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45752</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45752</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45752</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45752</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45752</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45752</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45752</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45752</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45752</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45752</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45752</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45752</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45752</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45752</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45752</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45752</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45752</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45752</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45752</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45752</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45752</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45752</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45752</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45752</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45752</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45752</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45752</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45752</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45752</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45752</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45752</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45752</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45752</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45752</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45752</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45752</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45752</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45752</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45752</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45752</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45752</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45752</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45752</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45752</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45752</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45752</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45752</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45752</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45752</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45752</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45752</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45752</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45752</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45752</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45752</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45752</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45752</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45752</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45752</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45752</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45752</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45752</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45752</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45752</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45752</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45752</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45752</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45752</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45752</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45752</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45752</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45752</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45752</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45752</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45752</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45752</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45752</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45752</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45752</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45752</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45752</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45752</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45752</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45752</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45752</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45752</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45752</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45752</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45752</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45752</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45752</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45752</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45752</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45752</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45752</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45752</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45752</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45752</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45752</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45752</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45752</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45752</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45752</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45752</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45752</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45752</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45752</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45752</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45752</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45752</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45752</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45752</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45752</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45752</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45752</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45752</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45752</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45752</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45752</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45752</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45752</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45752</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45752</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45752</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45752</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45752</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45752</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45752</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45752</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45752</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45752</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45752</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45752</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45752</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45752</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45752</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45752</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45752</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45752</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45752</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45752</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45752</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45752</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45752</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45752</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45752</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45752</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45752</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45752</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45752</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45752</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45752</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45752</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45752</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45752</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45752</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45752</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45752</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45752</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45752</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45752</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45752</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45752</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45752</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45752</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45752</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45752</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45752</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45752</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45752</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45752</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45752</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45752</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45752</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45752</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45752</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45752</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45752</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45752</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45752</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45752</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45752</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45752</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45752</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45752</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45752</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45752</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45752</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45752</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45752</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45752</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45752</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45752</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45752</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45752</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45752</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45752</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45752</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45752</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45752</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45752</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45752</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45752</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45752</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45752</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45752</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45752</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45752</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45752</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45752</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45752</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45752</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45752</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45752</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45752</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45752</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45752</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45752</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45752</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45752</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45752</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45752</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45752</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45752</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45752</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45752</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45752</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45752</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45752</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45752</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45752</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45752</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45752</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45752</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45752</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45752</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45752</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45752</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45752</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45752</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45752</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45752</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45752</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45752</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45752</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45752</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45752</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45752</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45752</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45752</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45752</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45752</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45752</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45752</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45752</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45752</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45752</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45752</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45752</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45752</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45752</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45752</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45752</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45752</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45752</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45752</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45752</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45752</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45752</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45752</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45752</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45752</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45752</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45752</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45752</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45752</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45752</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45752</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45752</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45752</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45752</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45752</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45752</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45752</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45752</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45752</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45752</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45752</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45752</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45752</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45752</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45752</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45752</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45752</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45752</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45752</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45752</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45752</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45752</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45752</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45752</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45752</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45752</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45752</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45752</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45752</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45752</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45752</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45752</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45752</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45752</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45752</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45752</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45752</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45752</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45752</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45752</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45752</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45752</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45752</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45752</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45752</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45752</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45752</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45752</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45752</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45752</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45752</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45752</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45752</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45752</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45752</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45752</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45752</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45752</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45752</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45752</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45752</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45752</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45752</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45752</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45752</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45752</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45752</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45752</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45752</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45752</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45752</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45752</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45752</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45752</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45752</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45752</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45752</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45752</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45752</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45752</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45752</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45752</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45752</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45752</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45752</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45752</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45752</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45752</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45752</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45752</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45752</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45752</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45752</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45752</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45752</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45752</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45752</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45752</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45752</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45752</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45752</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45752</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45752</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45752</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45752</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45752</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45752</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45752</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45752</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45752</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45752</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45752</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45752</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45752</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45752</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45752</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45752</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45752</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45752</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45752</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45752</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45752</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45752</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45752</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45752</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45752</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45752</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45752</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45752</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45752</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45752</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45752</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45752</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45752</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45752</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45752</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45752</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45752</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45752</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45752</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45752</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45752</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45752</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45752</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45752</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45752</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45752</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45752</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45752</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45752</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45752</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45752</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45752</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45752</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45752</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45752</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45752</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45752</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45752</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45752</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45752</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45752</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45752</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45752</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45752</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45752</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45752</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45752</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45752</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45752</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45752</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45752</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45752</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45752</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45752</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45752</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45752</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45752</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45752</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45752</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45752</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45752</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45752</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45752</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45752</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45752</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45752</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45752</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45752</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45752</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45752</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45752</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45752</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45752</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45752</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45752</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45752</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45752</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45752</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45752</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45752</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45752</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45752</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45752</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45752</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45752</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45752</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45752</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45752</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45752</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45752</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45752</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45752</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45752</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45752</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45752</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45752</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45752</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45752</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45752</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45752</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45752</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45752</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45752</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45752</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45752</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45752</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45752</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45752</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45752</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45752</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45752</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45752</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45752</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45752</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45752</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45752</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45752</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45752</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45752</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45752</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45752</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45752</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45752</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45752</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45752</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45752</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45752</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45752</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45752</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45752</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45752</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45752</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45752</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45752</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45752</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45752</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45752</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45752</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45752</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45752</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45752</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45752</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45752</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45752</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45752</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45752</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45752</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45752</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45752</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45752</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45752</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45752</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45752</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45752</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45752</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45752</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45752</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45752</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45752</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45752</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45752</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45752</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45752</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45752</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45752</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45752</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45752</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45752</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45752</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45752</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45752</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45752</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45752</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45752</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45752</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45752</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45752</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45752</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45752</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45752</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45752</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45752</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45752</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45752</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45752</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45752</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45752</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45752</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45752</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45752</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45752</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45752</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45752</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45752</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45752</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45752</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45752</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45752</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45752</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45752</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45752</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45752</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45752</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45752</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45752</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45752</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45752</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45752</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45752</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45752</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45752</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45752</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45752</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45752</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45752</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45752</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45752</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45752</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45752</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45752</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45752</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45752</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45752</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45752</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45752</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45752</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45752</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45752</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45752</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45752</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45752</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45752</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45752</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45752</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45752</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45752</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45752</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45752</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45752</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45752</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45752</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45752</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45752</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45752</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45752</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45752</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45752</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45752</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45752</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45752</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45752</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45752</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45752</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45752</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45752</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45752</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45752</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45752</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45752</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45752</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45752</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45752</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45752</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45752</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45752</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45752</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45752</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45752</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45752</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45752</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45752</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45752</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45752</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45752</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45752</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45752</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45752</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45752</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45752</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45752</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45752</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45752</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45752</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45752</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45752</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45752</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45752</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45752</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45752</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45752</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45752</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45752</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45752</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45752</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45752</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45752</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45752</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45752</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45752</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45752</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45752</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45752</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45752</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45752</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45752</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45752</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45752</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45752</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45752</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45752</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45752</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45752</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45752</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45752</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45752</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45752</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45752</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45752</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45752</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45752</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45752</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45752</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45752</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45752</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45752</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45752</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45752</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45752</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45752</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45752</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45752</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45752</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45752</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45752</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45752</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45752</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45752</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45752</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45752</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45752</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45752</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45752</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45752</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45752</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45752</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45752</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45752</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45752</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45752</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45752</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45752</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45752</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45752</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45752</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45752</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45752</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45752</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45752</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45752</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45752</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45752</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45752</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45752</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45752</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45752</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45752</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45752</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45752</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45752</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45752</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45752</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45752</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45752</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45752</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45752</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45752</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45752</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45752</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45752</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45752</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45752</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45752</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45752</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45752</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45752</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45752</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45752</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45752</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45752</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45752</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45752</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45752</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45752</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45752</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45752</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45752</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45752</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45752</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45752</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45752</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45752</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45752</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45752</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45752</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45752</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45752</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45752</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45752</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45752</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45752</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45752</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45752</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45752</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45752</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45752</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45752</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45752</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45752</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45752</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45752</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45752</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45752</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45752</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45752</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45752</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45752</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45752</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45752</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45752</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45752</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45752</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45752</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45752</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45752</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45752</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45752</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45752</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45752</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45752</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45752</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45752</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45752</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45752</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45752</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45752</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45752</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45752</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45752</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45752</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45752</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45752</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45752</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45752</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45752</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45752</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45752</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45752</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45752</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45752</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45752</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45752</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45752</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45752</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45752</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45752</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45752</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45752</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45752</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45752</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45752</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45752</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45752</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45752</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45752</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45752</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45752</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45752</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45752</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45752</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45752</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45752</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45752</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45752</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45752</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45752</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45752</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45752</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45752</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45752</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45752</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45752</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45752</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45752</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45752</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45752</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45752</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45752</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45752</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45752</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45752</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45752</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45752</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45752</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45752</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45752</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45752</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45752</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45752</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45752</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45752</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45752</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45752</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45752</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45752</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45752</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45752</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45752</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45752</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45752</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45752</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45752</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45752</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45752</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45752</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45752</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45752</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45752</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45752</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45752</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45752</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45752</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45752</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45752</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45752</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45752</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45752</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45752</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45752</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45752</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45752</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45752</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45752</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45752</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45752</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45752</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45752</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45752</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45752</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45752</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45752</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45752</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45752</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45752</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45752</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45752</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45752</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45752</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45752</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45752</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45752</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45752</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45752</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45752</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45752</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45752</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45752</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45752</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45752</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45752</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45752</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45752</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45752</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45752</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45752</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45752</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45752</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45752</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45752</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45752</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45752</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45752</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45752</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45752</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45752</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45752</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45752</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45752</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45752</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45752</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45752</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45752</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45752</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45752</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45752</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45752</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45752</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45752</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45752</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45752</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45752</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45752</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45752</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45752</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45752</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45752</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45752</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45752</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45752</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45752</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45752</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45752</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45752</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45752</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45752</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45752</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45752</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45752</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45752</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45752</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45752</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45752</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45752</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45752</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45752</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45752</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45752</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45752</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45752</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45752</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45752</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45752</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45752</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45752</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45752</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45752</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45752</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45752</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45752</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45752</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45752</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45752</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45752</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45752</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45752</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45752</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45752</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45752</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45752</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45752</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45752</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45752</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45752</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45752</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45752</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45752</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45752</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45752</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45752</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45752</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45752</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45752</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45752</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45752</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45752</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45752</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45752</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45752</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45752</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45752</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45752</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45752</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45752</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45752</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45752</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45752</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45752</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45752</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45752</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45752</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45752</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45752</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45752</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45752</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45752</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45752</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45752</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45752</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45752</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45752</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45752</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45752</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45752</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45752</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45752</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45752</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45752</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45752</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45752</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45752</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45752</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45752</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45752</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45752</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45752</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45752</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45752</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45752</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45752</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45752</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45752</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45752</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45752</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45752</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45752</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45752</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45752</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45752</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45752</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45752</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45752</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45752</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45752</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45752</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45752</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45752</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45752</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45752</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45752</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45752</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45752</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45752</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45752</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45752</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45752</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45752</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45752</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45752</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45752</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45752</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45752</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45752</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45752</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45752</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45752</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45752</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45752</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45752</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45752</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45752</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45752</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45752</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45752</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45752</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45752</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45752</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45752</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45752</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45752</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45752</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45752</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45752</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45752</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45752</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45752</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45752</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45752</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45752</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45752</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45752</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45752</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45752</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45752</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45752</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45752</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45752</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45752</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45752</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45752</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45752</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45752</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45752</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45752</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45752</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45752</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45752</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45752</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45752</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45752</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45752</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45752</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45752</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45752</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45752</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45752</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45752</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45752</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45752</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45752</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45752</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45752</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45752</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45752</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45752</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45752</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45752</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45752</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45752</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45752</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45752</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45752</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45752</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45752</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45752</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45752</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45752</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45752</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45752</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45752</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45752</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45752</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45752</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45752</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45752</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45752</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45752</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45752</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45752</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45752</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45752</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45752</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45752</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45752</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45752</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45752</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45752</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45752</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45752</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45752</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45752</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45752</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45752</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45752</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45752</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45752</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45752</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45752</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45752</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45752</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45752</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45752</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45752</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45752</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45752</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45752</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45752</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45752</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45752</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45752</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45752</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45752</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45752</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45752</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45752</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45752</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45752</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45752</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45752</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45752</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45752</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45752</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45752</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45752</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45752</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45752</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45752</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45752</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45752</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45752</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45752</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45752</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45752</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45752</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45752</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45752</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45752</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45752</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45752</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45752</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45752</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45752</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45752</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45752</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45752</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45752</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45752</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45752</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45752</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45752</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45752</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45752</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45752</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45752</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45752</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45752</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45752</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45752</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45752</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45752</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45752</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45752</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45752</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45752</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45752</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45752</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45752</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45752</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45752</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45752</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45752</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45752</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45752</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45752</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45752</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45752</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45752</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45752</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45752</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45752</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45752</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45752</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45752</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45752</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45752</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45752</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45752</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45752</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45752</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45752</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45752</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45752</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45752</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45752</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45752</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45752</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45752</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45752</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45752</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45752</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45752</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45752</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45752</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45752</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45752</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45752</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45752</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45752</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45752</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45752</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45752</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45752</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45752</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45752</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45752</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45752</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45752</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45752</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45752</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45752</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45752</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45752</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45752</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45752</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45752</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45752</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45752</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45752</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45752</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45752</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45752</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45752</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45752</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45752</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45752</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45752</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45752</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45752</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45752</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45752</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45752</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45752</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45752</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45752</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45752</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45752</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45752</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45752</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45752</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45752</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45752</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45752</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45752</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45752</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45752</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45752</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45752</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45752</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45752</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45752</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45752</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45752</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45752</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45752</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45752</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45752</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45752</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45752</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45752</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45752</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45752</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45752</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45752</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45752</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45752</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45752</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45752</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45752</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45752</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45752</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45752</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45752</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45752</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45752</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45752</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45752</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45752</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45752</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45752</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45752</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45752</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45752</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45752</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45752</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45752</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45752</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45752</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45752</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45752</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45752</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45752</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45752</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45752</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45752</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45752</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45752</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45752</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45752</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45752</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45752</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45752</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45752</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45752</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45752</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45752</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45752</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45752</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45752</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45752</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45752</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45752</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45752</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45752</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45752</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45752</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45752</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45752</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45752</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45752</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45752</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45752</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45752</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45752</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45752</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45752</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45752</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45752</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45752</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45752</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45752</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45752</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45752</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45752</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45752</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45752</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45752</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45752</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45752</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45752</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45752</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45752</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45752</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45752</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45752</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45752</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45752</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45752</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45752</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45752</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45752</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45752</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45752</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45752</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45752</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45752</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45752</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45752</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45752</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45752</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45752</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45752</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45752</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45752</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45752</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45752</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45752</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45752</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45752</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45752</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45752</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45752</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45752</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45752</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45752</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45752</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45752</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45752</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45752</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45752</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45752</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45752</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45752</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45752</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45752</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45752</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45752</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45752</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45752</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45752</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45752</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45752</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45752</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45752</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45752</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45752</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45752</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45752</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45752</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45752</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45752</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45752</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45752</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45752</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45752</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45752</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45752</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45752</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45752</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45752</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45752</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45752</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45752</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45752</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45752</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45752</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45752</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45752</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45752</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45752</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45752</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45752</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45752</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45752</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45752</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45752</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45752</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45752</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45752</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45752</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45752</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45752</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45752</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45752</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45752</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45752</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45752</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45752</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45752</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45752</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45752</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45752</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45752</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45752</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45752</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45752</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45752</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45752</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45752</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45752</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45752</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45752</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45752</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45752</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45752</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45752</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45752</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45752</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45752</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45752</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45752</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45752</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45752</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45752</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45752</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45752</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45752</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45752</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45752</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45752</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45752</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45752</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45752</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45752</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45752</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45752</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45752</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45752</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45752</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45752</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45752</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45752</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45752</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45752</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45752</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45752</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45752</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45752</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45752</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45752</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45752</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45752</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45752</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45752</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45752</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45752</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45752</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45752</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45752</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45752</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45752</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45752</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45752</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45752</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45752</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45752</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45752</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45752</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45752</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45752</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45752</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45752</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45752</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45752</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45752</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45752</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45752</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45752</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45752</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45752</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45752</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45752</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45752</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45752</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45752</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45752</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45752</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45752</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45752</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45752</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45752</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45752</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45752</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45752</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45752</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45752</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45752</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45752</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45752</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45752</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45752</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45752</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45752</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45752</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45752</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45752</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45752</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45752</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45752</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45752</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45752</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45752</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45752</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45752</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45752</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45752</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45752</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45752</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45752</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45752</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45752</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45752</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45752</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45752</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45752</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45752</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45752</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45752</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45752</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45752</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45752</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45752</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45752</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45752</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45752</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45752</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45752</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45752</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45752</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45752</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45752</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45752</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45752</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45752</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45752</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45752</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45752</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45752</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45752</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45752</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45752</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45752</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45752</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45752</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45752</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45752</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45752</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45752</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45752</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45752</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45752</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45752</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45752</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45752</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45752</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45752</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45752</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45752</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45752</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45752</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45752</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45752</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45752</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45752</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45752</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45752</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45752</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45752</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45752</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45752</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45752</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45752</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45752</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45752</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45752</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45752</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45752</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45752</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45752</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45752</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45752</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45752</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45752</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45752</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45752</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45752</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45752</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45752</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45752</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45752</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45752</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45752</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45752</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45752</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45752</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45752</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45752</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45752</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45752</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45752</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45752</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45752</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45752</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45752</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45752</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45752</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45752</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45752</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45752</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45752</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45752</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45752</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45752</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45752</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45752</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45752</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45752</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45752</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45752</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45752</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45752</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45752</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45752</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45752</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45752</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45752</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45752</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45752</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45752</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45752</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45752</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45752</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45752</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45752</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45752</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45752</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45752</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45752</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45752</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45752</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45752</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45752</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45752</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45752</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45752</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45752</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45752</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45752</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45752</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45752</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45752</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45752</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45752</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45752</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45752</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45752</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45752</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45752</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45752</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45752</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45752</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45752</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45752</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45752</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45752</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45752</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45752</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45752</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45752</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45752</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45752</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45752</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45752</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45752</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45752</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45752</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45752</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45752</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45752</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45752</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45752</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45752</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45752</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45752</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45752</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45752</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45752</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45752</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45752</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45752</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45752</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45752</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45752</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45752</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45752</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45752</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45752</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45752</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45752</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45752</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45752</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45752</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45752</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45752</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45752</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45752</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45752</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45752</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45752</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45752</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45752</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45752</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45752</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45752</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45752</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45752</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45752</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45752</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45752</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45752</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45752</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45752</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45752</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45752</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45752</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45752</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45752</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45752</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45752</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45752</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45752</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45752</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45752</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45752</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45752</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45752</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45752</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45752</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45752</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45752</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45752</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45752</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45752</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45752</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45752</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45752</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45752</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45752</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45752</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45752</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45752</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45752</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45752</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45752</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45752</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45752</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45752</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45752</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45752</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45752</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45752</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45752</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45752</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45752</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45752</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45752</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45752</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45752</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45752</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45752</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45752</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45752</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45752</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45752</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45752</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45752</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45752</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45752</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45752</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45752</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45752</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45752</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45752</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45752</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45752</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45752</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45752</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45752</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45752</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45752</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45752</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45752</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45752</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45752</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45752</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45752</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45752</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45752</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45752</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45752</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45752</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45752</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45752</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45752</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45752</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45752</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45752</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45752</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45752</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45752</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45752</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45752</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45752</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45752</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45752</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45752</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45752</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45752</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45752</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45752</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45752</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45752</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45752</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45752</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45752</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45752</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45752</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45752</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45752</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45752</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45752</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45752</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45752</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45752</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45752</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45752</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45752</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45752</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45752</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45752</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45752</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45752</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45752</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45752</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45752</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45752</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45752</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45752</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45752</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45752</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45752</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45752</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45752</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45752</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45752</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45752</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45752</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45752</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45752</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45752</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45752</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45752</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45752</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45752</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45752</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45752</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45752</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45752</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45752</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45752</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45752</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45752</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45752</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45752</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45752</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45752</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45752</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45752</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45752</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45752</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45752</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45752</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45752</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45752</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45752</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45752</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45752</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45752</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45752</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45752</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45752</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45752</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45752</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45752</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45752</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45752</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45752</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45752</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45752</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45752</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45752</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45752</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45752</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45752</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45752</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45752</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45752</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45752</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45752</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45752</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45752</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45752</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45752</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45752</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45752</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45752</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45752</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45752</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45752</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45752</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45752</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45752</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45752</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45752</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45752</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45752</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45752</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45752</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45752</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45752</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45752</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45752</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45752</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45752</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45752</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45752</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45752</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45752</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45752</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45752</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45752</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45752</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45752</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45752</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45752</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45752</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45752</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45752</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45752</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45752</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45752</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45752</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45752</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45752</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45752</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45752</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45752</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45752</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45752</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45752</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45752</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45752</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45752</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45752</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45752</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45752</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45752</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45752</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45752</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45752</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45752</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45752</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45752</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45752</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45752</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45752</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45752</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45752</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45752</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45752</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45752</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45752</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45752</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45752</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45752</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45752</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45752</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45752</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45752</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45752</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45752</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45752</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45752</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45752</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45752</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45752</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45752</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45752</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45752</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45752</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45752</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45752</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45752</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45752</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45752</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45752</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45752</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45752</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45752</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45752</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45752</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45752</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45752</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45752</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45752</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45752</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45752</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45752</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45752</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45752</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45752</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45752</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45752</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45752</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45752</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45752</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45752</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45752</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45752</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45752</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45752</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45752</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45752</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45752</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45752</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45752</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45752</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45752</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45752</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45752</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45752</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45752</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45752</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45752</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45752</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45752</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45752</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45752</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45752</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45752</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45752</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45752</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45752</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45752</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45752</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45752</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45752</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45752</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45752</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45752</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45752</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45752</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45752</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45752</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45752</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45752</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45752</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45752</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45752</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45752</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45752</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45752</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45752</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45752</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45752</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45752</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45752</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45752</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45752</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45752</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45752</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45752</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45752</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45752</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45752</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45752</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45752</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45752</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45752</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45752</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45752</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45752</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45752</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45752</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45752</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45752</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45752</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45752</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45752</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45752</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45752</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45752</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45752</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45752</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45752</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45752</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45752</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45752</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45752</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45752</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45752</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45752</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45752</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45752</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45752</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45752</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45752</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45752</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45752</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45752</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45752</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45752</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45752</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45752</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45752</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45752</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45752</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45752</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45752</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45752</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45752</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45752</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45752</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45752</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45752</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45752</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45752</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45752</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45752</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45752</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45752</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45752</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45752</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45752</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45752</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45752</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45752</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45752</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45752</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45752</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45752</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45752</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45752</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45752</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45752</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45752</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45752</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45752</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45752</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45752</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45752</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45752</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45752</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45752</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45752</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45752</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45752</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45752</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45752</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45752</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45752</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45752</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45752</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45752</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45752</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45752</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45752</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45752</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45752</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45752</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45752</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45752</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45752</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45752</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45752</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45752</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45752</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45752</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45752</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45752</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45752</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45752</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45752</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45752</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45752</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45752</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45752</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45752</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45752</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45752</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45752</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45752</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45752</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45752</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45752</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45752</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45752</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45752</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45752</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45752</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45752</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45752</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45752</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45752</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45752</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45752</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45752</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45752</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45752</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45752</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45752</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45752</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45752</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45752</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45752</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45752</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45752</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45752</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45752</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45752</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45752</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45752</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45752</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45752</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45752</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45752</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45752</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45752</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45752</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45752</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45752</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45752</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45752</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45752</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45752</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45752</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45752</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45752</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45752</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45752</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45752</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45752</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45752</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45752</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45752</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45752</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45752</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45752</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45752</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45752</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45752</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45752</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45752</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45752</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45752</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45752</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45752</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45752</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45752</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45752</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45752</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45752</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45752</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45752</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45752</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45752</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45752</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45752</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45752</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45752</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45752</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45752</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45752</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45752</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45752</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45752</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45752</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45752</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45752</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45752</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45752</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45752</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45752</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45752</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45752</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45752</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45752</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45752</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45752</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45752</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45752</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45752</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45752</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45752</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45752</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45752</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45752</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45752</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45752</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45752</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45752</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45752</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45752</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45752</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45752</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45752</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45752</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45752</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45752</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45752</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45752</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45752</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45752</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45752</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45752</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45752</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45752</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45752</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45752</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45752</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45752</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45752</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45752</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45752</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45752</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45752</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45752</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45752</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45752</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45752</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45752</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45752</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45752</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45752</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45752</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45752</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45752</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45752</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45752</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45752</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45752</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45752</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45752</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45752</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45752</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45752</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45752</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45752</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45752</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45752</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45752</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45752</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45752</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45752</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45752</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45752</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45752</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45752</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45752</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45752</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45752</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45752</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45752</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45752</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45752</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45752</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45752</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45752</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45752</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45752</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45752</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45752</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45752</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45752</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45752</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45752</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45752</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45752</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45752</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45752</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45752</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45752</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45752</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45752</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45752</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45752</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45752</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45752</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45752</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45752</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45752</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45752</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45752</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45752</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45752</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45752</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45752</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45752</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45752</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45752</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45752</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45752</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45752</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45752</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45752</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45752</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45752</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45752</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45752</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45752</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45752</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45752</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45752</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45752</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45752</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45752</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45752</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45752</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45752</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45752</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45752</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45752</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45752</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45752</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45752</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45752</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45752</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45752</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45752</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45752</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45752</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45752</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45752</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45752</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45752</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45752</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45752</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45752</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45752</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45752</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45752</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45752</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45752</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45752</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45752</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45752</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45752</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45752</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45752</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45752</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45752</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45752</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45752</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45752</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45752</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45752</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45752</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45752</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45752</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45752</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45752</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45752</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45752</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45752</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45752</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45752</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45752</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45752</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45752</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45752</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45752</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45752</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45752</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45752</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45752</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45752</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45752</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45752</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45752</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45752</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45752</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45752</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45752</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45752</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45752</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45752</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45752</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45752</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45752</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45752</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45752</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45752</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45752</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45752</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45752</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45752</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45752</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45752</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45752</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45752</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45752</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45752</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45752</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45752</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45752</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45752</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45752</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45752</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45752</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45752</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45752</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45752</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45752</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45752</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45752</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45752</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45752</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45752</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45752</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45752</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45752</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45752</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45752</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45752</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45752</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45752</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45752</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45752</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45752</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45752</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45752</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45752</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45752</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45752</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45752</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45752</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45752</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45752</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45752</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45752</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45752</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45752</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45752</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45752</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45752</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45752</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45752</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45752</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45752</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45752</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45752</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45752</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45752</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45752</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45752</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45752</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45752</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45752</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45752</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45752</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45752</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45752</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45752</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45752</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45752</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45752</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45752</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45752</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45752</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45752</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45752</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45752</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45752</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45752</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45752</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45752</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45752</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45752</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45752</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45752</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45752</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45752</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45752</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45752</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45752</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45752</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45752</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45752</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45752</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45752</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45752</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45752</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45752</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45752</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45752</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45752</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45752</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45752</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45752</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45752</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45752</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45752</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45752</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45752</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45752</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45752</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45752</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45752</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45752</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45752</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45752</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45752</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45752</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45752</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45752</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45752</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45752</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45752</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45752</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45752</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45752</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45752</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45752</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45752</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45752</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45752</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45752</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45752</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45752</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45752</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45752</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45752</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45752</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45752</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45752</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45752</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45752</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45752</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45752</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45752</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45752</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45752</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45752</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45752</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45752</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45752</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45752</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45752</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45752</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45752</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45752</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45752</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45752</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45752</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45752</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45752</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45752</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45752</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45752</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45752</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45752</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45752</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45752</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45752</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45752</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45752</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45752</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45752</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45752</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45752</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45752</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45752</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45752</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45752</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45752</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45752</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45752</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45752</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45752</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45752</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45752</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45752</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45752</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45752</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45752</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45752</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45752</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45752</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45752</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45752</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45752</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45752</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45752</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45752</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45752</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45752</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45752</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45752</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45752</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45752</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45752</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45752</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45752</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45752</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45752</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45752</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45752</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45752</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45752</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45752</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45752</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45752</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45752</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45752</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45752</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45752</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45752</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45752</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45752</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45752</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45752</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45752</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45752</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45752</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45752</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45752</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45752</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45752</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45752</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45752</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45752</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45752</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45752</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45752</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45752</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45752</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45752</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45752</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45752</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45752</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45752</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45752</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45752</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45752</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45752</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45752</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45752</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45752</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45752</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45752</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45752</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45752</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45752</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45752</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45752</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45752</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45752</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45752</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45752</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45752</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45752</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45752</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45752</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45752</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45752</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45752</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45752</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45752</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45752</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45752</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45752</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45752</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45752</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45752</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45752</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45752</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45752</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45752</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45752</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45752</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45752</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45752</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45752</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45752</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45752</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45752</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45752</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45752</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45752</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45752</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45752</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45752</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45752</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45752</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45752</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45752</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45752</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45752</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45752</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45752</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45752</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45752</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45752</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45752</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45752</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45752</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45752</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45752</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45752</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45752</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45752</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45752</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45752</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45752</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45752</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45752</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45752</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45752</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45752</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45752</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45752</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45752</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45752</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45752</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45752</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45752</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45752</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45752</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45752</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45752</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45752</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45752</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45752</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45752</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45752</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45752</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45752</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45752</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45752</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45752</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45752</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45752</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45752</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45752</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45752</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45752</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45752</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45752</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45752</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45752</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45752</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45752</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45752</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45752</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45752</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45752</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45752</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45752</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45752</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45752</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45752</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45752</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45752</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45752</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45752</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45752</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45752</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45752</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45752</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45752</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45752</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45752</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45752</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45752</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45752</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45752</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45752</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45752</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45752</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45752</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45752</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45752</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45752</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45752</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45752</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45752</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45752</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45752</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45752</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45752</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45752</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45752</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45752</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45752</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45752</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45752</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45752</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45752</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45752</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45752</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45752</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45752</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45752</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45752</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45752</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45752</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45752</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45752</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45752</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45752</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45752</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45752</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45752</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45752</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45752</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45752</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45752</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45752</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45752</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45752</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45752</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45752</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45752</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45752</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45752</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45752</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45752</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45752</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45752</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45752</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45752</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45752</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45752</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45752</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45752</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45752</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45752</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45752</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45752</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45752</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45752</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45752</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45752</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45752</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45752</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45752</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45752</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45752</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45752</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45752</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45752</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45752</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45752</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45752</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45752</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45752</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45752</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45752</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45752</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45752</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45752</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45752</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45752</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45752</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45752</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45752</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45752</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45752</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45752</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45752</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45752</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45752</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45752</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45752</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45752</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45752</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45752</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45752</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45752</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45752</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45752</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45752</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45752</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45752</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45752</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45752</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45752</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45752</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45752</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45752</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45752</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45752</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45752</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45752</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45752</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45752</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45752</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45752</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45752</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45752</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45752</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45752</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45752</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45752</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45752</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45752</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45752</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45752</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45752</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45752</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45752</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45752</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45752</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45752</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45752</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45752</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45752</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45752</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45752</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45752</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45752</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45752</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45752</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45752</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45752</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45752</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45752</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45752</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45752</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45752</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45752</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45752</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45752</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45752</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45752</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45752</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45752</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45752</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45752</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45752</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45752</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45752</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45752</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45752</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45752</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45752</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45752</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45752</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45752</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45752</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45752</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45752</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45752</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45752</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45752</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45752</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45752</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45752</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45752</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45752</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45752</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45752</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45752</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45752</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45752</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45752</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45752</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45752</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45752</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45752</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45752</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45752</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45752</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45752</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45752</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45752</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45752</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45752</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45752</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45752</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45752</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45752</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45752</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45752</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45752</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45752</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45752</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45752</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45752</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45752</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45752</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45752</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45752</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45752</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45752</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45752</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45752</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45752</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45752</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45752</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45752</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45752</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45752</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45752</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45752</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45752</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45752</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45752</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45752</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45752</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45752</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45752</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45752</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45752</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45752</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45752</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45752</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45752</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45752</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45752</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45752</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45752</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45752</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45752</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45752</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45752</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45752</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45752</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45752</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45752</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45752</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45752</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45752</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45752</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45752</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45752</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45752</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45752</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45752</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45752</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45752</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45752</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45752</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45752</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45752</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45752</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45752</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45752</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45752</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45752</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45752</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45752</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45752</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45752</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45752</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45752</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45752</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45752</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45752</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45752</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45752</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45752</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45752</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45752</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45752</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45752</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45752</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45752</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45752</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45752</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45752</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45752</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45752</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45752</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45752</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45752</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45752</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45752</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45752</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45752</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45752</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45752</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45752</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45752</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45752</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45752</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45752</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45752</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45752</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45752</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45752</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45752</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45752</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45752</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45752</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45752</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45752</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45752</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45752</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45752</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45752</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45752</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45752</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45752</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45752</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45752</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45752</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45752</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45752</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45752</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45752</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45752</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45752</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45752</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45752</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45752</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45752</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45752</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45752</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45752</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45752</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45752</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45752</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45752</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45752</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45752</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45752</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45752</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45752</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45752</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45752</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45752</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45752</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45752</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45752</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45752</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45752</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45752</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45752</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45752</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45752</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45752</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45752</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45752</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45752</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45752</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45752</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45752</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45752</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45752</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45752</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45752</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45752</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45752</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45752</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45752</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45752</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45752</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45752</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45752</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45752</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45752</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45752</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45752</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45752</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45752</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45752</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45752</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45752</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45752</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45752</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45752</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45752</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45752</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45752</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45752</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45752</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45752</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45752</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45752</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45752</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45752</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45752</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45752</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45752</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45752</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45752</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45752</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45752</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45752</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45752</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45752</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45752</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45752</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45752</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45752</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45752</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45752</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45752</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45752</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45752</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45752</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45752</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45752</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45752</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45752</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45752</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45752</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45752</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45752</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45752</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45752</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45752</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45752</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45752</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45752</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45752</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45752</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45752</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45752</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45752</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45752</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45752</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45752</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45752</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45752</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45752</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45752</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45752</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45752</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45752</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45752</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45752</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45752</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45752</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45752</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45752</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45752</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45752</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45752</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45752</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45752</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45752</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45752</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45752</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45752</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45752</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45752</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45752</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45752</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45752</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45752</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45752</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45752</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45752</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45752</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45752</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45752</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45752</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45752</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45752</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45752</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45752</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45752</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45752</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45752</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45752</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45752</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45752</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45752</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45752</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45752</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45752</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45752</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45752</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45752</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45752</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45752</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45752</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45752</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45752</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45752</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45752</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45752</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45752</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45752</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45752</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45752</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45752</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45752</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45752</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45752</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45752</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45752</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45752</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45752</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45752</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45752</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45752</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45752</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45752</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45752</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45752</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45752</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45752</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45752</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45752</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45752</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45752</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45752</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45752</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45752</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45752</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45752</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45752</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45752</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45752</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45752</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45752</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45752</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45752</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45752</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45752</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45752</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45752</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45752</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45752</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45752</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45752</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45752</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45752</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45752</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45752</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45752</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45752</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45752</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45752</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45752</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45752</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45752</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45752</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45752</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45752</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45752</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45752</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45752</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45752</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45752</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45752</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45752</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45752</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45752</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45752</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45752</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45752</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45752</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45752</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45752</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45752</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45752</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45752</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45752</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45752</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45752</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45752</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45752</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45752</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45752</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45752</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45752</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45752</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45752</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45752</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45752</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45752</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45752</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45752</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45752</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45752</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45752</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45752</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45752</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45752</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45752</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45752</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45752</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45752</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45752</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45752</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45752</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45752</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45752</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45752</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45752</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45752</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45752</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45752</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45752</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45752</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45752</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45752</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45752</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45752</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45752</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45752</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45752</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45752</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45752</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45752</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45752</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45752</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45752</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45752</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45752</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45752</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45752</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45752</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45752</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45752</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45752</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45752</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45752</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45752</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45752</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45752</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45752</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45752</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45752</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45752</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45752</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45752</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45752</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45752</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45752</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45752</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45752</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45752</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45752</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45752</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45752</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45752</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45752</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45752</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45752</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45752</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45752</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45752</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45752</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45752</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45752</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45752</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45752</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45752</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45752</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45752</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45752</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45752</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45752</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45752</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45752</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45752</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45752</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45752</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45752</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45752</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45752</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45752</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45752</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45752</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45752</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45752</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45752</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45752</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45752</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45752</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45752</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45752</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45752</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45752</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45752</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45752</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45752</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45752</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45752</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45752</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45752</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45752</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45752</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45752</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45752</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45752</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45752</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45752</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45752</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45752</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45752</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45752</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45752</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45752</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45752</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45752</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45752</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45752</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45752</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45752</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45752</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45752</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45752</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45752</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45752</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45752</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45752</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45752</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45752</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45752</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45752</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45752</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45752</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45752</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45752</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45752</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45752</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45752</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45752</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45752</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45752</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45752</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45752</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45752</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45752</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45752</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45752</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45752</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45752</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45752</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45752</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45752</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45752</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45752</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45752</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45752</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45752</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45752</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45752</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45752</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45752</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45752</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45752</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45752</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45752</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45752</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45752</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45752</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45752</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45752</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45752</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45752</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45752</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45752</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45752</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45752</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45752</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45752</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45752</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45752</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45752</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45752</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45752</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45752</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45752</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45752</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45752</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45752</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45752</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45752</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45752</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45752</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45752</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45752</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45752</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45752</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45752</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45752</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45752</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45752</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45752</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45752</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45752</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45752</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45752</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45752</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45752</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45752</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45752</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45752</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45752</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45752</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45752</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45752</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45752</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45752</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45752</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45752</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45752</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45752</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45752</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45752</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45752</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45752</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45752</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45752</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45752</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45752</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45752</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45752</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45752</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45752</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45752</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45752</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45752</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45752</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45752</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45752</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45752</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45752</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45752</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45752</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45752</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45752</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45752</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45752</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45752</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45752</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45752</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45752</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45752</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45752</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45752</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45752</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45752</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45752</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45752</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45752</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45752</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45752</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45752</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45752</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45752</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45752</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45752</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45752</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45752</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45752</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45752</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45752</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45752</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45752</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45752</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45752</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45752</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45752</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45752</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45752</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45752</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45752</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45752</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45752</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45752</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45752</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45752</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45752</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45752</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45752</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45752</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45752</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45752</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45752</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45752</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45752</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45752</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45752</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45752</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45752</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45752</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45752</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45752</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45752</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45752</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45752</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45752</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45752</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45752</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45752</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45752</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45752</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45752</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45752</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45752</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45752</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45752</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45752</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45752</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45752</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45752</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45752</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45752</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45752</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45752</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45752</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45752</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45752</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45752</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45752</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45752</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45752</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45752</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45752</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45752</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45752</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45752</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45752</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45752</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45752</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45752</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45752</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45752</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45752</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45752</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45752</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45752</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45752</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45752</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45752</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45752</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45752</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45752</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45752</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45752</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45752</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45752</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45752</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45752</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45752</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45752</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45752</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45752</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45752</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45752</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45752</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45752</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45752</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45752</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45752</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45752</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45752</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45752</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45752</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45752</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45752</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45752</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45752</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45752</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45752</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45752</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45752</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45752</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45752</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45752</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45752</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45752</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45752</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45752</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45752</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45752</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45752</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45752</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45752</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45752</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45752</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45752</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45752</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45752</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45752</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45752</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45752</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45752</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45752</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45752</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45752</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45752</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45752</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45752</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45752</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45752</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45752</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45752</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45752</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45752</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45752</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45752</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45752</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45752</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45752</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45752</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45752</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45752</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45752</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45752</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45752</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45752</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45752</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45752</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45752</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45752</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45752</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45752</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45752</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45752</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45752</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45752</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45752</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45752</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45752</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45752</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45752</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45752</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45752</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45752</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45752</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45752</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45752</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45752</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45752</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45752</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45752</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45752</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45752</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45752</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45752</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45752</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45752</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45752</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45752</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45752</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45752</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45752</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45752</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45752</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45752</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45752</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45752</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45752</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45752</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45752</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45752</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45752</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45752</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45752</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45752</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45752</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45752</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45752</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45752</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45752</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45752</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45752</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45752</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45752</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45752</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45752</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45752</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45752</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45752</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45752</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45752</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45752</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45752</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45752</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45752</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45752</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45752</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45752</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45752</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45752</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45752</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45752</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45752</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45752</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45752</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45752</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45752</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45752</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45752</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45752</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45752</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45752</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45752</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45752</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45752</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45752</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45752</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45752</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45752</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45752</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45752</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45752</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45752</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45752</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45752</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45752</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45752</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45752</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45752</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45752</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45752</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45752</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45752</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45752</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45752</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45752</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45752</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45752</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45752</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45752</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45752</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45752</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45752</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45752</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45752</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45752</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45752</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45752</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45752</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45752</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45752</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45752</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45752</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45752</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45752</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45752</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45752</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45752</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45752</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45752</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45752</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45752</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45752</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45752</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45752</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45752</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45752</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45752</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45752</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45752</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45752</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45752</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45752</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45752</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45752</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45752</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45752</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45752</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45752</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45752</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45752</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45752</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45752</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45752</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45752</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45752</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45752</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45752</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45752</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45752</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45752</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45752</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45752</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45752</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45752</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45752</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45752</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45752</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45752</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45752</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45752</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45752</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45752</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45752</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45752</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45752</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45752</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45752</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45752</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45752</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45752</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45752</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45752</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45752</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45752</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45752</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45752</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45752</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45752</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45752</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45752</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45752</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45752</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45752</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45752</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45752</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45752</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45752</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45752</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45752</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45752</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45752</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45752</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45752</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45752</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45752</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45752</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45752</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45752</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45752</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45752</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45752</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45752</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45752</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45752</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45752</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45752</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45752</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45752</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45752</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45752</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45752</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45752</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45752</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45752</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45752</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45752</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45752</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45752</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45752</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45752</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45752</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45752</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45752</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45752</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45752</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45752</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45752</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45752</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45752</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45752</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45752</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45752</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45752</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45752</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45752</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45752</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45752</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45752</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45752</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45752</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45752</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45752</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45752</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45752</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45752</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45752</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45752</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45752</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45752</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45752</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45752</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45752</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45752</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45752</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45752</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45752</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45752</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45752</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45752</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45752</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45752</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45752</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45752</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45752</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45752</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45752</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45752</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45752</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45752</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45752</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45752</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45752</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45752</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45752</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45752</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45752</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45752</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45752</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45752</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45752</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45752</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45752</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45752</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45752</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45752</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45752</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45752</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45752</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45752</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45752</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45752</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45752</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45752</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45752</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45752</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45752</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45752</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45752</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45752</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45752</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45752</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45752</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45752</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45752</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45752</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45752</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45752</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45752</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45752</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45752</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45752</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45752</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45752</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45752</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45752</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45752</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45752</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45752</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45752</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45752</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45752</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45752</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45752</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45752</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45752</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45752</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45752</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45752</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45752</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45752</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45752</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45752</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45752</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45752</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45752</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45752</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45752</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45752</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45752</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45752</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45752</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45752</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45752</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45752</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45752</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45752</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45752</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45752</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45752</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45752</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45752</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45752</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45752</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45752</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45752</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45752</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45752</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45752</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45752</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45752</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45752</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45752</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45752</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45752</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45752</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45752</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45752</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45752</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45752</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45752</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45752</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45752</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45752</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45752</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45752</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45752</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45752</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45752</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45752</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45752</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45752</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45752</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45752</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45752</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45752</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45752</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45752</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45752</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45752</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45752</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45752</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45752</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45752</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45752</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45752</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45752</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45752</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45752</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45752</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45752</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45752</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45752</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45752</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45752</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45752</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45752</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45752</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45752</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45752</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45752</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45752</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45752</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45752</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45752</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45752</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45752</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45752</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45752</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45752</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45752</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45752</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45752</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45752</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45752</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45752</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45752</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45752</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45752</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45752</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45752</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45752</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45752</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45752</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45752</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45752</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45752</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45752</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45752</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45752</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45752</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45752</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45752</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45752</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45752</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45752</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45752</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45752</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45752</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45752</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45752</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45752</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45752</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45752</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45752</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45752</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45752</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45752</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45752</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45752</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45752</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45752</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45752</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45752</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45752</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45752</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45752</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45752</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45752</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45752</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45752</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45752</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45752</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45752</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45752</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45752</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45752</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45752</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45752</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45752</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45752</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45752</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45752</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45752</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45752</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45752</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45752</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45752</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45752</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45752</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45752</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45752</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45752</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45752</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45752</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45752</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45752</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45752</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45752</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45752</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45752</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45752</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45752</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45752</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45752</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45752</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45752</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45752</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45752</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45752</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45752</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45752</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45752</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45752</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45752</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45752</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45752</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45752</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45752</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45752</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45752</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45752</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45752</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45752</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45752</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45752</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45752</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45752</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45752</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45752</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45752</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45752</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45752</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45752</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45752</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45752</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45752</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45752</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45752</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45752</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45752</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45752</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45752</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45752</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45752</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45752</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45752</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45752</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45752</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45752</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45752</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45752</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45752</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45752</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45752</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45752</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45752</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45752</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45752</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45752</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45752</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45752</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45752</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45752</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45752</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45752</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45752</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45752</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45752</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45752</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45752</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45752</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45752</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45752</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45752</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45752</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45752</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45752</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45752</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45752</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45752</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45752</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45752</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45752</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45752</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45752</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45752</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45752</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45752</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45752</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45752</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45752</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45752</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45752</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45752</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45752</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45752</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45752</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45752</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45752</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45752</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45752</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45752</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45752</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45752</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45752</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45752</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45752</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45752</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45752</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45752</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45752</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45752</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45752</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45752</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45752</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45752</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45752</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45752</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45752</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45752</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45752</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45752</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45752</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45752</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45752</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45752</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45752</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45752</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45752</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45752</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45752</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45752</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45752</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45752</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45752</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45752</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45752</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45752</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45752</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45752</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45752</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45752</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45752</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45752</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45752</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45752</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45752</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45752</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45752</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45752</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45752</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45752</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45752</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45752</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45752</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45752</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45752</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45752</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45752</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45752</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45752</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45752</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45752</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45752</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45752</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45752</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45752</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45752</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45752</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45752</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45752</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45752</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45752</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45752</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45752</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45752</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45752</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45752</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45752</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45752</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45752</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45752</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45752</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45752</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45752</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45752</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45752</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45752</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45752</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45752</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45752</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45752</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45752</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45752</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45752</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45752</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45752</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45752</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45752</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45752</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45752</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45752</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45752</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45752</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45752</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45752</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45752</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45752</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45752</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45752</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45752</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45752</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45752</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45752</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45752</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45752</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45752</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45752</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45752</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45752</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45752</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45752</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45752</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45752</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45752</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45752</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45752</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45752</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45752</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45752</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45752</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45752</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45752</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45752</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45752</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45752</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45752</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45752</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45752</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45752</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45752</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45752</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45752</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45752</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45752</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45752</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45752</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45752</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45752</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45752</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45752</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45752</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45752</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45752</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45752</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45752</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45752</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45752</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45752</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45752</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45752</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45752</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45752</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45752</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45752</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45752</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45752</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45752</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45752</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45752</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45752</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45752</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45752</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45752</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45752</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45752</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45752</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45752</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45752</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45752</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45752</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45752</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45752</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45752</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45752</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45752</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45752</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45752</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45752</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45752</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45752</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45752</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45752</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45752</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45752</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45752</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45752</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45752</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45752</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45752</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45752</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45752</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45752</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45752</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45752</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45752</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45752</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45752</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45752</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45752</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45752</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45752</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45752</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45752</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45752</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45752</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45752</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45752</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45752</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45752</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45752</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45752</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45752</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45752</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45752</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45752</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45752</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45752</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45752</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45752</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45752</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45752</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45752</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45752</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45752</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45752</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45752</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45752</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45752</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45752</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45752</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45752</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45752</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45752</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45752</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45752</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45752</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45752</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45752</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45752</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45752</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45752</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45752</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45752</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45752</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45752</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45752</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45752</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45752</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45752</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45752</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45752</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45752</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45752</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45752</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45752</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45752</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45752</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45752</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45752</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45752</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45752</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45752</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45752</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45752</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45752</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45752</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45752</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45752</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45752</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45752</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45752</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45752</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45752</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45752</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45752</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45752</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45752</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45752</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45752</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45752</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45752</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45752</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45752</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45752</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45752</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45752</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45752</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45752</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45752</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45752</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45752</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45752</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45752</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45752</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45752</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45752</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45752</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45752</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45752</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45752</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45752</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45752</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45752</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45752</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45752</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45752</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45752</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45752</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45752</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45752</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45752</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45752</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45752</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45752</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45752</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45752</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45752</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45752</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45752</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45752</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45752</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45752</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45752</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45752</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45752</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45752</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45752</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45752</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45752</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45752</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45752</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45752</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45752</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45752</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45752</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45752</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45752</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45752</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45752</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45752</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45752</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45752</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45752</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45752</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45752</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45752</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45752</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45752</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45752</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45752</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45752</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45752</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45752</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45752</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45752</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45752</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45752</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45752</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45752</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45752</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45752</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45752</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45752</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45752</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45752</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45752</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45752</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45752</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45752</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45752</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45752</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45752</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45752</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45752</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45752</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45752</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45752</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45752</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45752</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45752</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45752</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45752</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45752</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45752</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45752</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45752</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45752</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45752</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45752</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45752</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45752</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45752</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45752</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45752</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45752</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45752</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45752</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45752</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45752</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45752</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45752</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45752</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45752</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45752</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45752</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45752</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45752</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45752</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45752</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45752</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45752</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45752</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45752</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45752</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45752</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45752</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45752</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45752</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45752</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45752</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45752</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45752</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45752</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45752</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45752</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45752</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45752</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45752</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45752</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45752</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45752</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45752</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45752</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45752</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45752</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45752</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45752</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45752</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45752</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45752</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45752</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45752</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45752</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45752</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45752</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45752</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45752</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45752</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45752</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45752</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45752</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45752</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45752</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45752</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45752</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45752</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45752</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45752</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45752</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45752</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45752</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45752</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45752</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45752</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45752</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45752</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45752</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45752</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45752</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45752</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45752</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45752</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45752</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45752</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45752</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45752</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45752</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45752</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45752</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45752</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45752</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45752</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45752</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45752</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45752</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45752</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45752</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45752</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45752</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45752</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45752</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45752</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45752</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45752</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45752</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45752</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45752</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45752</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45752</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45752</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45752</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45752</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45752</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45752</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45752</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45752</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45752</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45752</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45752</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45752</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45752</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45752</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45752</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45752</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45752</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45752</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45752</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45752</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45752</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45752</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45752</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45752</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45752</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45752</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45752</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45752</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45752</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45752</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45752</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45752</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45752</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45752</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45752</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45752</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45752</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45752</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45752</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45752</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45752</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45752</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45752</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45752</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45752</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45752</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45752</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45752</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45752</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45752</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45752</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45752</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45752</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45752</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45752</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45752</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45752</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45752</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45752</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45752</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45752</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45752</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45752</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45752</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45752</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45752</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45752</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45752</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45752</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45752</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45752</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45752</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45752</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45752</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45752</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45752</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45752</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45752</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45752</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45752</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45752</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45752</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45752</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45752</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45752</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45752</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45752</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45752</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45752</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45752</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45752</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45752</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45752</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45752</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45752</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45752</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45752</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45752</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45752</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45752</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45752</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45752</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45752</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45752</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45752</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45752</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45752</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45752</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45752</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45752</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45752</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45752</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45752</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45752</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45752</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45752</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45752</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45752</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45752</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45752</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45752</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45752</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45752</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45752</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45752</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45752</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45752</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45752</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45752</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45752</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45752</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45752</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45752</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45752</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45752</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45752</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45752</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45752</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45752</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45752</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45752</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45752</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45752</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45752</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45752</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45752</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45752</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45752</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45752</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45752</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45752</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45752</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45752</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45752</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45752</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45752</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45752</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45752</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45752</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45752</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45752</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45752</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45752</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45752</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45752</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45752</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45752</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45752</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45752</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45752</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45752</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45752</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45752</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45752</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45752</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45752</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45752</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45752</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45752</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45752</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45752</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45752</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45752</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45752</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45752</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45752</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45752</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45752</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45752</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45752</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45752</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45752</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45752</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45752</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45752</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45752</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45752</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45752</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45752</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45752</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45752</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45752</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45752</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45752</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45752</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45752</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45752</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45752</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45752</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45752</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45752</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45752</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45752</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45752</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45752</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45752</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45752</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45752</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45752</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45752</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45752</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45752</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45752</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45752</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45752</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45752</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45752</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45752</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45752</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45752</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45752</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45752</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45752</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45752</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45752</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45752</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45752</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45752</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45752</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45752</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45752</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45752</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45752</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45752</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45752</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45752</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45752</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45752</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45752</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45752</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45752</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45752</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45752</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45752</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45752</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45752</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45752</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45752</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45752</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45752</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45752</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45752</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45752</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45752</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45752</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45752</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45752</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45752</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45752</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45752</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45752</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45752</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45752</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45752</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45752</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45752</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45752</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45752</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45752</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45752</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45752</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45752</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45752</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45752</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45752</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45752</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45752</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45752</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45752</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45752</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45752</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45752</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45752</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45752</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45752</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45752</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45752</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45752</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45752</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45752</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45752</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45752</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45752</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45752</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45752</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45752</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45752</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45752</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45752</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45752</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45752</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45752</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45752</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45752</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45752</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45752</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45752</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45752</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45752</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45752</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45752</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45752</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45752</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45752</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45752</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45752</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45752</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45752</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45752</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45752</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45752</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45752</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45752</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45752</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45752</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45752</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45752</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45752</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45752</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45752</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45752</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45752</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45752</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45752</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45752</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45752</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45752</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45752</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45752</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45752</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45752</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45752</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45752</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45752</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45752</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45752</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45752</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45752</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45752</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45752</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45752</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45752</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45752</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45752</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45752</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45752</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45752</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45752</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45752</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45752</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45752</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45752</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45752</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45752</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45752</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45752</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45752</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45752</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45752</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45752</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45752</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45752</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45752</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45752</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45752</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45752</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45752</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45752</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45752</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45752</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45752</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45752</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45752</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45752</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45752</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45752</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45752</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45752</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45752</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45752</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45752</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45752</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45752</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45752</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45752</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45752</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45752</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45752</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45752</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45752</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45752</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45752</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45752</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45752</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45752</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45752</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45752</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45752</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45752</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45752</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45752</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45752</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45752</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45752</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45752</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45752</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45752</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45752</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45752</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45752</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45752</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45752</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45752</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45752</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45752</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45752</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45752</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45752</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45752</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45752</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45752</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45752</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45752</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45752</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45752</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45752</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45752</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45752</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45752</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45752</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45752</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45752</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45752</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45752</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45752</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45752</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45752</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45752</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45752</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45752</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45752</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45752</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45752</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45752</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45752</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45752</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45752</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45752</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45752</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45752</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45752</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45752</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45752</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45752</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45752</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45752</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45752</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45752</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45752</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45752</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45752</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45752</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45752</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45752</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45752</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45752</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45752</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45752</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45752</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45752</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45752</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45752</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45752</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45752</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45752</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45752</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45752</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45752</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45752</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45752</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45752</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45752</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45752</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45752</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45752</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45752</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45752</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45752</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45752</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45752</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45752</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45752</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45752</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45752</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45752</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45752</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45752</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45752</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45752</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45752</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45752</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45752</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45752</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45752</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45752</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45752</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45752</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45752</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45752</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45752</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45752</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45752</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45752</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45752</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45752</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45752</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45752</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45752</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45752</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45752</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45752</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45752</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45752</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45752</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45752</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45752</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45752</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45752</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45752</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45752</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45752</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45752</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45752</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45752</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45752</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45752</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45752</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45752</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45752</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45752</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45752</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45752</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45752</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45752</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45752</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45752</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45752</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45752</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45752</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45752</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45752</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45752</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45752</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45752</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45752</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45752</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45752</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45752</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45752</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45752</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45752</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45752</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45752</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45752</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45752</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45752</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45752</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45752</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45752</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45752</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45752</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45752</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45752</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45752</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45752</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45752</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45752</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45752</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45752</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45752</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45752</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45752</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45752</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45752</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45752</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45752</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45752</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45752</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45752</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45752</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45752</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45752</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45752</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45752</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45752</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45752</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45752</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45752</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45752</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45752</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45752</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45752</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45752</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45752</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45752</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45752</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45752</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45752</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45752</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45752</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45752</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45752</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45752</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45752</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45752</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45752</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45752</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45752</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45752</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45752</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45752</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45752</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45752</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45752</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45752</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45752</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45752</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45752</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45752</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45752</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45752</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45752</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45752</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45752</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45752</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45752</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45752</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45752</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45752</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45752</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45752</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45752</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45752</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45752</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45752</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45752</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45752</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45752</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45752</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45752</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45752</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45752</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45752</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45752</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45752</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45752</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45752</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45752</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45752</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45752</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45752</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45752</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45752</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45752</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45752</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45752</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45752</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45752</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45752</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45752</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45752</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45752</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45752</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45752</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45752</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45752</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45752</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45752</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45752</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45752</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45752</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45752</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45752</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45752</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45752</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45752</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45752</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45752</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45752</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45752</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45752</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45752</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45752</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45752</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45752</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45752</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45752</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45752</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45752</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45752</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45752</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45752</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45752</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45752</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45752</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45752</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45752</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45752</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45752</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45752</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45752</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45752</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45752</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45752</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45752</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45752</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45752</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45752</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45752</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45752</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45752</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45752</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45752</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45752</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45752</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45752</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45752</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45752</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45752</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45752</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45752</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45752</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45752</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45752</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45752</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45752</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45752</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45752</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45752</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45752</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45752</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45752</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45752</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45752</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45752</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45752</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45752</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45752</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45752</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45752</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45752</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45752</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45752</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45752</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45752</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45752</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45752</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45752</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45752</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45752</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45752</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45752</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45752</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45752</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45752</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45752</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45752</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45752</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45752</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45752</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45752</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45752</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45752</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45752</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45752</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45752</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45752</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45752</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45752</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45752</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45752</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45752</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45752</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45752</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45752</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45752</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45752</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45752</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45752</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45752</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45752</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45752</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45752</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45752</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45752</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45752</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45752</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45752</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45752</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45752</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45752</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45752</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45752</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45752</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45752</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45752</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45752</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45752</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45752</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45752</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45752</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45752</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45752</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45752</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45752</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45752</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45752</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45752</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45752</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45752</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45752</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45752</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45752</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45752</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45752</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45752</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45752</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45752</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45752</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45752</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45752</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45752</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45752</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45752</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45752</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45752</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45752</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45752</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45752</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45752</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45752</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45752</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45752</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45752</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45752</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45752</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45752</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45752</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45752</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45752</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45752</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45752</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45752</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45752</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45752</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45752</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45752</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45752</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45752</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45752</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45752</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45752</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45752</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45752</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45752</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45752</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45752</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45752</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45752</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45752</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45752</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45752</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45752</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45752</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45752</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45752</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45752</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45752</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45752</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45752</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45752</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45752</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45752</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45752</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45752</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45752</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45752</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45752</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45752</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45752</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45752</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45752</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45752</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45752</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45752</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45752</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45752</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45752</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45752</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45752</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45752</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45752</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45752</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45752</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45752</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45752</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45752</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45752</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45752</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45752</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45752</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45752</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45752</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45752</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45752</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45752</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45752</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45752</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45752</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45752</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45752</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45752</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45752</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45752</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45752</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45752</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45752</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45752</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45752</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45752</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45752</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45752</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45752</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45752</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45752</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45752</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45752</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45752</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45752</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45752</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45752</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45752</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45752</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45752</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45752</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45752</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45752</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45752</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45752</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45752</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45752</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45752</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45752</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45752</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45752</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45752</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45752</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45752</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45752</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45752</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45752</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45752</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45752</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45752</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45752</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45752</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45752</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45752</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45752</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45752</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45752</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45752</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45752</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45752</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45752</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45752</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45752</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45752</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45752</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45752</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45752</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45752</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45752</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45752</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45752</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45752</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45752</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45752</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45752</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45752</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45752</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45752</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45752</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45752</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45752</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45752</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45752</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45752</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45752</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45752</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45752</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45752</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45752</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45752</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45752</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45752</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45752</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45752</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45752</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45752</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45752</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45752</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45752</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45752</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45752</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45752</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45752</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45752</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45752</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45752</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45752</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45752</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45752</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45752</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45752</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45752</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45752</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45752</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45752</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45752</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45752</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45752</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45752</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45752</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45752</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45752</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45752</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45752</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45752</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45752</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45752</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45752</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45752</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45752</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45752</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45752</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45752</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45752</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45752</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45752</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45752</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45752</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45752</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45752</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45752</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45752</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45752</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45752</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45752</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45752</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45752</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45752</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45752</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45752</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45752</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45752</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45752</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45752</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45752</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45752</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45752</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45752</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45752</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45752</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45752</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45752</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45752</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45752</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45752</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45752</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45752</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45752</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45752</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45752</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45752</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45752</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45752</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45752</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45752</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45752</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45752</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45752</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45752</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45752</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45752</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45752</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45752</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45752</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45752</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45752</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45752</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45752</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45752</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45752</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45752</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45752</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45752</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45752</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45752</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45752</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45752</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45752</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45752</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45752</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45752</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45752</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45752</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45752</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45752</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45752</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45752</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45752</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45752</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45752</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45752</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45752</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45752</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45752</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45752</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45752</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45752</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45752</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45752</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45752</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45752</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45752</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45752</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45752</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45752</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45752</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45752</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45752</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45752</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45752</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45752</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45752</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45752</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45752</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45752</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45752</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45752</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45752</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45752</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45752</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45752</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45752</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45752</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45752</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45752</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45752</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45752</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45752</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45752</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45752</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45752</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45752</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45752</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45752</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45752</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45752</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45752</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45752</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45752</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45752</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45752</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45752</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45752</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45752</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45752</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45752</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45752</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45752</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45752</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45752</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45752</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45752</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45752</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45752</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45752</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45752</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45752</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45752</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45752</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45752</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45752</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45752</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45752</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45752</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45752</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45752</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45752</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45752</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45752</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45752</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45752</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45752</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45752</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45752</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45752</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45752</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45752</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45752</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45752</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45752</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45752</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45752</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45752</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45752</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45752</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45752</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45752</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45752</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45752</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45752</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45752</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45752</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45752</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45752</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45752</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45752</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45752</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45752</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45752</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45752</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45752</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45752</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45752</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45752</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45752</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45752</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45752</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45752</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45752</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45752</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45752</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45752</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45752</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45752</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45752</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45752</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45752</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45752</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45752</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45752</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45752</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45752</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45752</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45752</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45752</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45752</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45752</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45752</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45752</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45752</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45752</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45752</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45752</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45752</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45752</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45752</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45752</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45752</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45752</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45752</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45752</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45752</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45752</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45752</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45752</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45752</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45752</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45752</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45752</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45752</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45752</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45752</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45752</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45752</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45752</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45752</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45752</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45752</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45752</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45752</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45752</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45752</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45752</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45752</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45752</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45752</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45752</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45752</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45752</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45752</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45752</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45752</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45752</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45752</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45752</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45752</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45752</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45752</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45752</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45752</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45752</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45752</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45752</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45752</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45752</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45752</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45752</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45752</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45752</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45752</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45752</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45752</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45752</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45752</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45752</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45752</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45752</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45752</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45752</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45752</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45752</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45752</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45752</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45752</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45752</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45752</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45752</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45752</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45752</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45752</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45752</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45752</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45752</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45752</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45752</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45752</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45752</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45752</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45752</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45752</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45752</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45752</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45752</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45752</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45752</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45752</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45752</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45752</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45752</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45752</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45752</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45752</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45752</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45752</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45752</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45752</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45752</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45752</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45752</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45752</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45752</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45752</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45752</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45752</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45752</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45752</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45752</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45752</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45752</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45752</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45752</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45752</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45752</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45752</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45752</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45752</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45752</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45752</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45752</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45752</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45752</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45752</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45752</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45752</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45752</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45752</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45752</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45752</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45752</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45752</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45752</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45752</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45752</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45752</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45752</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45752</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45752</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45752</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45752</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45752</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45752</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45752</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45752</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45752</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45752</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45752</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45752</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45752</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45752</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45752</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45752</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45752</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45752</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45752</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45752</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45752</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45752</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45752</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45752</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45752</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45752</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45752</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45752</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45752</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45752</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45752</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45752</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45752</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45752</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45752</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45752</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45752</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45752</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45752</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45752</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45752</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45752</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45752</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45752</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45752</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45752</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45752</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45752</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45752</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45752</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45752</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45752</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45752</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45752</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45752</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45752</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45752</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45752</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45752</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45752</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45752</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45752</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45752</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45752</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45752</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45752</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45752</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45752</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45752</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45752</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45752</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45752</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45752</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45752</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45752</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45752</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45752</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45752</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45752</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45752</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45752</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45752</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45752</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45752</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45752</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45752</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45752</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45752</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45752</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45752</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45752</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45752</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45752</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45752</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45752</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45752</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45752</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45752</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45752</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45752</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45752</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45752</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45752</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45752</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45752</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45752</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45752</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45752</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45752</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45752</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45752</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45752</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45752</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45752</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45752</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45752</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45752</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45752</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45752</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45752</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45752</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45752</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45752</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45752</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45752</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45752</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45752</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45752</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45752</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45752</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45752</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45752</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45752</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45752</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45752</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45752</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45752</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45752</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45752</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45752</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45752</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45752</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45752</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45752</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45752</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45752</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45752</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45752</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45752</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45752</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45752</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45752</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45752</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45752</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45752</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45752</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45752</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45752</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45752</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45752</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45752</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45752</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45752</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45752</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45752</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45752</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45752</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45752</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45752</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45752</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45752</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45752</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45752</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45752</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45752</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45752</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45752</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45752</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45752</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45752</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45752</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45752</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45752</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45752</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45752</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45752</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45752</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45752</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45752</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45752</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45752</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45752</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45752</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45752</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45752</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45752</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45752</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45752</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45752</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45752</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45752</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45752</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45752</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45752</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45752</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45752</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45752</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45752</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45752</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45752</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45752</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45752</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45752</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45752</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45752</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45752</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45752</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45752</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45752</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45752</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45752</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45752</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45752</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45752</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45752</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45752</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45752</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45752</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45752</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45752</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45752</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45752</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45752</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45752</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45752</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45752</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45752</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45752</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45752</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45752</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45752</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45752</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45752</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45752</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45752</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45752</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45752</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45752</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45752</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45752</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45752</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45752</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45752</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45752</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45752</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45752</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45752</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45752</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45752</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45752</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45752</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45752</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45752</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45752</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45752</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45752</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45752</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45752</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45752</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45752</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45752</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45752</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45752</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45752</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45752</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45752</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45752</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45752</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45752</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45752</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45752</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45752</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45752</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45752</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45752</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45752</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45752</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45752</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45752</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45752</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45752</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45752</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45752</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45752</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45752</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45752</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45752</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45752</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45752</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45752</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45752</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45752</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45752</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45752</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45752</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45752</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45752</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45752</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45752</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45752</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45752</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45752</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45752</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45752</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45752</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45752</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45752</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45752</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45752</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45752</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45752</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45752</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45752</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45752</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45752</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45752</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45752</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45752</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45752</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45752</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45752</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45752</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45752</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45752</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45752</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45752</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45752</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45752</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45752</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45752</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45752</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45752</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45752</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45752</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45752</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45752</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45752</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45752</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45752</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45752</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45752</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45752</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45752</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45752</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45752</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45752</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45752</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45752</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45752</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45752</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45752</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45752</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45752</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45752</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45752</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45752</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45752</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45752</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45752</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45752</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45752</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45752</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45752</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45752</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45752</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45752</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45752</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45752</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45752</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45752</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45752</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45752</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45752</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45752</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45752</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45752</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45752</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45752</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45752</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45752</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45752</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45752</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45752</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45752</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45752</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45752</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45752</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45752</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45752</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45752</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45752</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45752</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45752</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45752</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45752</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45752</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45752</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45752</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45752</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45752</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45752</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45752</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45752</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45752</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45752</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45752</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45752</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45752</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45752</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45752</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45752</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45752</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45752</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45752</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45752</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45752</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45752</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45752</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45752</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45752</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45752</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45752</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45752</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45752</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45752</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45752</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45752</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45752</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45752</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45752</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45752</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45752</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45752</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45752</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45752</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45752</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45752</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45752</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45752</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45752</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45752</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10961-2025</t>
        </is>
      </c>
      <c r="B7623" s="1" t="n">
        <v>45723</v>
      </c>
      <c r="C7623" s="1" t="n">
        <v>45752</v>
      </c>
      <c r="D7623" t="inlineStr">
        <is>
          <t>SKÅNE LÄN</t>
        </is>
      </c>
      <c r="E7623" t="inlineStr">
        <is>
          <t>KRISTIANSTAD</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45752</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45752</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45752</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45752</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45752</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45752</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45752</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11422-2025</t>
        </is>
      </c>
      <c r="B7631" s="1" t="n">
        <v>45726</v>
      </c>
      <c r="C7631" s="1" t="n">
        <v>45752</v>
      </c>
      <c r="D7631" t="inlineStr">
        <is>
          <t>SKÅNE LÄN</t>
        </is>
      </c>
      <c r="E7631" t="inlineStr">
        <is>
          <t>HÄSSLEHOLM</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45752</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11446-2025</t>
        </is>
      </c>
      <c r="B7633" s="1" t="n">
        <v>45726</v>
      </c>
      <c r="C7633" s="1" t="n">
        <v>45752</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11470-2025</t>
        </is>
      </c>
      <c r="B7634" s="1" t="n">
        <v>45726</v>
      </c>
      <c r="C7634" s="1" t="n">
        <v>45752</v>
      </c>
      <c r="D7634" t="inlineStr">
        <is>
          <t>SKÅNE LÄN</t>
        </is>
      </c>
      <c r="E7634" t="inlineStr">
        <is>
          <t>HÄSSLEHOLM</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11266-2025</t>
        </is>
      </c>
      <c r="B7635" s="1" t="n">
        <v>45726</v>
      </c>
      <c r="C7635" s="1" t="n">
        <v>45752</v>
      </c>
      <c r="D7635" t="inlineStr">
        <is>
          <t>SKÅNE LÄN</t>
        </is>
      </c>
      <c r="E7635" t="inlineStr">
        <is>
          <t>HÄSSLEHOLM</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11466-2025</t>
        </is>
      </c>
      <c r="B7636" s="1" t="n">
        <v>45726</v>
      </c>
      <c r="C7636" s="1" t="n">
        <v>45752</v>
      </c>
      <c r="D7636" t="inlineStr">
        <is>
          <t>SKÅNE LÄN</t>
        </is>
      </c>
      <c r="E7636" t="inlineStr">
        <is>
          <t>HÄSSLEHOLM</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11262-2025</t>
        </is>
      </c>
      <c r="B7637" s="1" t="n">
        <v>45726</v>
      </c>
      <c r="C7637" s="1" t="n">
        <v>45752</v>
      </c>
      <c r="D7637" t="inlineStr">
        <is>
          <t>SKÅNE LÄN</t>
        </is>
      </c>
      <c r="E7637" t="inlineStr">
        <is>
          <t>HÄSSLEHOLM</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45752</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45752</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45752</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11732-2025</t>
        </is>
      </c>
      <c r="B7641" s="1" t="n">
        <v>45727</v>
      </c>
      <c r="C7641" s="1" t="n">
        <v>45752</v>
      </c>
      <c r="D7641" t="inlineStr">
        <is>
          <t>SKÅNE LÄN</t>
        </is>
      </c>
      <c r="E7641" t="inlineStr">
        <is>
          <t>ESLÖV</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11753-2025</t>
        </is>
      </c>
      <c r="B7642" s="1" t="n">
        <v>45727</v>
      </c>
      <c r="C7642" s="1" t="n">
        <v>45752</v>
      </c>
      <c r="D7642" t="inlineStr">
        <is>
          <t>SKÅNE LÄN</t>
        </is>
      </c>
      <c r="E7642" t="inlineStr">
        <is>
          <t>HÄSSLEHOLM</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11635-2025</t>
        </is>
      </c>
      <c r="B7643" s="1" t="n">
        <v>45727</v>
      </c>
      <c r="C7643" s="1" t="n">
        <v>45752</v>
      </c>
      <c r="D7643" t="inlineStr">
        <is>
          <t>SKÅNE LÄN</t>
        </is>
      </c>
      <c r="E7643" t="inlineStr">
        <is>
          <t>ÖSTRA GÖINGE</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11693-2025</t>
        </is>
      </c>
      <c r="B7644" s="1" t="n">
        <v>45727</v>
      </c>
      <c r="C7644" s="1" t="n">
        <v>45752</v>
      </c>
      <c r="D7644" t="inlineStr">
        <is>
          <t>SKÅNE LÄN</t>
        </is>
      </c>
      <c r="E7644" t="inlineStr">
        <is>
          <t>KRISTIANSTAD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11603-2025</t>
        </is>
      </c>
      <c r="B7645" s="1" t="n">
        <v>45727</v>
      </c>
      <c r="C7645" s="1" t="n">
        <v>45752</v>
      </c>
      <c r="D7645" t="inlineStr">
        <is>
          <t>SKÅNE LÄN</t>
        </is>
      </c>
      <c r="E7645" t="inlineStr">
        <is>
          <t>HÄSSLEHOLM</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11721-2025</t>
        </is>
      </c>
      <c r="B7646" s="1" t="n">
        <v>45727</v>
      </c>
      <c r="C7646" s="1" t="n">
        <v>45752</v>
      </c>
      <c r="D7646" t="inlineStr">
        <is>
          <t>SKÅNE LÄN</t>
        </is>
      </c>
      <c r="E7646" t="inlineStr">
        <is>
          <t>KRISTIANSTAD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11609-2025</t>
        </is>
      </c>
      <c r="B7647" s="1" t="n">
        <v>45727</v>
      </c>
      <c r="C7647" s="1" t="n">
        <v>45752</v>
      </c>
      <c r="D7647" t="inlineStr">
        <is>
          <t>SKÅNE LÄN</t>
        </is>
      </c>
      <c r="E7647" t="inlineStr">
        <is>
          <t>HÄSSLEHOLM</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11807-2025</t>
        </is>
      </c>
      <c r="B7648" s="1" t="n">
        <v>45727</v>
      </c>
      <c r="C7648" s="1" t="n">
        <v>45752</v>
      </c>
      <c r="D7648" t="inlineStr">
        <is>
          <t>SKÅNE LÄN</t>
        </is>
      </c>
      <c r="E7648" t="inlineStr">
        <is>
          <t>TOMELILLA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11810-2025</t>
        </is>
      </c>
      <c r="B7649" s="1" t="n">
        <v>45727</v>
      </c>
      <c r="C7649" s="1" t="n">
        <v>45752</v>
      </c>
      <c r="D7649" t="inlineStr">
        <is>
          <t>SKÅNE LÄN</t>
        </is>
      </c>
      <c r="E7649" t="inlineStr">
        <is>
          <t>TOMELILLA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45752</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11802-2025</t>
        </is>
      </c>
      <c r="B7651" s="1" t="n">
        <v>45727</v>
      </c>
      <c r="C7651" s="1" t="n">
        <v>45752</v>
      </c>
      <c r="D7651" t="inlineStr">
        <is>
          <t>SKÅNE LÄN</t>
        </is>
      </c>
      <c r="E7651" t="inlineStr">
        <is>
          <t>ÖSTRA GÖINGE</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11804-2025</t>
        </is>
      </c>
      <c r="B7652" s="1" t="n">
        <v>45727</v>
      </c>
      <c r="C7652" s="1" t="n">
        <v>45752</v>
      </c>
      <c r="D7652" t="inlineStr">
        <is>
          <t>SKÅNE LÄN</t>
        </is>
      </c>
      <c r="E7652" t="inlineStr">
        <is>
          <t>TOMELILLA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11806-2025</t>
        </is>
      </c>
      <c r="B7653" s="1" t="n">
        <v>45727</v>
      </c>
      <c r="C7653" s="1" t="n">
        <v>45752</v>
      </c>
      <c r="D7653" t="inlineStr">
        <is>
          <t>SKÅNE LÄN</t>
        </is>
      </c>
      <c r="E7653" t="inlineStr">
        <is>
          <t>TOMELILLA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11556-2025</t>
        </is>
      </c>
      <c r="B7654" s="1" t="n">
        <v>45727</v>
      </c>
      <c r="C7654" s="1" t="n">
        <v>45752</v>
      </c>
      <c r="D7654" t="inlineStr">
        <is>
          <t>SKÅNE LÄN</t>
        </is>
      </c>
      <c r="E7654" t="inlineStr">
        <is>
          <t>KLIPPAN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45752</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45752</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11559-2025</t>
        </is>
      </c>
      <c r="B7657" s="1" t="n">
        <v>45727</v>
      </c>
      <c r="C7657" s="1" t="n">
        <v>45752</v>
      </c>
      <c r="D7657" t="inlineStr">
        <is>
          <t>SKÅNE LÄN</t>
        </is>
      </c>
      <c r="E7657" t="inlineStr">
        <is>
          <t>KLIPPAN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11803-2025</t>
        </is>
      </c>
      <c r="B7658" s="1" t="n">
        <v>45727</v>
      </c>
      <c r="C7658" s="1" t="n">
        <v>45752</v>
      </c>
      <c r="D7658" t="inlineStr">
        <is>
          <t>SKÅNE LÄN</t>
        </is>
      </c>
      <c r="E7658" t="inlineStr">
        <is>
          <t>TOMELILLA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45752</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11607-2025</t>
        </is>
      </c>
      <c r="B7660" s="1" t="n">
        <v>45727</v>
      </c>
      <c r="C7660" s="1" t="n">
        <v>45752</v>
      </c>
      <c r="D7660" t="inlineStr">
        <is>
          <t>SKÅNE LÄN</t>
        </is>
      </c>
      <c r="E7660" t="inlineStr">
        <is>
          <t>HÄSSLEHOLM</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11638-2025</t>
        </is>
      </c>
      <c r="B7661" s="1" t="n">
        <v>45727</v>
      </c>
      <c r="C7661" s="1" t="n">
        <v>45752</v>
      </c>
      <c r="D7661" t="inlineStr">
        <is>
          <t>SKÅNE LÄN</t>
        </is>
      </c>
      <c r="E7661" t="inlineStr">
        <is>
          <t>ÖSTRA GÖINGE</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45752</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45752</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45752</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45752</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45752</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45752</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11942-2025</t>
        </is>
      </c>
      <c r="B7668" s="1" t="n">
        <v>45728</v>
      </c>
      <c r="C7668" s="1" t="n">
        <v>45752</v>
      </c>
      <c r="D7668" t="inlineStr">
        <is>
          <t>SKÅNE LÄN</t>
        </is>
      </c>
      <c r="E7668" t="inlineStr">
        <is>
          <t>ÖRKELLJUNGA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11934-2025</t>
        </is>
      </c>
      <c r="B7669" s="1" t="n">
        <v>45728</v>
      </c>
      <c r="C7669" s="1" t="n">
        <v>45752</v>
      </c>
      <c r="D7669" t="inlineStr">
        <is>
          <t>SKÅNE LÄN</t>
        </is>
      </c>
      <c r="E7669" t="inlineStr">
        <is>
          <t>HÖRBY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11941-2025</t>
        </is>
      </c>
      <c r="B7670" s="1" t="n">
        <v>45728</v>
      </c>
      <c r="C7670" s="1" t="n">
        <v>45752</v>
      </c>
      <c r="D7670" t="inlineStr">
        <is>
          <t>SKÅNE LÄN</t>
        </is>
      </c>
      <c r="E7670" t="inlineStr">
        <is>
          <t>HÖRBY</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12006-2025</t>
        </is>
      </c>
      <c r="B7671" s="1" t="n">
        <v>45728</v>
      </c>
      <c r="C7671" s="1" t="n">
        <v>45752</v>
      </c>
      <c r="D7671" t="inlineStr">
        <is>
          <t>SKÅNE LÄN</t>
        </is>
      </c>
      <c r="E7671" t="inlineStr">
        <is>
          <t>SIMRISHAMN</t>
        </is>
      </c>
      <c r="F7671" t="inlineStr">
        <is>
          <t>Övriga Aktiebolag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11908-2025</t>
        </is>
      </c>
      <c r="B7672" s="1" t="n">
        <v>45728</v>
      </c>
      <c r="C7672" s="1" t="n">
        <v>45752</v>
      </c>
      <c r="D7672" t="inlineStr">
        <is>
          <t>SKÅNE LÄN</t>
        </is>
      </c>
      <c r="E7672" t="inlineStr">
        <is>
          <t>OSBY</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12000-2025</t>
        </is>
      </c>
      <c r="B7673" s="1" t="n">
        <v>45728</v>
      </c>
      <c r="C7673" s="1" t="n">
        <v>45752</v>
      </c>
      <c r="D7673" t="inlineStr">
        <is>
          <t>SKÅNE LÄN</t>
        </is>
      </c>
      <c r="E7673" t="inlineStr">
        <is>
          <t>SIMRISHAMN</t>
        </is>
      </c>
      <c r="F7673" t="inlineStr">
        <is>
          <t>Övriga Aktiebolag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11943-2025</t>
        </is>
      </c>
      <c r="B7674" s="1" t="n">
        <v>45728</v>
      </c>
      <c r="C7674" s="1" t="n">
        <v>45752</v>
      </c>
      <c r="D7674" t="inlineStr">
        <is>
          <t>SKÅNE LÄN</t>
        </is>
      </c>
      <c r="E7674" t="inlineStr">
        <is>
          <t>HÖRBY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45752</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11861-2025</t>
        </is>
      </c>
      <c r="B7676" s="1" t="n">
        <v>45728</v>
      </c>
      <c r="C7676" s="1" t="n">
        <v>45752</v>
      </c>
      <c r="D7676" t="inlineStr">
        <is>
          <t>SKÅNE LÄN</t>
        </is>
      </c>
      <c r="E7676" t="inlineStr">
        <is>
          <t>BROMÖLLA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45752</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45752</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45752</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45752</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45752</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45752</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45752</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12540-2025</t>
        </is>
      </c>
      <c r="B7684" s="1" t="n">
        <v>45730</v>
      </c>
      <c r="C7684" s="1" t="n">
        <v>45752</v>
      </c>
      <c r="D7684" t="inlineStr">
        <is>
          <t>SKÅNE LÄN</t>
        </is>
      </c>
      <c r="E7684" t="inlineStr">
        <is>
          <t>HÄSSLEHOLM</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12470-2025</t>
        </is>
      </c>
      <c r="B7685" s="1" t="n">
        <v>45730</v>
      </c>
      <c r="C7685" s="1" t="n">
        <v>45752</v>
      </c>
      <c r="D7685" t="inlineStr">
        <is>
          <t>SKÅNE LÄN</t>
        </is>
      </c>
      <c r="E7685" t="inlineStr">
        <is>
          <t>OSBY</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45752</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45752</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45752</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45752</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45752</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45752</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12603-2025</t>
        </is>
      </c>
      <c r="B7692" s="1" t="n">
        <v>45733</v>
      </c>
      <c r="C7692" s="1" t="n">
        <v>45752</v>
      </c>
      <c r="D7692" t="inlineStr">
        <is>
          <t>SKÅNE LÄN</t>
        </is>
      </c>
      <c r="E7692" t="inlineStr">
        <is>
          <t>OSBY</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45752</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12600-2025</t>
        </is>
      </c>
      <c r="B7694" s="1" t="n">
        <v>45733</v>
      </c>
      <c r="C7694" s="1" t="n">
        <v>45752</v>
      </c>
      <c r="D7694" t="inlineStr">
        <is>
          <t>SKÅNE LÄN</t>
        </is>
      </c>
      <c r="E7694" t="inlineStr">
        <is>
          <t>OSBY</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12602-2025</t>
        </is>
      </c>
      <c r="B7695" s="1" t="n">
        <v>45733</v>
      </c>
      <c r="C7695" s="1" t="n">
        <v>45752</v>
      </c>
      <c r="D7695" t="inlineStr">
        <is>
          <t>SKÅNE LÄN</t>
        </is>
      </c>
      <c r="E7695" t="inlineStr">
        <is>
          <t>OSBY</t>
        </is>
      </c>
      <c r="F7695" t="inlineStr">
        <is>
          <t>Sveaskog</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12604-2025</t>
        </is>
      </c>
      <c r="B7696" s="1" t="n">
        <v>45733</v>
      </c>
      <c r="C7696" s="1" t="n">
        <v>45752</v>
      </c>
      <c r="D7696" t="inlineStr">
        <is>
          <t>SKÅNE LÄN</t>
        </is>
      </c>
      <c r="E7696" t="inlineStr">
        <is>
          <t>OSBY</t>
        </is>
      </c>
      <c r="F7696" t="inlineStr">
        <is>
          <t>Sveaskog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12663-2025</t>
        </is>
      </c>
      <c r="B7697" s="1" t="n">
        <v>45733</v>
      </c>
      <c r="C7697" s="1" t="n">
        <v>45752</v>
      </c>
      <c r="D7697" t="inlineStr">
        <is>
          <t>SKÅNE LÄN</t>
        </is>
      </c>
      <c r="E7697" t="inlineStr">
        <is>
          <t>ÄNGELHOLM</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12671-2025</t>
        </is>
      </c>
      <c r="B7698" s="1" t="n">
        <v>45733</v>
      </c>
      <c r="C7698" s="1" t="n">
        <v>45752</v>
      </c>
      <c r="D7698" t="inlineStr">
        <is>
          <t>SKÅNE LÄN</t>
        </is>
      </c>
      <c r="E7698" t="inlineStr">
        <is>
          <t>ÖSTRA GÖINGE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12745-2025</t>
        </is>
      </c>
      <c r="B7699" s="1" t="n">
        <v>45733</v>
      </c>
      <c r="C7699" s="1" t="n">
        <v>45752</v>
      </c>
      <c r="D7699" t="inlineStr">
        <is>
          <t>SKÅNE LÄN</t>
        </is>
      </c>
      <c r="E7699" t="inlineStr">
        <is>
          <t>ÖSTRA GÖINGE</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12601-2025</t>
        </is>
      </c>
      <c r="B7700" s="1" t="n">
        <v>45733</v>
      </c>
      <c r="C7700" s="1" t="n">
        <v>45752</v>
      </c>
      <c r="D7700" t="inlineStr">
        <is>
          <t>SKÅNE LÄN</t>
        </is>
      </c>
      <c r="E7700" t="inlineStr">
        <is>
          <t>OSBY</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45752</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45752</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12915-2025</t>
        </is>
      </c>
      <c r="B7703" s="1" t="n">
        <v>45733</v>
      </c>
      <c r="C7703" s="1" t="n">
        <v>45752</v>
      </c>
      <c r="D7703" t="inlineStr">
        <is>
          <t>SKÅNE LÄN</t>
        </is>
      </c>
      <c r="E7703" t="inlineStr">
        <is>
          <t>KRISTIANSTAD</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45752</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45752</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12652-2025</t>
        </is>
      </c>
      <c r="B7706" s="1" t="n">
        <v>45733</v>
      </c>
      <c r="C7706" s="1" t="n">
        <v>45752</v>
      </c>
      <c r="D7706" t="inlineStr">
        <is>
          <t>SKÅNE LÄN</t>
        </is>
      </c>
      <c r="E7706" t="inlineStr">
        <is>
          <t>ÄNGELHOLM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45752</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45752</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45752</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45752</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45752</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13345-2025</t>
        </is>
      </c>
      <c r="B7712" s="1" t="n">
        <v>45735</v>
      </c>
      <c r="C7712" s="1" t="n">
        <v>45752</v>
      </c>
      <c r="D7712" t="inlineStr">
        <is>
          <t>SKÅNE LÄN</t>
        </is>
      </c>
      <c r="E7712" t="inlineStr">
        <is>
          <t>HÄSSLEHOLM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13347-2025</t>
        </is>
      </c>
      <c r="B7713" s="1" t="n">
        <v>45735</v>
      </c>
      <c r="C7713" s="1" t="n">
        <v>45752</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45752</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13308-2025</t>
        </is>
      </c>
      <c r="B7715" s="1" t="n">
        <v>45735</v>
      </c>
      <c r="C7715" s="1" t="n">
        <v>45752</v>
      </c>
      <c r="D7715" t="inlineStr">
        <is>
          <t>SKÅNE LÄN</t>
        </is>
      </c>
      <c r="E7715" t="inlineStr">
        <is>
          <t>HÖRBY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45752</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13309-2025</t>
        </is>
      </c>
      <c r="B7717" s="1" t="n">
        <v>45735</v>
      </c>
      <c r="C7717" s="1" t="n">
        <v>45752</v>
      </c>
      <c r="D7717" t="inlineStr">
        <is>
          <t>SKÅNE LÄN</t>
        </is>
      </c>
      <c r="E7717" t="inlineStr">
        <is>
          <t>HÄSSLEHOLM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13310-2025</t>
        </is>
      </c>
      <c r="B7718" s="1" t="n">
        <v>45735</v>
      </c>
      <c r="C7718" s="1" t="n">
        <v>45752</v>
      </c>
      <c r="D7718" t="inlineStr">
        <is>
          <t>SKÅNE LÄN</t>
        </is>
      </c>
      <c r="E7718" t="inlineStr">
        <is>
          <t>HÄSSLEHOLM</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45752</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45752</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13516-2025</t>
        </is>
      </c>
      <c r="B7721" s="1" t="n">
        <v>45736</v>
      </c>
      <c r="C7721" s="1" t="n">
        <v>45752</v>
      </c>
      <c r="D7721" t="inlineStr">
        <is>
          <t>SKÅNE LÄN</t>
        </is>
      </c>
      <c r="E7721" t="inlineStr">
        <is>
          <t>ÖSTRA GÖINGE</t>
        </is>
      </c>
      <c r="G7721" t="n">
        <v>11.5</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45752</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45752</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13549-2025</t>
        </is>
      </c>
      <c r="B7724" s="1" t="n">
        <v>45736</v>
      </c>
      <c r="C7724" s="1" t="n">
        <v>45752</v>
      </c>
      <c r="D7724" t="inlineStr">
        <is>
          <t>SKÅNE LÄN</t>
        </is>
      </c>
      <c r="E7724" t="inlineStr">
        <is>
          <t>HÄSSLEHOLM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13555-2025</t>
        </is>
      </c>
      <c r="B7725" s="1" t="n">
        <v>45736</v>
      </c>
      <c r="C7725" s="1" t="n">
        <v>45752</v>
      </c>
      <c r="D7725" t="inlineStr">
        <is>
          <t>SKÅNE LÄN</t>
        </is>
      </c>
      <c r="E7725" t="inlineStr">
        <is>
          <t>HÄSSLEHOLM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45752</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13664-2025</t>
        </is>
      </c>
      <c r="B7727" s="1" t="n">
        <v>45736</v>
      </c>
      <c r="C7727" s="1" t="n">
        <v>45752</v>
      </c>
      <c r="D7727" t="inlineStr">
        <is>
          <t>SKÅNE LÄN</t>
        </is>
      </c>
      <c r="E7727" t="inlineStr">
        <is>
          <t>KRISTIANSTAD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45752</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13953-2025</t>
        </is>
      </c>
      <c r="B7729" s="1" t="n">
        <v>45737</v>
      </c>
      <c r="C7729" s="1" t="n">
        <v>45752</v>
      </c>
      <c r="D7729" t="inlineStr">
        <is>
          <t>SKÅNE LÄN</t>
        </is>
      </c>
      <c r="E7729" t="inlineStr">
        <is>
          <t>KRISTIANSTAD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13875-2025</t>
        </is>
      </c>
      <c r="B7730" s="1" t="n">
        <v>45737</v>
      </c>
      <c r="C7730" s="1" t="n">
        <v>45752</v>
      </c>
      <c r="D7730" t="inlineStr">
        <is>
          <t>SKÅNE LÄN</t>
        </is>
      </c>
      <c r="E7730" t="inlineStr">
        <is>
          <t>KRISTIANSTAD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13928-2025</t>
        </is>
      </c>
      <c r="B7731" s="1" t="n">
        <v>45737</v>
      </c>
      <c r="C7731" s="1" t="n">
        <v>45752</v>
      </c>
      <c r="D7731" t="inlineStr">
        <is>
          <t>SKÅNE LÄN</t>
        </is>
      </c>
      <c r="E7731" t="inlineStr">
        <is>
          <t>KRISTIANSTAD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13754-2025</t>
        </is>
      </c>
      <c r="B7732" s="1" t="n">
        <v>45737</v>
      </c>
      <c r="C7732" s="1" t="n">
        <v>45752</v>
      </c>
      <c r="D7732" t="inlineStr">
        <is>
          <t>SKÅNE LÄN</t>
        </is>
      </c>
      <c r="E7732" t="inlineStr">
        <is>
          <t>OSBY</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13712-2025</t>
        </is>
      </c>
      <c r="B7733" s="1" t="n">
        <v>45737</v>
      </c>
      <c r="C7733" s="1" t="n">
        <v>45752</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13851-2025</t>
        </is>
      </c>
      <c r="B7734" s="1" t="n">
        <v>45737</v>
      </c>
      <c r="C7734" s="1" t="n">
        <v>45752</v>
      </c>
      <c r="D7734" t="inlineStr">
        <is>
          <t>SKÅNE LÄN</t>
        </is>
      </c>
      <c r="E7734" t="inlineStr">
        <is>
          <t>HÄSSLEHOLM</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13959-2025</t>
        </is>
      </c>
      <c r="B7735" s="1" t="n">
        <v>45737</v>
      </c>
      <c r="C7735" s="1" t="n">
        <v>45752</v>
      </c>
      <c r="D7735" t="inlineStr">
        <is>
          <t>SKÅNE LÄN</t>
        </is>
      </c>
      <c r="E7735" t="inlineStr">
        <is>
          <t>OSBY</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45752</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13797-2025</t>
        </is>
      </c>
      <c r="B7737" s="1" t="n">
        <v>45737</v>
      </c>
      <c r="C7737" s="1" t="n">
        <v>45752</v>
      </c>
      <c r="D7737" t="inlineStr">
        <is>
          <t>SKÅNE LÄN</t>
        </is>
      </c>
      <c r="E7737" t="inlineStr">
        <is>
          <t>ÖRKELLJUNGA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13940-2025</t>
        </is>
      </c>
      <c r="B7738" s="1" t="n">
        <v>45737</v>
      </c>
      <c r="C7738" s="1" t="n">
        <v>45752</v>
      </c>
      <c r="D7738" t="inlineStr">
        <is>
          <t>SKÅNE LÄN</t>
        </is>
      </c>
      <c r="E7738" t="inlineStr">
        <is>
          <t>KRISTIANSTAD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13954-2025</t>
        </is>
      </c>
      <c r="B7739" s="1" t="n">
        <v>45737</v>
      </c>
      <c r="C7739" s="1" t="n">
        <v>45752</v>
      </c>
      <c r="D7739" t="inlineStr">
        <is>
          <t>SKÅNE LÄN</t>
        </is>
      </c>
      <c r="E7739" t="inlineStr">
        <is>
          <t>KRISTIANSTAD</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45752</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13975-2025</t>
        </is>
      </c>
      <c r="B7741" s="1" t="n">
        <v>45738</v>
      </c>
      <c r="C7741" s="1" t="n">
        <v>45752</v>
      </c>
      <c r="D7741" t="inlineStr">
        <is>
          <t>SKÅNE LÄN</t>
        </is>
      </c>
      <c r="E7741" t="inlineStr">
        <is>
          <t>KRISTIANSTAD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45752</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45752</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45752</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13977-2025</t>
        </is>
      </c>
      <c r="B7745" s="1" t="n">
        <v>45738</v>
      </c>
      <c r="C7745" s="1" t="n">
        <v>45752</v>
      </c>
      <c r="D7745" t="inlineStr">
        <is>
          <t>SKÅNE LÄN</t>
        </is>
      </c>
      <c r="E7745" t="inlineStr">
        <is>
          <t>KRISTIANSTAD</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45752</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45752</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45752</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45752</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45752</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45752</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45752</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45752</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45752</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14684-2025</t>
        </is>
      </c>
      <c r="B7755" s="1" t="n">
        <v>45742</v>
      </c>
      <c r="C7755" s="1" t="n">
        <v>45752</v>
      </c>
      <c r="D7755" t="inlineStr">
        <is>
          <t>SKÅNE LÄN</t>
        </is>
      </c>
      <c r="E7755" t="inlineStr">
        <is>
          <t>ÖSTRA GÖINGE</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14780-2025</t>
        </is>
      </c>
      <c r="B7756" s="1" t="n">
        <v>45742</v>
      </c>
      <c r="C7756" s="1" t="n">
        <v>45752</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14670-2025</t>
        </is>
      </c>
      <c r="B7757" s="1" t="n">
        <v>45742</v>
      </c>
      <c r="C7757" s="1" t="n">
        <v>45752</v>
      </c>
      <c r="D7757" t="inlineStr">
        <is>
          <t>SKÅNE LÄN</t>
        </is>
      </c>
      <c r="E7757" t="inlineStr">
        <is>
          <t>HÄSSLEHOLM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14620-2025</t>
        </is>
      </c>
      <c r="B7758" s="1" t="n">
        <v>45742</v>
      </c>
      <c r="C7758" s="1" t="n">
        <v>45752</v>
      </c>
      <c r="D7758" t="inlineStr">
        <is>
          <t>SKÅNE LÄN</t>
        </is>
      </c>
      <c r="E7758" t="inlineStr">
        <is>
          <t>KLIPPAN</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14777-2025</t>
        </is>
      </c>
      <c r="B7759" s="1" t="n">
        <v>45742</v>
      </c>
      <c r="C7759" s="1" t="n">
        <v>45752</v>
      </c>
      <c r="D7759" t="inlineStr">
        <is>
          <t>SKÅNE LÄN</t>
        </is>
      </c>
      <c r="E7759" t="inlineStr">
        <is>
          <t>OSBY</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14655-2025</t>
        </is>
      </c>
      <c r="B7760" s="1" t="n">
        <v>45742</v>
      </c>
      <c r="C7760" s="1" t="n">
        <v>45752</v>
      </c>
      <c r="D7760" t="inlineStr">
        <is>
          <t>SKÅNE LÄN</t>
        </is>
      </c>
      <c r="E7760" t="inlineStr">
        <is>
          <t>HÄSSLEHOLM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14683-2025</t>
        </is>
      </c>
      <c r="B7761" s="1" t="n">
        <v>45742</v>
      </c>
      <c r="C7761" s="1" t="n">
        <v>45752</v>
      </c>
      <c r="D7761" t="inlineStr">
        <is>
          <t>SKÅNE LÄN</t>
        </is>
      </c>
      <c r="E7761" t="inlineStr">
        <is>
          <t>ÖSTRA GÖINGE</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14702-2025</t>
        </is>
      </c>
      <c r="B7762" s="1" t="n">
        <v>45742</v>
      </c>
      <c r="C7762" s="1" t="n">
        <v>45752</v>
      </c>
      <c r="D7762" t="inlineStr">
        <is>
          <t>SKÅNE LÄN</t>
        </is>
      </c>
      <c r="E7762" t="inlineStr">
        <is>
          <t>HÄSSLEHOLM</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14674-2025</t>
        </is>
      </c>
      <c r="B7763" s="1" t="n">
        <v>45742</v>
      </c>
      <c r="C7763" s="1" t="n">
        <v>45752</v>
      </c>
      <c r="D7763" t="inlineStr">
        <is>
          <t>SKÅNE LÄN</t>
        </is>
      </c>
      <c r="E7763" t="inlineStr">
        <is>
          <t>HÄSSLEHOLM</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45752</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45752</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15158-2025</t>
        </is>
      </c>
      <c r="B7766" s="1" t="n">
        <v>45744</v>
      </c>
      <c r="C7766" s="1" t="n">
        <v>45752</v>
      </c>
      <c r="D7766" t="inlineStr">
        <is>
          <t>SKÅNE LÄN</t>
        </is>
      </c>
      <c r="E7766" t="inlineStr">
        <is>
          <t>TOMELILLA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15259-2025</t>
        </is>
      </c>
      <c r="B7767" s="1" t="n">
        <v>45744</v>
      </c>
      <c r="C7767" s="1" t="n">
        <v>45752</v>
      </c>
      <c r="D7767" t="inlineStr">
        <is>
          <t>SKÅNE LÄN</t>
        </is>
      </c>
      <c r="E7767" t="inlineStr">
        <is>
          <t>KRISTIANSTAD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15283-2025</t>
        </is>
      </c>
      <c r="B7768" s="1" t="n">
        <v>45744</v>
      </c>
      <c r="C7768" s="1" t="n">
        <v>45752</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15232-2025</t>
        </is>
      </c>
      <c r="B7769" s="1" t="n">
        <v>45744</v>
      </c>
      <c r="C7769" s="1" t="n">
        <v>45752</v>
      </c>
      <c r="D7769" t="inlineStr">
        <is>
          <t>SKÅNE LÄN</t>
        </is>
      </c>
      <c r="E7769" t="inlineStr">
        <is>
          <t>OSBY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45752</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45752</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15305-2025</t>
        </is>
      </c>
      <c r="B7772" s="1" t="n">
        <v>45746</v>
      </c>
      <c r="C7772" s="1" t="n">
        <v>45752</v>
      </c>
      <c r="D7772" t="inlineStr">
        <is>
          <t>SKÅNE LÄN</t>
        </is>
      </c>
      <c r="E7772" t="inlineStr">
        <is>
          <t>TOMELILLA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45752</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15478-2025</t>
        </is>
      </c>
      <c r="B7774" s="1" t="n">
        <v>45747</v>
      </c>
      <c r="C7774" s="1" t="n">
        <v>45752</v>
      </c>
      <c r="D7774" t="inlineStr">
        <is>
          <t>SKÅNE LÄN</t>
        </is>
      </c>
      <c r="E7774" t="inlineStr">
        <is>
          <t>ÖRKELLJUNGA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15488-2025</t>
        </is>
      </c>
      <c r="B7775" s="1" t="n">
        <v>45747</v>
      </c>
      <c r="C7775" s="1" t="n">
        <v>45752</v>
      </c>
      <c r="D7775" t="inlineStr">
        <is>
          <t>SKÅNE LÄN</t>
        </is>
      </c>
      <c r="E7775" t="inlineStr">
        <is>
          <t>BROMÖLLA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45752</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45752</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45752</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15773-2025</t>
        </is>
      </c>
      <c r="B7779" s="1" t="n">
        <v>45748</v>
      </c>
      <c r="C7779" s="1" t="n">
        <v>45752</v>
      </c>
      <c r="D7779" t="inlineStr">
        <is>
          <t>SKÅNE LÄN</t>
        </is>
      </c>
      <c r="E7779" t="inlineStr">
        <is>
          <t>SJÖBO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15800-2025</t>
        </is>
      </c>
      <c r="B7780" s="1" t="n">
        <v>45748</v>
      </c>
      <c r="C7780" s="1" t="n">
        <v>45752</v>
      </c>
      <c r="D7780" t="inlineStr">
        <is>
          <t>SKÅNE LÄN</t>
        </is>
      </c>
      <c r="E7780" t="inlineStr">
        <is>
          <t>HÄSSLEHOLM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15657-2025</t>
        </is>
      </c>
      <c r="B7781" s="1" t="n">
        <v>45748</v>
      </c>
      <c r="C7781" s="1" t="n">
        <v>45752</v>
      </c>
      <c r="D7781" t="inlineStr">
        <is>
          <t>SKÅNE LÄN</t>
        </is>
      </c>
      <c r="E7781" t="inlineStr">
        <is>
          <t>HÖÖR</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15712-2025</t>
        </is>
      </c>
      <c r="B7782" s="1" t="n">
        <v>45748</v>
      </c>
      <c r="C7782" s="1" t="n">
        <v>45752</v>
      </c>
      <c r="D7782" t="inlineStr">
        <is>
          <t>SKÅNE LÄN</t>
        </is>
      </c>
      <c r="E7782" t="inlineStr">
        <is>
          <t>KRISTIANSTAD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15631-2025</t>
        </is>
      </c>
      <c r="B7783" s="1" t="n">
        <v>45748</v>
      </c>
      <c r="C7783" s="1" t="n">
        <v>45752</v>
      </c>
      <c r="D7783" t="inlineStr">
        <is>
          <t>SKÅNE LÄN</t>
        </is>
      </c>
      <c r="E7783" t="inlineStr">
        <is>
          <t>HÖRBY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15795-2025</t>
        </is>
      </c>
      <c r="B7784" s="1" t="n">
        <v>45748</v>
      </c>
      <c r="C7784" s="1" t="n">
        <v>45752</v>
      </c>
      <c r="D7784" t="inlineStr">
        <is>
          <t>SKÅNE LÄN</t>
        </is>
      </c>
      <c r="E7784" t="inlineStr">
        <is>
          <t>ÖSTRA GÖINGE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15706-2025</t>
        </is>
      </c>
      <c r="B7785" s="1" t="n">
        <v>45748</v>
      </c>
      <c r="C7785" s="1" t="n">
        <v>45752</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15828-2025</t>
        </is>
      </c>
      <c r="B7786" s="1" t="n">
        <v>45748</v>
      </c>
      <c r="C7786" s="1" t="n">
        <v>45752</v>
      </c>
      <c r="D7786" t="inlineStr">
        <is>
          <t>SKÅNE LÄN</t>
        </is>
      </c>
      <c r="E7786" t="inlineStr">
        <is>
          <t>KRISTIANSTAD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15893-2025</t>
        </is>
      </c>
      <c r="B7787" s="1" t="n">
        <v>45749</v>
      </c>
      <c r="C7787" s="1" t="n">
        <v>45752</v>
      </c>
      <c r="D7787" t="inlineStr">
        <is>
          <t>SKÅNE LÄN</t>
        </is>
      </c>
      <c r="E7787" t="inlineStr">
        <is>
          <t>OSBY</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15886-2025</t>
        </is>
      </c>
      <c r="B7788" s="1" t="n">
        <v>45749</v>
      </c>
      <c r="C7788" s="1" t="n">
        <v>45752</v>
      </c>
      <c r="D7788" t="inlineStr">
        <is>
          <t>SKÅNE LÄN</t>
        </is>
      </c>
      <c r="E7788" t="inlineStr">
        <is>
          <t>OSBY</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15987-2025</t>
        </is>
      </c>
      <c r="B7789" s="1" t="n">
        <v>45749</v>
      </c>
      <c r="C7789" s="1" t="n">
        <v>45752</v>
      </c>
      <c r="D7789" t="inlineStr">
        <is>
          <t>SKÅNE LÄN</t>
        </is>
      </c>
      <c r="E7789" t="inlineStr">
        <is>
          <t>ÖRKELLJUNGA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15887-2025</t>
        </is>
      </c>
      <c r="B7790" s="1" t="n">
        <v>45749</v>
      </c>
      <c r="C7790" s="1" t="n">
        <v>45752</v>
      </c>
      <c r="D7790" t="inlineStr">
        <is>
          <t>SKÅNE LÄN</t>
        </is>
      </c>
      <c r="E7790" t="inlineStr">
        <is>
          <t>KRISTIANSTAD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15917-2025</t>
        </is>
      </c>
      <c r="B7791" s="1" t="n">
        <v>45749</v>
      </c>
      <c r="C7791" s="1" t="n">
        <v>45752</v>
      </c>
      <c r="D7791" t="inlineStr">
        <is>
          <t>SKÅNE LÄN</t>
        </is>
      </c>
      <c r="E7791" t="inlineStr">
        <is>
          <t>TOMELILLA</t>
        </is>
      </c>
      <c r="G7791" t="n">
        <v>12.5</v>
      </c>
      <c r="H7791" t="n">
        <v>0</v>
      </c>
      <c r="I7791" t="n">
        <v>0</v>
      </c>
      <c r="J7791" t="n">
        <v>0</v>
      </c>
      <c r="K7791" t="n">
        <v>0</v>
      </c>
      <c r="L7791" t="n">
        <v>0</v>
      </c>
      <c r="M7791" t="n">
        <v>0</v>
      </c>
      <c r="N7791" t="n">
        <v>0</v>
      </c>
      <c r="O7791" t="n">
        <v>0</v>
      </c>
      <c r="P7791" t="n">
        <v>0</v>
      </c>
      <c r="Q7791" t="n">
        <v>0</v>
      </c>
      <c r="R7791" s="2" t="inlineStr"/>
    </row>
    <row r="7792" ht="15" customHeight="1">
      <c r="A7792" t="inlineStr">
        <is>
          <t>A 16019-2025</t>
        </is>
      </c>
      <c r="B7792" s="1" t="n">
        <v>45749</v>
      </c>
      <c r="C7792" s="1" t="n">
        <v>45752</v>
      </c>
      <c r="D7792" t="inlineStr">
        <is>
          <t>SKÅNE LÄN</t>
        </is>
      </c>
      <c r="E7792" t="inlineStr">
        <is>
          <t>HÄSSLEHOLM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15984-2025</t>
        </is>
      </c>
      <c r="B7793" s="1" t="n">
        <v>45749</v>
      </c>
      <c r="C7793" s="1" t="n">
        <v>45752</v>
      </c>
      <c r="D7793" t="inlineStr">
        <is>
          <t>SKÅNE LÄN</t>
        </is>
      </c>
      <c r="E7793" t="inlineStr">
        <is>
          <t>LUND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16016-2025</t>
        </is>
      </c>
      <c r="B7794" s="1" t="n">
        <v>45749</v>
      </c>
      <c r="C7794" s="1" t="n">
        <v>45752</v>
      </c>
      <c r="D7794" t="inlineStr">
        <is>
          <t>SKÅNE LÄN</t>
        </is>
      </c>
      <c r="E7794" t="inlineStr">
        <is>
          <t>HÄSSLEHOLM</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45752</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15890-2025</t>
        </is>
      </c>
      <c r="B7796" s="1" t="n">
        <v>45749</v>
      </c>
      <c r="C7796" s="1" t="n">
        <v>45752</v>
      </c>
      <c r="D7796" t="inlineStr">
        <is>
          <t>SKÅNE LÄN</t>
        </is>
      </c>
      <c r="E7796" t="inlineStr">
        <is>
          <t>KRISTIANSTAD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15897-2025</t>
        </is>
      </c>
      <c r="B7797" s="1" t="n">
        <v>45749</v>
      </c>
      <c r="C7797" s="1" t="n">
        <v>45752</v>
      </c>
      <c r="D7797" t="inlineStr">
        <is>
          <t>SKÅNE LÄN</t>
        </is>
      </c>
      <c r="E7797" t="inlineStr">
        <is>
          <t>HÄSSLEHOLM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15921-2025</t>
        </is>
      </c>
      <c r="B7798" s="1" t="n">
        <v>45749</v>
      </c>
      <c r="C7798" s="1" t="n">
        <v>45752</v>
      </c>
      <c r="D7798" t="inlineStr">
        <is>
          <t>SKÅNE LÄN</t>
        </is>
      </c>
      <c r="E7798" t="inlineStr">
        <is>
          <t>TOMELILLA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16101-2025</t>
        </is>
      </c>
      <c r="B7799" s="1" t="n">
        <v>45750</v>
      </c>
      <c r="C7799" s="1" t="n">
        <v>45752</v>
      </c>
      <c r="D7799" t="inlineStr">
        <is>
          <t>SKÅNE LÄN</t>
        </is>
      </c>
      <c r="E7799" t="inlineStr">
        <is>
          <t>HÖRBY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16252-2025</t>
        </is>
      </c>
      <c r="B7800" s="1" t="n">
        <v>45750</v>
      </c>
      <c r="C7800" s="1" t="n">
        <v>45752</v>
      </c>
      <c r="D7800" t="inlineStr">
        <is>
          <t>SKÅNE LÄN</t>
        </is>
      </c>
      <c r="E7800" t="inlineStr">
        <is>
          <t>HÖRBY</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45752</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45752</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45752</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45752</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45752</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16285-2025</t>
        </is>
      </c>
      <c r="B7806" s="1" t="n">
        <v>45751</v>
      </c>
      <c r="C7806" s="1" t="n">
        <v>45752</v>
      </c>
      <c r="D7806" t="inlineStr">
        <is>
          <t>SKÅNE LÄN</t>
        </is>
      </c>
      <c r="E7806" t="inlineStr">
        <is>
          <t>HÄSSLEHOLM</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16388-2025</t>
        </is>
      </c>
      <c r="B7807" s="1" t="n">
        <v>45751</v>
      </c>
      <c r="C7807" s="1" t="n">
        <v>45752</v>
      </c>
      <c r="D7807" t="inlineStr">
        <is>
          <t>SKÅNE LÄN</t>
        </is>
      </c>
      <c r="E7807" t="inlineStr">
        <is>
          <t>HÄSSLEHOLM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16399-2025</t>
        </is>
      </c>
      <c r="B7808" s="1" t="n">
        <v>45751</v>
      </c>
      <c r="C7808" s="1" t="n">
        <v>45752</v>
      </c>
      <c r="D7808" t="inlineStr">
        <is>
          <t>SKÅNE LÄN</t>
        </is>
      </c>
      <c r="E7808" t="inlineStr">
        <is>
          <t>KLIPPAN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16495-2025</t>
        </is>
      </c>
      <c r="B7809" s="1" t="n">
        <v>45751</v>
      </c>
      <c r="C7809" s="1" t="n">
        <v>45752</v>
      </c>
      <c r="D7809" t="inlineStr">
        <is>
          <t>SKÅNE LÄN</t>
        </is>
      </c>
      <c r="E7809" t="inlineStr">
        <is>
          <t>ÖSTRA GÖINGE</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16499-2025</t>
        </is>
      </c>
      <c r="B7810" s="1" t="n">
        <v>45751</v>
      </c>
      <c r="C7810" s="1" t="n">
        <v>45752</v>
      </c>
      <c r="D7810" t="inlineStr">
        <is>
          <t>SKÅNE LÄN</t>
        </is>
      </c>
      <c r="E7810" t="inlineStr">
        <is>
          <t>LUND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16550-2025</t>
        </is>
      </c>
      <c r="B7811" s="1" t="n">
        <v>45751</v>
      </c>
      <c r="C7811" s="1" t="n">
        <v>45752</v>
      </c>
      <c r="D7811" t="inlineStr">
        <is>
          <t>SKÅNE LÄN</t>
        </is>
      </c>
      <c r="E7811" t="inlineStr">
        <is>
          <t>HÄSSLEHOLM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16549-2025</t>
        </is>
      </c>
      <c r="B7812" s="1" t="n">
        <v>45751</v>
      </c>
      <c r="C7812" s="1" t="n">
        <v>45752</v>
      </c>
      <c r="D7812" t="inlineStr">
        <is>
          <t>SKÅNE LÄN</t>
        </is>
      </c>
      <c r="E7812" t="inlineStr">
        <is>
          <t>KRISTIANSTAD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16337-2025</t>
        </is>
      </c>
      <c r="B7813" s="1" t="n">
        <v>45751</v>
      </c>
      <c r="C7813" s="1" t="n">
        <v>45752</v>
      </c>
      <c r="D7813" t="inlineStr">
        <is>
          <t>SKÅNE LÄN</t>
        </is>
      </c>
      <c r="E7813" t="inlineStr">
        <is>
          <t>PERSTORP</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16422-2025</t>
        </is>
      </c>
      <c r="B7814" s="1" t="n">
        <v>45751</v>
      </c>
      <c r="C7814" s="1" t="n">
        <v>45752</v>
      </c>
      <c r="D7814" t="inlineStr">
        <is>
          <t>SKÅNE LÄN</t>
        </is>
      </c>
      <c r="E7814" t="inlineStr">
        <is>
          <t>ÖRKELLJUNGA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16331-2025</t>
        </is>
      </c>
      <c r="B7815" s="1" t="n">
        <v>45751</v>
      </c>
      <c r="C7815" s="1" t="n">
        <v>45752</v>
      </c>
      <c r="D7815" t="inlineStr">
        <is>
          <t>SKÅNE LÄN</t>
        </is>
      </c>
      <c r="E7815" t="inlineStr">
        <is>
          <t>PERSTORP</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16418-2025</t>
        </is>
      </c>
      <c r="B7816" s="1" t="n">
        <v>45751</v>
      </c>
      <c r="C7816" s="1" t="n">
        <v>45752</v>
      </c>
      <c r="D7816" t="inlineStr">
        <is>
          <t>SKÅNE LÄN</t>
        </is>
      </c>
      <c r="E7816" t="inlineStr">
        <is>
          <t>KLIPPAN</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16430-2025</t>
        </is>
      </c>
      <c r="B7817" s="1" t="n">
        <v>45751</v>
      </c>
      <c r="C7817" s="1" t="n">
        <v>45752</v>
      </c>
      <c r="D7817" t="inlineStr">
        <is>
          <t>SKÅNE LÄN</t>
        </is>
      </c>
      <c r="E7817" t="inlineStr">
        <is>
          <t>HÖÖR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16436-2025</t>
        </is>
      </c>
      <c r="B7818" s="1" t="n">
        <v>45751</v>
      </c>
      <c r="C7818" s="1" t="n">
        <v>45752</v>
      </c>
      <c r="D7818" t="inlineStr">
        <is>
          <t>SKÅNE LÄN</t>
        </is>
      </c>
      <c r="E7818" t="inlineStr">
        <is>
          <t>HÖÖR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16434-2025</t>
        </is>
      </c>
      <c r="B7819" s="1" t="n">
        <v>45751</v>
      </c>
      <c r="C7819" s="1" t="n">
        <v>45752</v>
      </c>
      <c r="D7819" t="inlineStr">
        <is>
          <t>SKÅNE LÄN</t>
        </is>
      </c>
      <c r="E7819" t="inlineStr">
        <is>
          <t>HÖÖR</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16357-2025</t>
        </is>
      </c>
      <c r="B7820" s="1" t="n">
        <v>45751</v>
      </c>
      <c r="C7820" s="1" t="n">
        <v>45752</v>
      </c>
      <c r="D7820" t="inlineStr">
        <is>
          <t>SKÅNE LÄN</t>
        </is>
      </c>
      <c r="E7820" t="inlineStr">
        <is>
          <t>HÄSSLEHOLM</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16474-2025</t>
        </is>
      </c>
      <c r="B7821" s="1" t="n">
        <v>45751</v>
      </c>
      <c r="C7821" s="1" t="n">
        <v>45752</v>
      </c>
      <c r="D7821" t="inlineStr">
        <is>
          <t>SKÅNE LÄN</t>
        </is>
      </c>
      <c r="E7821" t="inlineStr">
        <is>
          <t>HÄSSLEHOLM</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16382-2025</t>
        </is>
      </c>
      <c r="B7822" s="1" t="n">
        <v>45751</v>
      </c>
      <c r="C7822" s="1" t="n">
        <v>45752</v>
      </c>
      <c r="D7822" t="inlineStr">
        <is>
          <t>SKÅNE LÄN</t>
        </is>
      </c>
      <c r="E7822" t="inlineStr">
        <is>
          <t>ÖSTRA GÖINGE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16326-2025</t>
        </is>
      </c>
      <c r="B7823" s="1" t="n">
        <v>45751</v>
      </c>
      <c r="C7823" s="1" t="n">
        <v>45752</v>
      </c>
      <c r="D7823" t="inlineStr">
        <is>
          <t>SKÅNE LÄN</t>
        </is>
      </c>
      <c r="E7823" t="inlineStr">
        <is>
          <t>PERSTORP</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16327-2025</t>
        </is>
      </c>
      <c r="B7824" s="1" t="n">
        <v>45751</v>
      </c>
      <c r="C7824" s="1" t="n">
        <v>45752</v>
      </c>
      <c r="D7824" t="inlineStr">
        <is>
          <t>SKÅNE LÄN</t>
        </is>
      </c>
      <c r="E7824" t="inlineStr">
        <is>
          <t>PERSTORP</t>
        </is>
      </c>
      <c r="G7824" t="n">
        <v>1.2</v>
      </c>
      <c r="H7824" t="n">
        <v>0</v>
      </c>
      <c r="I7824" t="n">
        <v>0</v>
      </c>
      <c r="J7824" t="n">
        <v>0</v>
      </c>
      <c r="K7824" t="n">
        <v>0</v>
      </c>
      <c r="L7824" t="n">
        <v>0</v>
      </c>
      <c r="M7824" t="n">
        <v>0</v>
      </c>
      <c r="N7824" t="n">
        <v>0</v>
      </c>
      <c r="O7824" t="n">
        <v>0</v>
      </c>
      <c r="P7824" t="n">
        <v>0</v>
      </c>
      <c r="Q7824" t="n">
        <v>0</v>
      </c>
      <c r="R7824" s="2" t="inlineStr"/>
    </row>
    <row r="7825">
      <c r="A7825" t="inlineStr">
        <is>
          <t>A 16368-2025</t>
        </is>
      </c>
      <c r="B7825" s="1" t="n">
        <v>45751</v>
      </c>
      <c r="C7825" s="1" t="n">
        <v>45752</v>
      </c>
      <c r="D7825" t="inlineStr">
        <is>
          <t>SKÅNE LÄN</t>
        </is>
      </c>
      <c r="E7825" t="inlineStr">
        <is>
          <t>HÄSSLEHOLM</t>
        </is>
      </c>
      <c r="G7825" t="n">
        <v>5</v>
      </c>
      <c r="H7825" t="n">
        <v>0</v>
      </c>
      <c r="I7825" t="n">
        <v>0</v>
      </c>
      <c r="J7825" t="n">
        <v>0</v>
      </c>
      <c r="K7825" t="n">
        <v>0</v>
      </c>
      <c r="L7825" t="n">
        <v>0</v>
      </c>
      <c r="M7825" t="n">
        <v>0</v>
      </c>
      <c r="N7825" t="n">
        <v>0</v>
      </c>
      <c r="O7825" t="n">
        <v>0</v>
      </c>
      <c r="P7825" t="n">
        <v>0</v>
      </c>
      <c r="Q7825" t="n">
        <v>0</v>
      </c>
      <c r="R7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2025-04-05T16:35:41Z</dcterms:created>
  <dcterms:modified xmlns:dcterms="http://purl.org/dc/terms/" xmlns:xsi="http://www.w3.org/2001/XMLSchema-instance" xsi:type="dcterms:W3CDTF">2025-04-05T16:35:48Z</dcterms:modified>
</cp:coreProperties>
</file>