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45585</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45585</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45585</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45585</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45585</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45585</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45585</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45585</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45585</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45585</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45585</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45585</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45585</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45585</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45585</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45585</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45585</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45585</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45585</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45585</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45585</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45585</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45585</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45585</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45585</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45585</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45585</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45585</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45585</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45585</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45585</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45585</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45585</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45585</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45585</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45585</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45585</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45585</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45585</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45585</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45585</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45585</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45585</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45585</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45585</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45585</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45585</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45585</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45585</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45585</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45585</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45585</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45585</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45585</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45585</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45585</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45585</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45585</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45585</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45585</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45585</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45585</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45585</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45585</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45585</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45585</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45585</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45585</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45585</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45585</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45585</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45585</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45585</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45585</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45585</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45585</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45585</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45585</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45585</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45585</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45585</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45585</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45585</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45585</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45585</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45585</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45585</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45585</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45585</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45585</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45585</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45585</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45585</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45585</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45585</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45585</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45585</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3853-2021</t>
        </is>
      </c>
      <c r="B104" s="1" t="n">
        <v>44222</v>
      </c>
      <c r="C104" s="1" t="n">
        <v>45585</v>
      </c>
      <c r="D104" t="inlineStr">
        <is>
          <t>SKÅNE LÄN</t>
        </is>
      </c>
      <c r="E104" t="inlineStr">
        <is>
          <t>ÖSTRA GÖINGE</t>
        </is>
      </c>
      <c r="G104" t="n">
        <v>1.4</v>
      </c>
      <c r="H104" t="n">
        <v>0</v>
      </c>
      <c r="I104" t="n">
        <v>2</v>
      </c>
      <c r="J104" t="n">
        <v>0</v>
      </c>
      <c r="K104" t="n">
        <v>0</v>
      </c>
      <c r="L104" t="n">
        <v>0</v>
      </c>
      <c r="M104" t="n">
        <v>0</v>
      </c>
      <c r="N104" t="n">
        <v>0</v>
      </c>
      <c r="O104" t="n">
        <v>0</v>
      </c>
      <c r="P104" t="n">
        <v>0</v>
      </c>
      <c r="Q104" t="n">
        <v>2</v>
      </c>
      <c r="R104" s="2" t="inlineStr">
        <is>
          <t>Guldlockmossa
Platt fjädermossa</t>
        </is>
      </c>
      <c r="S104">
        <f>HYPERLINK("https://klasma.github.io/Logging_1256/artfynd/A 3853-2021 artfynd.xlsx", "A 3853-2021")</f>
        <v/>
      </c>
      <c r="T104">
        <f>HYPERLINK("https://klasma.github.io/Logging_1256/kartor/A 3853-2021 karta.png", "A 3853-2021")</f>
        <v/>
      </c>
      <c r="V104">
        <f>HYPERLINK("https://klasma.github.io/Logging_1256/klagomål/A 3853-2021 FSC-klagomål.docx", "A 3853-2021")</f>
        <v/>
      </c>
      <c r="W104">
        <f>HYPERLINK("https://klasma.github.io/Logging_1256/klagomålsmail/A 3853-2021 FSC-klagomål mail.docx", "A 3853-2021")</f>
        <v/>
      </c>
      <c r="X104">
        <f>HYPERLINK("https://klasma.github.io/Logging_1256/tillsyn/A 3853-2021 tillsynsbegäran.docx", "A 3853-2021")</f>
        <v/>
      </c>
      <c r="Y104">
        <f>HYPERLINK("https://klasma.github.io/Logging_1256/tillsynsmail/A 3853-2021 tillsynsbegäran mail.docx", "A 3853-2021")</f>
        <v/>
      </c>
    </row>
    <row r="105" ht="15" customHeight="1">
      <c r="A105" t="inlineStr">
        <is>
          <t>A 5244-2021</t>
        </is>
      </c>
      <c r="B105" s="1" t="n">
        <v>44229</v>
      </c>
      <c r="C105" s="1" t="n">
        <v>45585</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21117-2021</t>
        </is>
      </c>
      <c r="B106" s="1" t="n">
        <v>44319</v>
      </c>
      <c r="C106" s="1" t="n">
        <v>45585</v>
      </c>
      <c r="D106" t="inlineStr">
        <is>
          <t>SKÅNE LÄN</t>
        </is>
      </c>
      <c r="E106" t="inlineStr">
        <is>
          <t>KRISTIANSTAD</t>
        </is>
      </c>
      <c r="G106" t="n">
        <v>22</v>
      </c>
      <c r="H106" t="n">
        <v>1</v>
      </c>
      <c r="I106" t="n">
        <v>0</v>
      </c>
      <c r="J106" t="n">
        <v>0</v>
      </c>
      <c r="K106" t="n">
        <v>0</v>
      </c>
      <c r="L106" t="n">
        <v>1</v>
      </c>
      <c r="M106" t="n">
        <v>0</v>
      </c>
      <c r="N106" t="n">
        <v>0</v>
      </c>
      <c r="O106" t="n">
        <v>1</v>
      </c>
      <c r="P106" t="n">
        <v>1</v>
      </c>
      <c r="Q106" t="n">
        <v>2</v>
      </c>
      <c r="R106" s="2" t="inlineStr">
        <is>
          <t>Ryl
Revlummer</t>
        </is>
      </c>
      <c r="S106">
        <f>HYPERLINK("https://klasma.github.io/Logging_1290/artfynd/A 21117-2021 artfynd.xlsx", "A 21117-2021")</f>
        <v/>
      </c>
      <c r="T106">
        <f>HYPERLINK("https://klasma.github.io/Logging_1290/kartor/A 21117-2021 karta.png", "A 21117-2021")</f>
        <v/>
      </c>
      <c r="V106">
        <f>HYPERLINK("https://klasma.github.io/Logging_1290/klagomål/A 21117-2021 FSC-klagomål.docx", "A 21117-2021")</f>
        <v/>
      </c>
      <c r="W106">
        <f>HYPERLINK("https://klasma.github.io/Logging_1290/klagomålsmail/A 21117-2021 FSC-klagomål mail.docx", "A 21117-2021")</f>
        <v/>
      </c>
      <c r="X106">
        <f>HYPERLINK("https://klasma.github.io/Logging_1290/tillsyn/A 21117-2021 tillsynsbegäran.docx", "A 21117-2021")</f>
        <v/>
      </c>
      <c r="Y106">
        <f>HYPERLINK("https://klasma.github.io/Logging_1290/tillsynsmail/A 21117-2021 tillsynsbegäran mail.docx", "A 21117-2021")</f>
        <v/>
      </c>
    </row>
    <row r="107" ht="15" customHeight="1">
      <c r="A107" t="inlineStr">
        <is>
          <t>A 28124-2021</t>
        </is>
      </c>
      <c r="B107" s="1" t="n">
        <v>44355</v>
      </c>
      <c r="C107" s="1" t="n">
        <v>45585</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39121-2021</t>
        </is>
      </c>
      <c r="B108" s="1" t="n">
        <v>44412</v>
      </c>
      <c r="C108" s="1" t="n">
        <v>45585</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40999-2021</t>
        </is>
      </c>
      <c r="B109" s="1" t="n">
        <v>44421</v>
      </c>
      <c r="C109" s="1" t="n">
        <v>45585</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44167-2021</t>
        </is>
      </c>
      <c r="B110" s="1" t="n">
        <v>44434</v>
      </c>
      <c r="C110" s="1" t="n">
        <v>45585</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52010-2021</t>
        </is>
      </c>
      <c r="B111" s="1" t="n">
        <v>44463</v>
      </c>
      <c r="C111" s="1" t="n">
        <v>45585</v>
      </c>
      <c r="D111" t="inlineStr">
        <is>
          <t>SKÅNE LÄN</t>
        </is>
      </c>
      <c r="E111" t="inlineStr">
        <is>
          <t>KRISTIANSTAD</t>
        </is>
      </c>
      <c r="G111" t="n">
        <v>2.9</v>
      </c>
      <c r="H111" t="n">
        <v>2</v>
      </c>
      <c r="I111" t="n">
        <v>0</v>
      </c>
      <c r="J111" t="n">
        <v>1</v>
      </c>
      <c r="K111" t="n">
        <v>0</v>
      </c>
      <c r="L111" t="n">
        <v>0</v>
      </c>
      <c r="M111" t="n">
        <v>0</v>
      </c>
      <c r="N111" t="n">
        <v>0</v>
      </c>
      <c r="O111" t="n">
        <v>1</v>
      </c>
      <c r="P111" t="n">
        <v>0</v>
      </c>
      <c r="Q111" t="n">
        <v>2</v>
      </c>
      <c r="R111" s="2" t="inlineStr">
        <is>
          <t>Grönsångare
Gullviva</t>
        </is>
      </c>
      <c r="S111">
        <f>HYPERLINK("https://klasma.github.io/Logging_1290/artfynd/A 52010-2021 artfynd.xlsx", "A 52010-2021")</f>
        <v/>
      </c>
      <c r="T111">
        <f>HYPERLINK("https://klasma.github.io/Logging_1290/kartor/A 52010-2021 karta.png", "A 52010-2021")</f>
        <v/>
      </c>
      <c r="V111">
        <f>HYPERLINK("https://klasma.github.io/Logging_1290/klagomål/A 52010-2021 FSC-klagomål.docx", "A 52010-2021")</f>
        <v/>
      </c>
      <c r="W111">
        <f>HYPERLINK("https://klasma.github.io/Logging_1290/klagomålsmail/A 52010-2021 FSC-klagomål mail.docx", "A 52010-2021")</f>
        <v/>
      </c>
      <c r="X111">
        <f>HYPERLINK("https://klasma.github.io/Logging_1290/tillsyn/A 52010-2021 tillsynsbegäran.docx", "A 52010-2021")</f>
        <v/>
      </c>
      <c r="Y111">
        <f>HYPERLINK("https://klasma.github.io/Logging_1290/tillsynsmail/A 52010-2021 tillsynsbegäran mail.docx", "A 52010-2021")</f>
        <v/>
      </c>
      <c r="Z111">
        <f>HYPERLINK("https://klasma.github.io/Logging_1290/fåglar/A 52010-2021 prioriterade fågelarter.docx", "A 52010-2021")</f>
        <v/>
      </c>
    </row>
    <row r="112" ht="15" customHeight="1">
      <c r="A112" t="inlineStr">
        <is>
          <t>A 54306-2021</t>
        </is>
      </c>
      <c r="B112" s="1" t="n">
        <v>44472</v>
      </c>
      <c r="C112" s="1" t="n">
        <v>45585</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59690-2021</t>
        </is>
      </c>
      <c r="B113" s="1" t="n">
        <v>44494</v>
      </c>
      <c r="C113" s="1" t="n">
        <v>45585</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4345-2022</t>
        </is>
      </c>
      <c r="B114" s="1" t="n">
        <v>44589</v>
      </c>
      <c r="C114" s="1" t="n">
        <v>45585</v>
      </c>
      <c r="D114" t="inlineStr">
        <is>
          <t>SKÅNE LÄN</t>
        </is>
      </c>
      <c r="E114" t="inlineStr">
        <is>
          <t>OSBY</t>
        </is>
      </c>
      <c r="G114" t="n">
        <v>2.1</v>
      </c>
      <c r="H114" t="n">
        <v>2</v>
      </c>
      <c r="I114" t="n">
        <v>0</v>
      </c>
      <c r="J114" t="n">
        <v>1</v>
      </c>
      <c r="K114" t="n">
        <v>0</v>
      </c>
      <c r="L114" t="n">
        <v>0</v>
      </c>
      <c r="M114" t="n">
        <v>0</v>
      </c>
      <c r="N114" t="n">
        <v>0</v>
      </c>
      <c r="O114" t="n">
        <v>1</v>
      </c>
      <c r="P114" t="n">
        <v>0</v>
      </c>
      <c r="Q114" t="n">
        <v>2</v>
      </c>
      <c r="R114" s="2" t="inlineStr">
        <is>
          <t>Mindre hackspett
Kungsfågel</t>
        </is>
      </c>
      <c r="S114">
        <f>HYPERLINK("https://klasma.github.io/Logging_1273/artfynd/A 4345-2022 artfynd.xlsx", "A 4345-2022")</f>
        <v/>
      </c>
      <c r="T114">
        <f>HYPERLINK("https://klasma.github.io/Logging_1273/kartor/A 4345-2022 karta.png", "A 4345-2022")</f>
        <v/>
      </c>
      <c r="V114">
        <f>HYPERLINK("https://klasma.github.io/Logging_1273/klagomål/A 4345-2022 FSC-klagomål.docx", "A 4345-2022")</f>
        <v/>
      </c>
      <c r="W114">
        <f>HYPERLINK("https://klasma.github.io/Logging_1273/klagomålsmail/A 4345-2022 FSC-klagomål mail.docx", "A 4345-2022")</f>
        <v/>
      </c>
      <c r="X114">
        <f>HYPERLINK("https://klasma.github.io/Logging_1273/tillsyn/A 4345-2022 tillsynsbegäran.docx", "A 4345-2022")</f>
        <v/>
      </c>
      <c r="Y114">
        <f>HYPERLINK("https://klasma.github.io/Logging_1273/tillsynsmail/A 4345-2022 tillsynsbegäran mail.docx", "A 4345-2022")</f>
        <v/>
      </c>
      <c r="Z114">
        <f>HYPERLINK("https://klasma.github.io/Logging_1273/fåglar/A 4345-2022 prioriterade fågelarter.docx", "A 4345-2022")</f>
        <v/>
      </c>
    </row>
    <row r="115" ht="15" customHeight="1">
      <c r="A115" t="inlineStr">
        <is>
          <t>A 11673-2022</t>
        </is>
      </c>
      <c r="B115" s="1" t="n">
        <v>44633</v>
      </c>
      <c r="C115" s="1" t="n">
        <v>45585</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26855-2022</t>
        </is>
      </c>
      <c r="B116" s="1" t="n">
        <v>44740</v>
      </c>
      <c r="C116" s="1" t="n">
        <v>45585</v>
      </c>
      <c r="D116" t="inlineStr">
        <is>
          <t>SKÅNE LÄN</t>
        </is>
      </c>
      <c r="E116" t="inlineStr">
        <is>
          <t>SVALÖV</t>
        </is>
      </c>
      <c r="G116" t="n">
        <v>5.2</v>
      </c>
      <c r="H116" t="n">
        <v>1</v>
      </c>
      <c r="I116" t="n">
        <v>1</v>
      </c>
      <c r="J116" t="n">
        <v>0</v>
      </c>
      <c r="K116" t="n">
        <v>0</v>
      </c>
      <c r="L116" t="n">
        <v>0</v>
      </c>
      <c r="M116" t="n">
        <v>0</v>
      </c>
      <c r="N116" t="n">
        <v>0</v>
      </c>
      <c r="O116" t="n">
        <v>0</v>
      </c>
      <c r="P116" t="n">
        <v>0</v>
      </c>
      <c r="Q116" t="n">
        <v>2</v>
      </c>
      <c r="R116" s="2" t="inlineStr">
        <is>
          <t>Skogsbräsma
Mattlummer</t>
        </is>
      </c>
      <c r="S116">
        <f>HYPERLINK("https://klasma.github.io/Logging_1214/artfynd/A 26855-2022 artfynd.xlsx", "A 26855-2022")</f>
        <v/>
      </c>
      <c r="T116">
        <f>HYPERLINK("https://klasma.github.io/Logging_1214/kartor/A 26855-2022 karta.png", "A 26855-2022")</f>
        <v/>
      </c>
      <c r="V116">
        <f>HYPERLINK("https://klasma.github.io/Logging_1214/klagomål/A 26855-2022 FSC-klagomål.docx", "A 26855-2022")</f>
        <v/>
      </c>
      <c r="W116">
        <f>HYPERLINK("https://klasma.github.io/Logging_1214/klagomålsmail/A 26855-2022 FSC-klagomål mail.docx", "A 26855-2022")</f>
        <v/>
      </c>
      <c r="X116">
        <f>HYPERLINK("https://klasma.github.io/Logging_1214/tillsyn/A 26855-2022 tillsynsbegäran.docx", "A 26855-2022")</f>
        <v/>
      </c>
      <c r="Y116">
        <f>HYPERLINK("https://klasma.github.io/Logging_1214/tillsynsmail/A 26855-2022 tillsynsbegäran mail.docx", "A 26855-2022")</f>
        <v/>
      </c>
    </row>
    <row r="117" ht="15" customHeight="1">
      <c r="A117" t="inlineStr">
        <is>
          <t>A 26984-2022</t>
        </is>
      </c>
      <c r="B117" s="1" t="n">
        <v>44740</v>
      </c>
      <c r="C117" s="1" t="n">
        <v>45585</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28929-2022</t>
        </is>
      </c>
      <c r="B118" s="1" t="n">
        <v>44749</v>
      </c>
      <c r="C118" s="1" t="n">
        <v>45585</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30842-2022</t>
        </is>
      </c>
      <c r="B119" s="1" t="n">
        <v>44767</v>
      </c>
      <c r="C119" s="1" t="n">
        <v>45585</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44586-2022</t>
        </is>
      </c>
      <c r="B120" s="1" t="n">
        <v>44840</v>
      </c>
      <c r="C120" s="1" t="n">
        <v>45585</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53878-2022</t>
        </is>
      </c>
      <c r="B121" s="1" t="n">
        <v>44880</v>
      </c>
      <c r="C121" s="1" t="n">
        <v>45585</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55072-2022</t>
        </is>
      </c>
      <c r="B122" s="1" t="n">
        <v>44886</v>
      </c>
      <c r="C122" s="1" t="n">
        <v>45585</v>
      </c>
      <c r="D122" t="inlineStr">
        <is>
          <t>SKÅNE LÄN</t>
        </is>
      </c>
      <c r="E122" t="inlineStr">
        <is>
          <t>SIMRISHAMN</t>
        </is>
      </c>
      <c r="F122" t="inlineStr">
        <is>
          <t>Sveaskog</t>
        </is>
      </c>
      <c r="G122" t="n">
        <v>7.3</v>
      </c>
      <c r="H122" t="n">
        <v>1</v>
      </c>
      <c r="I122" t="n">
        <v>1</v>
      </c>
      <c r="J122" t="n">
        <v>0</v>
      </c>
      <c r="K122" t="n">
        <v>0</v>
      </c>
      <c r="L122" t="n">
        <v>0</v>
      </c>
      <c r="M122" t="n">
        <v>0</v>
      </c>
      <c r="N122" t="n">
        <v>0</v>
      </c>
      <c r="O122" t="n">
        <v>0</v>
      </c>
      <c r="P122" t="n">
        <v>0</v>
      </c>
      <c r="Q122" t="n">
        <v>2</v>
      </c>
      <c r="R122" s="2" t="inlineStr">
        <is>
          <t>Murgröna
Gullviva</t>
        </is>
      </c>
      <c r="S122">
        <f>HYPERLINK("https://klasma.github.io/Logging_1291/artfynd/A 55072-2022 artfynd.xlsx", "A 55072-2022")</f>
        <v/>
      </c>
      <c r="T122">
        <f>HYPERLINK("https://klasma.github.io/Logging_1291/kartor/A 55072-2022 karta.png", "A 55072-2022")</f>
        <v/>
      </c>
      <c r="V122">
        <f>HYPERLINK("https://klasma.github.io/Logging_1291/klagomål/A 55072-2022 FSC-klagomål.docx", "A 55072-2022")</f>
        <v/>
      </c>
      <c r="W122">
        <f>HYPERLINK("https://klasma.github.io/Logging_1291/klagomålsmail/A 55072-2022 FSC-klagomål mail.docx", "A 55072-2022")</f>
        <v/>
      </c>
      <c r="X122">
        <f>HYPERLINK("https://klasma.github.io/Logging_1291/tillsyn/A 55072-2022 tillsynsbegäran.docx", "A 55072-2022")</f>
        <v/>
      </c>
      <c r="Y122">
        <f>HYPERLINK("https://klasma.github.io/Logging_1291/tillsynsmail/A 55072-2022 tillsynsbegäran mail.docx", "A 55072-2022")</f>
        <v/>
      </c>
    </row>
    <row r="123" ht="15" customHeight="1">
      <c r="A123" t="inlineStr">
        <is>
          <t>A 60295-2022</t>
        </is>
      </c>
      <c r="B123" s="1" t="n">
        <v>44903</v>
      </c>
      <c r="C123" s="1" t="n">
        <v>45585</v>
      </c>
      <c r="D123" t="inlineStr">
        <is>
          <t>SKÅNE LÄN</t>
        </is>
      </c>
      <c r="E123" t="inlineStr">
        <is>
          <t>YSTAD</t>
        </is>
      </c>
      <c r="G123" t="n">
        <v>1.1</v>
      </c>
      <c r="H123" t="n">
        <v>2</v>
      </c>
      <c r="I123" t="n">
        <v>0</v>
      </c>
      <c r="J123" t="n">
        <v>0</v>
      </c>
      <c r="K123" t="n">
        <v>0</v>
      </c>
      <c r="L123" t="n">
        <v>0</v>
      </c>
      <c r="M123" t="n">
        <v>0</v>
      </c>
      <c r="N123" t="n">
        <v>0</v>
      </c>
      <c r="O123" t="n">
        <v>0</v>
      </c>
      <c r="P123" t="n">
        <v>0</v>
      </c>
      <c r="Q123" t="n">
        <v>2</v>
      </c>
      <c r="R123" s="2" t="inlineStr">
        <is>
          <t>Klockgroda
Ätlig groda</t>
        </is>
      </c>
      <c r="S123">
        <f>HYPERLINK("https://klasma.github.io/Logging_1286/artfynd/A 60295-2022 artfynd.xlsx", "A 60295-2022")</f>
        <v/>
      </c>
      <c r="T123">
        <f>HYPERLINK("https://klasma.github.io/Logging_1286/kartor/A 60295-2022 karta.png", "A 60295-2022")</f>
        <v/>
      </c>
      <c r="V123">
        <f>HYPERLINK("https://klasma.github.io/Logging_1286/klagomål/A 60295-2022 FSC-klagomål.docx", "A 60295-2022")</f>
        <v/>
      </c>
      <c r="W123">
        <f>HYPERLINK("https://klasma.github.io/Logging_1286/klagomålsmail/A 60295-2022 FSC-klagomål mail.docx", "A 60295-2022")</f>
        <v/>
      </c>
      <c r="X123">
        <f>HYPERLINK("https://klasma.github.io/Logging_1286/tillsyn/A 60295-2022 tillsynsbegäran.docx", "A 60295-2022")</f>
        <v/>
      </c>
      <c r="Y123">
        <f>HYPERLINK("https://klasma.github.io/Logging_1286/tillsynsmail/A 60295-2022 tillsynsbegäran mail.docx", "A 60295-2022")</f>
        <v/>
      </c>
    </row>
    <row r="124" ht="15" customHeight="1">
      <c r="A124" t="inlineStr">
        <is>
          <t>A 15229-2023</t>
        </is>
      </c>
      <c r="B124" s="1" t="n">
        <v>45016</v>
      </c>
      <c r="C124" s="1" t="n">
        <v>45585</v>
      </c>
      <c r="D124" t="inlineStr">
        <is>
          <t>SKÅNE LÄN</t>
        </is>
      </c>
      <c r="E124" t="inlineStr">
        <is>
          <t>KRISTIANSTAD</t>
        </is>
      </c>
      <c r="G124" t="n">
        <v>1.2</v>
      </c>
      <c r="H124" t="n">
        <v>2</v>
      </c>
      <c r="I124" t="n">
        <v>0</v>
      </c>
      <c r="J124" t="n">
        <v>2</v>
      </c>
      <c r="K124" t="n">
        <v>0</v>
      </c>
      <c r="L124" t="n">
        <v>0</v>
      </c>
      <c r="M124" t="n">
        <v>0</v>
      </c>
      <c r="N124" t="n">
        <v>0</v>
      </c>
      <c r="O124" t="n">
        <v>2</v>
      </c>
      <c r="P124" t="n">
        <v>0</v>
      </c>
      <c r="Q124" t="n">
        <v>2</v>
      </c>
      <c r="R124" s="2" t="inlineStr">
        <is>
          <t>Buskskvätta
Drillsnäppa</t>
        </is>
      </c>
      <c r="S124">
        <f>HYPERLINK("https://klasma.github.io/Logging_1290/artfynd/A 15229-2023 artfynd.xlsx", "A 15229-2023")</f>
        <v/>
      </c>
      <c r="T124">
        <f>HYPERLINK("https://klasma.github.io/Logging_1290/kartor/A 15229-2023 karta.png", "A 15229-2023")</f>
        <v/>
      </c>
      <c r="V124">
        <f>HYPERLINK("https://klasma.github.io/Logging_1290/klagomål/A 15229-2023 FSC-klagomål.docx", "A 15229-2023")</f>
        <v/>
      </c>
      <c r="W124">
        <f>HYPERLINK("https://klasma.github.io/Logging_1290/klagomålsmail/A 15229-2023 FSC-klagomål mail.docx", "A 15229-2023")</f>
        <v/>
      </c>
      <c r="X124">
        <f>HYPERLINK("https://klasma.github.io/Logging_1290/tillsyn/A 15229-2023 tillsynsbegäran.docx", "A 15229-2023")</f>
        <v/>
      </c>
      <c r="Y124">
        <f>HYPERLINK("https://klasma.github.io/Logging_1290/tillsynsmail/A 15229-2023 tillsynsbegäran mail.docx", "A 15229-2023")</f>
        <v/>
      </c>
      <c r="Z124">
        <f>HYPERLINK("https://klasma.github.io/Logging_1290/fåglar/A 15229-2023 prioriterade fågelarter.docx", "A 15229-2023")</f>
        <v/>
      </c>
    </row>
    <row r="125" ht="15" customHeight="1">
      <c r="A125" t="inlineStr">
        <is>
          <t>A 20702-2023</t>
        </is>
      </c>
      <c r="B125" s="1" t="n">
        <v>45058</v>
      </c>
      <c r="C125" s="1" t="n">
        <v>45585</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24278-2023</t>
        </is>
      </c>
      <c r="B126" s="1" t="n">
        <v>45079</v>
      </c>
      <c r="C126" s="1" t="n">
        <v>45585</v>
      </c>
      <c r="D126" t="inlineStr">
        <is>
          <t>SKÅNE LÄN</t>
        </is>
      </c>
      <c r="E126" t="inlineStr">
        <is>
          <t>HÖÖR</t>
        </is>
      </c>
      <c r="G126" t="n">
        <v>0.8</v>
      </c>
      <c r="H126" t="n">
        <v>2</v>
      </c>
      <c r="I126" t="n">
        <v>0</v>
      </c>
      <c r="J126" t="n">
        <v>1</v>
      </c>
      <c r="K126" t="n">
        <v>0</v>
      </c>
      <c r="L126" t="n">
        <v>0</v>
      </c>
      <c r="M126" t="n">
        <v>0</v>
      </c>
      <c r="N126" t="n">
        <v>0</v>
      </c>
      <c r="O126" t="n">
        <v>1</v>
      </c>
      <c r="P126" t="n">
        <v>0</v>
      </c>
      <c r="Q126" t="n">
        <v>2</v>
      </c>
      <c r="R126" s="2" t="inlineStr">
        <is>
          <t>Spillkråka
Trana</t>
        </is>
      </c>
      <c r="S126">
        <f>HYPERLINK("https://klasma.github.io/Logging_1267/artfynd/A 24278-2023 artfynd.xlsx", "A 24278-2023")</f>
        <v/>
      </c>
      <c r="T126">
        <f>HYPERLINK("https://klasma.github.io/Logging_1267/kartor/A 24278-2023 karta.png", "A 24278-2023")</f>
        <v/>
      </c>
      <c r="V126">
        <f>HYPERLINK("https://klasma.github.io/Logging_1267/klagomål/A 24278-2023 FSC-klagomål.docx", "A 24278-2023")</f>
        <v/>
      </c>
      <c r="W126">
        <f>HYPERLINK("https://klasma.github.io/Logging_1267/klagomålsmail/A 24278-2023 FSC-klagomål mail.docx", "A 24278-2023")</f>
        <v/>
      </c>
      <c r="X126">
        <f>HYPERLINK("https://klasma.github.io/Logging_1267/tillsyn/A 24278-2023 tillsynsbegäran.docx", "A 24278-2023")</f>
        <v/>
      </c>
      <c r="Y126">
        <f>HYPERLINK("https://klasma.github.io/Logging_1267/tillsynsmail/A 24278-2023 tillsynsbegäran mail.docx", "A 24278-2023")</f>
        <v/>
      </c>
      <c r="Z126">
        <f>HYPERLINK("https://klasma.github.io/Logging_1267/fåglar/A 24278-2023 prioriterade fågelarter.docx", "A 24278-2023")</f>
        <v/>
      </c>
    </row>
    <row r="127" ht="15" customHeight="1">
      <c r="A127" t="inlineStr">
        <is>
          <t>A 26736-2023</t>
        </is>
      </c>
      <c r="B127" s="1" t="n">
        <v>45090</v>
      </c>
      <c r="C127" s="1" t="n">
        <v>45585</v>
      </c>
      <c r="D127" t="inlineStr">
        <is>
          <t>SKÅNE LÄN</t>
        </is>
      </c>
      <c r="E127" t="inlineStr">
        <is>
          <t>SJÖBO</t>
        </is>
      </c>
      <c r="G127" t="n">
        <v>9.4</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27284-2023</t>
        </is>
      </c>
      <c r="B128" s="1" t="n">
        <v>45096</v>
      </c>
      <c r="C128" s="1" t="n">
        <v>45585</v>
      </c>
      <c r="D128" t="inlineStr">
        <is>
          <t>SKÅNE LÄN</t>
        </is>
      </c>
      <c r="E128" t="inlineStr">
        <is>
          <t>ÖSTRA GÖINGE</t>
        </is>
      </c>
      <c r="F128" t="inlineStr">
        <is>
          <t>Sveaskog</t>
        </is>
      </c>
      <c r="G128" t="n">
        <v>6.6</v>
      </c>
      <c r="H128" t="n">
        <v>2</v>
      </c>
      <c r="I128" t="n">
        <v>0</v>
      </c>
      <c r="J128" t="n">
        <v>0</v>
      </c>
      <c r="K128" t="n">
        <v>0</v>
      </c>
      <c r="L128" t="n">
        <v>0</v>
      </c>
      <c r="M128" t="n">
        <v>0</v>
      </c>
      <c r="N128" t="n">
        <v>0</v>
      </c>
      <c r="O128" t="n">
        <v>0</v>
      </c>
      <c r="P128" t="n">
        <v>0</v>
      </c>
      <c r="Q128" t="n">
        <v>2</v>
      </c>
      <c r="R128" s="2" t="inlineStr">
        <is>
          <t>Bred paljettdykare
Bredkantad dykare</t>
        </is>
      </c>
      <c r="S128">
        <f>HYPERLINK("https://klasma.github.io/Logging_1256/artfynd/A 27284-2023 artfynd.xlsx", "A 27284-2023")</f>
        <v/>
      </c>
      <c r="T128">
        <f>HYPERLINK("https://klasma.github.io/Logging_1256/kartor/A 27284-2023 karta.png", "A 27284-2023")</f>
        <v/>
      </c>
      <c r="V128">
        <f>HYPERLINK("https://klasma.github.io/Logging_1256/klagomål/A 27284-2023 FSC-klagomål.docx", "A 27284-2023")</f>
        <v/>
      </c>
      <c r="W128">
        <f>HYPERLINK("https://klasma.github.io/Logging_1256/klagomålsmail/A 27284-2023 FSC-klagomål mail.docx", "A 27284-2023")</f>
        <v/>
      </c>
      <c r="X128">
        <f>HYPERLINK("https://klasma.github.io/Logging_1256/tillsyn/A 27284-2023 tillsynsbegäran.docx", "A 27284-2023")</f>
        <v/>
      </c>
      <c r="Y128">
        <f>HYPERLINK("https://klasma.github.io/Logging_1256/tillsynsmail/A 27284-2023 tillsynsbegäran mail.docx", "A 27284-2023")</f>
        <v/>
      </c>
    </row>
    <row r="129" ht="15" customHeight="1">
      <c r="A129" t="inlineStr">
        <is>
          <t>A 29029-2023</t>
        </is>
      </c>
      <c r="B129" s="1" t="n">
        <v>45104</v>
      </c>
      <c r="C129" s="1" t="n">
        <v>45585</v>
      </c>
      <c r="D129" t="inlineStr">
        <is>
          <t>SKÅNE LÄN</t>
        </is>
      </c>
      <c r="E129" t="inlineStr">
        <is>
          <t>SVEDALA</t>
        </is>
      </c>
      <c r="G129" t="n">
        <v>22.3</v>
      </c>
      <c r="H129" t="n">
        <v>2</v>
      </c>
      <c r="I129" t="n">
        <v>0</v>
      </c>
      <c r="J129" t="n">
        <v>0</v>
      </c>
      <c r="K129" t="n">
        <v>0</v>
      </c>
      <c r="L129" t="n">
        <v>0</v>
      </c>
      <c r="M129" t="n">
        <v>0</v>
      </c>
      <c r="N129" t="n">
        <v>0</v>
      </c>
      <c r="O129" t="n">
        <v>0</v>
      </c>
      <c r="P129" t="n">
        <v>0</v>
      </c>
      <c r="Q129" t="n">
        <v>2</v>
      </c>
      <c r="R129" s="2" t="inlineStr">
        <is>
          <t>Citronfläckad kärrtrollslända
Ätlig groda</t>
        </is>
      </c>
      <c r="S129">
        <f>HYPERLINK("https://klasma.github.io/Logging_1263/artfynd/A 29029-2023 artfynd.xlsx", "A 29029-2023")</f>
        <v/>
      </c>
      <c r="T129">
        <f>HYPERLINK("https://klasma.github.io/Logging_1263/kartor/A 29029-2023 karta.png", "A 29029-2023")</f>
        <v/>
      </c>
      <c r="V129">
        <f>HYPERLINK("https://klasma.github.io/Logging_1263/klagomål/A 29029-2023 FSC-klagomål.docx", "A 29029-2023")</f>
        <v/>
      </c>
      <c r="W129">
        <f>HYPERLINK("https://klasma.github.io/Logging_1263/klagomålsmail/A 29029-2023 FSC-klagomål mail.docx", "A 29029-2023")</f>
        <v/>
      </c>
      <c r="X129">
        <f>HYPERLINK("https://klasma.github.io/Logging_1263/tillsyn/A 29029-2023 tillsynsbegäran.docx", "A 29029-2023")</f>
        <v/>
      </c>
      <c r="Y129">
        <f>HYPERLINK("https://klasma.github.io/Logging_1263/tillsynsmail/A 29029-2023 tillsynsbegäran mail.docx", "A 29029-2023")</f>
        <v/>
      </c>
    </row>
    <row r="130" ht="15" customHeight="1">
      <c r="A130" t="inlineStr">
        <is>
          <t>A 29032-2023</t>
        </is>
      </c>
      <c r="B130" s="1" t="n">
        <v>45104</v>
      </c>
      <c r="C130" s="1" t="n">
        <v>45585</v>
      </c>
      <c r="D130" t="inlineStr">
        <is>
          <t>SKÅNE LÄN</t>
        </is>
      </c>
      <c r="E130" t="inlineStr">
        <is>
          <t>SVEDALA</t>
        </is>
      </c>
      <c r="G130" t="n">
        <v>2</v>
      </c>
      <c r="H130" t="n">
        <v>2</v>
      </c>
      <c r="I130" t="n">
        <v>0</v>
      </c>
      <c r="J130" t="n">
        <v>0</v>
      </c>
      <c r="K130" t="n">
        <v>0</v>
      </c>
      <c r="L130" t="n">
        <v>0</v>
      </c>
      <c r="M130" t="n">
        <v>0</v>
      </c>
      <c r="N130" t="n">
        <v>0</v>
      </c>
      <c r="O130" t="n">
        <v>0</v>
      </c>
      <c r="P130" t="n">
        <v>0</v>
      </c>
      <c r="Q130" t="n">
        <v>2</v>
      </c>
      <c r="R130" s="2" t="inlineStr">
        <is>
          <t>Åkergroda
Vanlig groda</t>
        </is>
      </c>
      <c r="S130">
        <f>HYPERLINK("https://klasma.github.io/Logging_1263/artfynd/A 29032-2023 artfynd.xlsx", "A 29032-2023")</f>
        <v/>
      </c>
      <c r="T130">
        <f>HYPERLINK("https://klasma.github.io/Logging_1263/kartor/A 29032-2023 karta.png", "A 29032-2023")</f>
        <v/>
      </c>
      <c r="V130">
        <f>HYPERLINK("https://klasma.github.io/Logging_1263/klagomål/A 29032-2023 FSC-klagomål.docx", "A 29032-2023")</f>
        <v/>
      </c>
      <c r="W130">
        <f>HYPERLINK("https://klasma.github.io/Logging_1263/klagomålsmail/A 29032-2023 FSC-klagomål mail.docx", "A 29032-2023")</f>
        <v/>
      </c>
      <c r="X130">
        <f>HYPERLINK("https://klasma.github.io/Logging_1263/tillsyn/A 29032-2023 tillsynsbegäran.docx", "A 29032-2023")</f>
        <v/>
      </c>
      <c r="Y130">
        <f>HYPERLINK("https://klasma.github.io/Logging_1263/tillsynsmail/A 29032-2023 tillsynsbegäran mail.docx", "A 29032-2023")</f>
        <v/>
      </c>
    </row>
    <row r="131" ht="15" customHeight="1">
      <c r="A131" t="inlineStr">
        <is>
          <t>A 29038-2023</t>
        </is>
      </c>
      <c r="B131" s="1" t="n">
        <v>45104</v>
      </c>
      <c r="C131" s="1" t="n">
        <v>45585</v>
      </c>
      <c r="D131" t="inlineStr">
        <is>
          <t>SKÅNE LÄN</t>
        </is>
      </c>
      <c r="E131" t="inlineStr">
        <is>
          <t>LUND</t>
        </is>
      </c>
      <c r="G131" t="n">
        <v>10.1</v>
      </c>
      <c r="H131" t="n">
        <v>0</v>
      </c>
      <c r="I131" t="n">
        <v>1</v>
      </c>
      <c r="J131" t="n">
        <v>0</v>
      </c>
      <c r="K131" t="n">
        <v>1</v>
      </c>
      <c r="L131" t="n">
        <v>0</v>
      </c>
      <c r="M131" t="n">
        <v>0</v>
      </c>
      <c r="N131" t="n">
        <v>0</v>
      </c>
      <c r="O131" t="n">
        <v>1</v>
      </c>
      <c r="P131" t="n">
        <v>1</v>
      </c>
      <c r="Q131" t="n">
        <v>2</v>
      </c>
      <c r="R131" s="2" t="inlineStr">
        <is>
          <t>Revig blodrot
Skogsbräsma</t>
        </is>
      </c>
      <c r="S131">
        <f>HYPERLINK("https://klasma.github.io/Logging_1281/artfynd/A 29038-2023 artfynd.xlsx", "A 29038-2023")</f>
        <v/>
      </c>
      <c r="T131">
        <f>HYPERLINK("https://klasma.github.io/Logging_1281/kartor/A 29038-2023 karta.png", "A 29038-2023")</f>
        <v/>
      </c>
      <c r="V131">
        <f>HYPERLINK("https://klasma.github.io/Logging_1281/klagomål/A 29038-2023 FSC-klagomål.docx", "A 29038-2023")</f>
        <v/>
      </c>
      <c r="W131">
        <f>HYPERLINK("https://klasma.github.io/Logging_1281/klagomålsmail/A 29038-2023 FSC-klagomål mail.docx", "A 29038-2023")</f>
        <v/>
      </c>
      <c r="X131">
        <f>HYPERLINK("https://klasma.github.io/Logging_1281/tillsyn/A 29038-2023 tillsynsbegäran.docx", "A 29038-2023")</f>
        <v/>
      </c>
      <c r="Y131">
        <f>HYPERLINK("https://klasma.github.io/Logging_1281/tillsynsmail/A 29038-2023 tillsynsbegäran mail.docx", "A 29038-2023")</f>
        <v/>
      </c>
    </row>
    <row r="132" ht="15" customHeight="1">
      <c r="A132" t="inlineStr">
        <is>
          <t>A 29157-2023</t>
        </is>
      </c>
      <c r="B132" s="1" t="n">
        <v>45105</v>
      </c>
      <c r="C132" s="1" t="n">
        <v>45585</v>
      </c>
      <c r="D132" t="inlineStr">
        <is>
          <t>SKÅNE LÄN</t>
        </is>
      </c>
      <c r="E132" t="inlineStr">
        <is>
          <t>ÄNGELHOLM</t>
        </is>
      </c>
      <c r="G132" t="n">
        <v>6.9</v>
      </c>
      <c r="H132" t="n">
        <v>2</v>
      </c>
      <c r="I132" t="n">
        <v>0</v>
      </c>
      <c r="J132" t="n">
        <v>2</v>
      </c>
      <c r="K132" t="n">
        <v>0</v>
      </c>
      <c r="L132" t="n">
        <v>0</v>
      </c>
      <c r="M132" t="n">
        <v>0</v>
      </c>
      <c r="N132" t="n">
        <v>0</v>
      </c>
      <c r="O132" t="n">
        <v>2</v>
      </c>
      <c r="P132" t="n">
        <v>0</v>
      </c>
      <c r="Q132" t="n">
        <v>2</v>
      </c>
      <c r="R132" s="2" t="inlineStr">
        <is>
          <t>Entita
Talltita</t>
        </is>
      </c>
      <c r="S132">
        <f>HYPERLINK("https://klasma.github.io/Logging_1292/artfynd/A 29157-2023 artfynd.xlsx", "A 29157-2023")</f>
        <v/>
      </c>
      <c r="T132">
        <f>HYPERLINK("https://klasma.github.io/Logging_1292/kartor/A 29157-2023 karta.png", "A 29157-2023")</f>
        <v/>
      </c>
      <c r="V132">
        <f>HYPERLINK("https://klasma.github.io/Logging_1292/klagomål/A 29157-2023 FSC-klagomål.docx", "A 29157-2023")</f>
        <v/>
      </c>
      <c r="W132">
        <f>HYPERLINK("https://klasma.github.io/Logging_1292/klagomålsmail/A 29157-2023 FSC-klagomål mail.docx", "A 29157-2023")</f>
        <v/>
      </c>
      <c r="X132">
        <f>HYPERLINK("https://klasma.github.io/Logging_1292/tillsyn/A 29157-2023 tillsynsbegäran.docx", "A 29157-2023")</f>
        <v/>
      </c>
      <c r="Y132">
        <f>HYPERLINK("https://klasma.github.io/Logging_1292/tillsynsmail/A 29157-2023 tillsynsbegäran mail.docx", "A 29157-2023")</f>
        <v/>
      </c>
      <c r="Z132">
        <f>HYPERLINK("https://klasma.github.io/Logging_1292/fåglar/A 29157-2023 prioriterade fågelarter.docx", "A 29157-2023")</f>
        <v/>
      </c>
    </row>
    <row r="133" ht="15" customHeight="1">
      <c r="A133" t="inlineStr">
        <is>
          <t>A 31697-2023</t>
        </is>
      </c>
      <c r="B133" s="1" t="n">
        <v>45117</v>
      </c>
      <c r="C133" s="1" t="n">
        <v>45585</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33364-2023</t>
        </is>
      </c>
      <c r="B134" s="1" t="n">
        <v>45128</v>
      </c>
      <c r="C134" s="1" t="n">
        <v>45585</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44585-2023</t>
        </is>
      </c>
      <c r="B135" s="1" t="n">
        <v>45189</v>
      </c>
      <c r="C135" s="1" t="n">
        <v>45585</v>
      </c>
      <c r="D135" t="inlineStr">
        <is>
          <t>SKÅNE LÄN</t>
        </is>
      </c>
      <c r="E135" t="inlineStr">
        <is>
          <t>KRISTIANSTAD</t>
        </is>
      </c>
      <c r="G135" t="n">
        <v>1.4</v>
      </c>
      <c r="H135" t="n">
        <v>1</v>
      </c>
      <c r="I135" t="n">
        <v>1</v>
      </c>
      <c r="J135" t="n">
        <v>0</v>
      </c>
      <c r="K135" t="n">
        <v>0</v>
      </c>
      <c r="L135" t="n">
        <v>0</v>
      </c>
      <c r="M135" t="n">
        <v>0</v>
      </c>
      <c r="N135" t="n">
        <v>0</v>
      </c>
      <c r="O135" t="n">
        <v>0</v>
      </c>
      <c r="P135" t="n">
        <v>0</v>
      </c>
      <c r="Q135" t="n">
        <v>2</v>
      </c>
      <c r="R135" s="2" t="inlineStr">
        <is>
          <t>Piskbaronmossa
Kopparödla</t>
        </is>
      </c>
      <c r="S135">
        <f>HYPERLINK("https://klasma.github.io/Logging_1290/artfynd/A 44585-2023 artfynd.xlsx", "A 44585-2023")</f>
        <v/>
      </c>
      <c r="T135">
        <f>HYPERLINK("https://klasma.github.io/Logging_1290/kartor/A 44585-2023 karta.png", "A 44585-2023")</f>
        <v/>
      </c>
      <c r="V135">
        <f>HYPERLINK("https://klasma.github.io/Logging_1290/klagomål/A 44585-2023 FSC-klagomål.docx", "A 44585-2023")</f>
        <v/>
      </c>
      <c r="W135">
        <f>HYPERLINK("https://klasma.github.io/Logging_1290/klagomålsmail/A 44585-2023 FSC-klagomål mail.docx", "A 44585-2023")</f>
        <v/>
      </c>
      <c r="X135">
        <f>HYPERLINK("https://klasma.github.io/Logging_1290/tillsyn/A 44585-2023 tillsynsbegäran.docx", "A 44585-2023")</f>
        <v/>
      </c>
      <c r="Y135">
        <f>HYPERLINK("https://klasma.github.io/Logging_1290/tillsynsmail/A 44585-2023 tillsynsbegäran mail.docx", "A 44585-2023")</f>
        <v/>
      </c>
    </row>
    <row r="136" ht="15" customHeight="1">
      <c r="A136" t="inlineStr">
        <is>
          <t>A 53486-2023</t>
        </is>
      </c>
      <c r="B136" s="1" t="n">
        <v>45230</v>
      </c>
      <c r="C136" s="1" t="n">
        <v>45585</v>
      </c>
      <c r="D136" t="inlineStr">
        <is>
          <t>SKÅNE LÄN</t>
        </is>
      </c>
      <c r="E136" t="inlineStr">
        <is>
          <t>KÄVLINGE</t>
        </is>
      </c>
      <c r="G136" t="n">
        <v>1.2</v>
      </c>
      <c r="H136" t="n">
        <v>1</v>
      </c>
      <c r="I136" t="n">
        <v>0</v>
      </c>
      <c r="J136" t="n">
        <v>1</v>
      </c>
      <c r="K136" t="n">
        <v>1</v>
      </c>
      <c r="L136" t="n">
        <v>0</v>
      </c>
      <c r="M136" t="n">
        <v>0</v>
      </c>
      <c r="N136" t="n">
        <v>0</v>
      </c>
      <c r="O136" t="n">
        <v>2</v>
      </c>
      <c r="P136" t="n">
        <v>1</v>
      </c>
      <c r="Q136" t="n">
        <v>2</v>
      </c>
      <c r="R136" s="2" t="inlineStr">
        <is>
          <t>Hedblomster
Backtimjan</t>
        </is>
      </c>
      <c r="S136">
        <f>HYPERLINK("https://klasma.github.io/Logging_1261/artfynd/A 53486-2023 artfynd.xlsx", "A 53486-2023")</f>
        <v/>
      </c>
      <c r="T136">
        <f>HYPERLINK("https://klasma.github.io/Logging_1261/kartor/A 53486-2023 karta.png", "A 53486-2023")</f>
        <v/>
      </c>
      <c r="V136">
        <f>HYPERLINK("https://klasma.github.io/Logging_1261/klagomål/A 53486-2023 FSC-klagomål.docx", "A 53486-2023")</f>
        <v/>
      </c>
      <c r="W136">
        <f>HYPERLINK("https://klasma.github.io/Logging_1261/klagomålsmail/A 53486-2023 FSC-klagomål mail.docx", "A 53486-2023")</f>
        <v/>
      </c>
      <c r="X136">
        <f>HYPERLINK("https://klasma.github.io/Logging_1261/tillsyn/A 53486-2023 tillsynsbegäran.docx", "A 53486-2023")</f>
        <v/>
      </c>
      <c r="Y136">
        <f>HYPERLINK("https://klasma.github.io/Logging_1261/tillsynsmail/A 53486-2023 tillsynsbegäran mail.docx", "A 53486-2023")</f>
        <v/>
      </c>
    </row>
    <row r="137" ht="15" customHeight="1">
      <c r="A137" t="inlineStr">
        <is>
          <t>A 58481-2023</t>
        </is>
      </c>
      <c r="B137" s="1" t="n">
        <v>45251</v>
      </c>
      <c r="C137" s="1" t="n">
        <v>45585</v>
      </c>
      <c r="D137" t="inlineStr">
        <is>
          <t>SKÅNE LÄN</t>
        </is>
      </c>
      <c r="E137" t="inlineStr">
        <is>
          <t>SVALÖV</t>
        </is>
      </c>
      <c r="G137" t="n">
        <v>8.1</v>
      </c>
      <c r="H137" t="n">
        <v>0</v>
      </c>
      <c r="I137" t="n">
        <v>2</v>
      </c>
      <c r="J137" t="n">
        <v>0</v>
      </c>
      <c r="K137" t="n">
        <v>0</v>
      </c>
      <c r="L137" t="n">
        <v>0</v>
      </c>
      <c r="M137" t="n">
        <v>0</v>
      </c>
      <c r="N137" t="n">
        <v>0</v>
      </c>
      <c r="O137" t="n">
        <v>0</v>
      </c>
      <c r="P137" t="n">
        <v>0</v>
      </c>
      <c r="Q137" t="n">
        <v>2</v>
      </c>
      <c r="R137" s="2" t="inlineStr">
        <is>
          <t>Springkorn
Stor häxört</t>
        </is>
      </c>
      <c r="S137">
        <f>HYPERLINK("https://klasma.github.io/Logging_1214/artfynd/A 58481-2023 artfynd.xlsx", "A 58481-2023")</f>
        <v/>
      </c>
      <c r="T137">
        <f>HYPERLINK("https://klasma.github.io/Logging_1214/kartor/A 58481-2023 karta.png", "A 58481-2023")</f>
        <v/>
      </c>
      <c r="V137">
        <f>HYPERLINK("https://klasma.github.io/Logging_1214/klagomål/A 58481-2023 FSC-klagomål.docx", "A 58481-2023")</f>
        <v/>
      </c>
      <c r="W137">
        <f>HYPERLINK("https://klasma.github.io/Logging_1214/klagomålsmail/A 58481-2023 FSC-klagomål mail.docx", "A 58481-2023")</f>
        <v/>
      </c>
      <c r="X137">
        <f>HYPERLINK("https://klasma.github.io/Logging_1214/tillsyn/A 58481-2023 tillsynsbegäran.docx", "A 58481-2023")</f>
        <v/>
      </c>
      <c r="Y137">
        <f>HYPERLINK("https://klasma.github.io/Logging_1214/tillsynsmail/A 58481-2023 tillsynsbegäran mail.docx", "A 58481-2023")</f>
        <v/>
      </c>
    </row>
    <row r="138" ht="15" customHeight="1">
      <c r="A138" t="inlineStr">
        <is>
          <t>A 63560-2023</t>
        </is>
      </c>
      <c r="B138" s="1" t="n">
        <v>45274</v>
      </c>
      <c r="C138" s="1" t="n">
        <v>45585</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1415-2024</t>
        </is>
      </c>
      <c r="B139" s="1" t="n">
        <v>45303</v>
      </c>
      <c r="C139" s="1" t="n">
        <v>45585</v>
      </c>
      <c r="D139" t="inlineStr">
        <is>
          <t>SKÅNE LÄN</t>
        </is>
      </c>
      <c r="E139" t="inlineStr">
        <is>
          <t>KRISTIANSTAD</t>
        </is>
      </c>
      <c r="F139" t="inlineStr">
        <is>
          <t>Övriga Aktiebolag</t>
        </is>
      </c>
      <c r="G139" t="n">
        <v>3.1</v>
      </c>
      <c r="H139" t="n">
        <v>0</v>
      </c>
      <c r="I139" t="n">
        <v>2</v>
      </c>
      <c r="J139" t="n">
        <v>0</v>
      </c>
      <c r="K139" t="n">
        <v>0</v>
      </c>
      <c r="L139" t="n">
        <v>0</v>
      </c>
      <c r="M139" t="n">
        <v>0</v>
      </c>
      <c r="N139" t="n">
        <v>0</v>
      </c>
      <c r="O139" t="n">
        <v>0</v>
      </c>
      <c r="P139" t="n">
        <v>0</v>
      </c>
      <c r="Q139" t="n">
        <v>2</v>
      </c>
      <c r="R139" s="2" t="inlineStr">
        <is>
          <t>Liten stinksvamp
Rutbläcksvamp</t>
        </is>
      </c>
      <c r="S139">
        <f>HYPERLINK("https://klasma.github.io/Logging_1290/artfynd/A 1415-2024 artfynd.xlsx", "A 1415-2024")</f>
        <v/>
      </c>
      <c r="T139">
        <f>HYPERLINK("https://klasma.github.io/Logging_1290/kartor/A 1415-2024 karta.png", "A 1415-2024")</f>
        <v/>
      </c>
      <c r="V139">
        <f>HYPERLINK("https://klasma.github.io/Logging_1290/klagomål/A 1415-2024 FSC-klagomål.docx", "A 1415-2024")</f>
        <v/>
      </c>
      <c r="W139">
        <f>HYPERLINK("https://klasma.github.io/Logging_1290/klagomålsmail/A 1415-2024 FSC-klagomål mail.docx", "A 1415-2024")</f>
        <v/>
      </c>
      <c r="X139">
        <f>HYPERLINK("https://klasma.github.io/Logging_1290/tillsyn/A 1415-2024 tillsynsbegäran.docx", "A 1415-2024")</f>
        <v/>
      </c>
      <c r="Y139">
        <f>HYPERLINK("https://klasma.github.io/Logging_1290/tillsynsmail/A 1415-2024 tillsynsbegäran mail.docx", "A 1415-2024")</f>
        <v/>
      </c>
    </row>
    <row r="140" ht="15" customHeight="1">
      <c r="A140" t="inlineStr">
        <is>
          <t>A 2762-2024</t>
        </is>
      </c>
      <c r="B140" s="1" t="n">
        <v>45314</v>
      </c>
      <c r="C140" s="1" t="n">
        <v>45585</v>
      </c>
      <c r="D140" t="inlineStr">
        <is>
          <t>SKÅNE LÄN</t>
        </is>
      </c>
      <c r="E140" t="inlineStr">
        <is>
          <t>KLIPPAN</t>
        </is>
      </c>
      <c r="G140" t="n">
        <v>19.6</v>
      </c>
      <c r="H140" t="n">
        <v>2</v>
      </c>
      <c r="I140" t="n">
        <v>0</v>
      </c>
      <c r="J140" t="n">
        <v>2</v>
      </c>
      <c r="K140" t="n">
        <v>0</v>
      </c>
      <c r="L140" t="n">
        <v>0</v>
      </c>
      <c r="M140" t="n">
        <v>0</v>
      </c>
      <c r="N140" t="n">
        <v>0</v>
      </c>
      <c r="O140" t="n">
        <v>2</v>
      </c>
      <c r="P140" t="n">
        <v>0</v>
      </c>
      <c r="Q140" t="n">
        <v>2</v>
      </c>
      <c r="R140" s="2" t="inlineStr">
        <is>
          <t>Entita
Spillkråka</t>
        </is>
      </c>
      <c r="S140">
        <f>HYPERLINK("https://klasma.github.io/Logging_1276/artfynd/A 2762-2024 artfynd.xlsx", "A 2762-2024")</f>
        <v/>
      </c>
      <c r="T140">
        <f>HYPERLINK("https://klasma.github.io/Logging_1276/kartor/A 2762-2024 karta.png", "A 2762-2024")</f>
        <v/>
      </c>
      <c r="V140">
        <f>HYPERLINK("https://klasma.github.io/Logging_1276/klagomål/A 2762-2024 FSC-klagomål.docx", "A 2762-2024")</f>
        <v/>
      </c>
      <c r="W140">
        <f>HYPERLINK("https://klasma.github.io/Logging_1276/klagomålsmail/A 2762-2024 FSC-klagomål mail.docx", "A 2762-2024")</f>
        <v/>
      </c>
      <c r="X140">
        <f>HYPERLINK("https://klasma.github.io/Logging_1276/tillsyn/A 2762-2024 tillsynsbegäran.docx", "A 2762-2024")</f>
        <v/>
      </c>
      <c r="Y140">
        <f>HYPERLINK("https://klasma.github.io/Logging_1276/tillsynsmail/A 2762-2024 tillsynsbegäran mail.docx", "A 2762-2024")</f>
        <v/>
      </c>
      <c r="Z140">
        <f>HYPERLINK("https://klasma.github.io/Logging_1276/fåglar/A 2762-2024 prioriterade fågelarter.docx", "A 2762-2024")</f>
        <v/>
      </c>
    </row>
    <row r="141" ht="15" customHeight="1">
      <c r="A141" t="inlineStr">
        <is>
          <t>A 8188-2024</t>
        </is>
      </c>
      <c r="B141" s="1" t="n">
        <v>45338</v>
      </c>
      <c r="C141" s="1" t="n">
        <v>45585</v>
      </c>
      <c r="D141" t="inlineStr">
        <is>
          <t>SKÅNE LÄN</t>
        </is>
      </c>
      <c r="E141" t="inlineStr">
        <is>
          <t>TOMELILLA</t>
        </is>
      </c>
      <c r="F141" t="inlineStr">
        <is>
          <t>Kyrkan</t>
        </is>
      </c>
      <c r="G141" t="n">
        <v>4.7</v>
      </c>
      <c r="H141" t="n">
        <v>0</v>
      </c>
      <c r="I141" t="n">
        <v>1</v>
      </c>
      <c r="J141" t="n">
        <v>1</v>
      </c>
      <c r="K141" t="n">
        <v>0</v>
      </c>
      <c r="L141" t="n">
        <v>0</v>
      </c>
      <c r="M141" t="n">
        <v>0</v>
      </c>
      <c r="N141" t="n">
        <v>0</v>
      </c>
      <c r="O141" t="n">
        <v>1</v>
      </c>
      <c r="P141" t="n">
        <v>0</v>
      </c>
      <c r="Q141" t="n">
        <v>2</v>
      </c>
      <c r="R141" s="2" t="inlineStr">
        <is>
          <t>Krusfrö
Kransrams</t>
        </is>
      </c>
      <c r="S141">
        <f>HYPERLINK("https://klasma.github.io/Logging_1270/artfynd/A 8188-2024 artfynd.xlsx", "A 8188-2024")</f>
        <v/>
      </c>
      <c r="T141">
        <f>HYPERLINK("https://klasma.github.io/Logging_1270/kartor/A 8188-2024 karta.png", "A 8188-2024")</f>
        <v/>
      </c>
      <c r="V141">
        <f>HYPERLINK("https://klasma.github.io/Logging_1270/klagomål/A 8188-2024 FSC-klagomål.docx", "A 8188-2024")</f>
        <v/>
      </c>
      <c r="W141">
        <f>HYPERLINK("https://klasma.github.io/Logging_1270/klagomålsmail/A 8188-2024 FSC-klagomål mail.docx", "A 8188-2024")</f>
        <v/>
      </c>
      <c r="X141">
        <f>HYPERLINK("https://klasma.github.io/Logging_1270/tillsyn/A 8188-2024 tillsynsbegäran.docx", "A 8188-2024")</f>
        <v/>
      </c>
      <c r="Y141">
        <f>HYPERLINK("https://klasma.github.io/Logging_1270/tillsynsmail/A 8188-2024 tillsynsbegäran mail.docx", "A 8188-2024")</f>
        <v/>
      </c>
    </row>
    <row r="142" ht="15" customHeight="1">
      <c r="A142" t="inlineStr">
        <is>
          <t>A 7616-2024</t>
        </is>
      </c>
      <c r="B142" s="1" t="n">
        <v>45348</v>
      </c>
      <c r="C142" s="1" t="n">
        <v>45585</v>
      </c>
      <c r="D142" t="inlineStr">
        <is>
          <t>SKÅNE LÄN</t>
        </is>
      </c>
      <c r="E142" t="inlineStr">
        <is>
          <t>HÖÖR</t>
        </is>
      </c>
      <c r="G142" t="n">
        <v>4.2</v>
      </c>
      <c r="H142" t="n">
        <v>0</v>
      </c>
      <c r="I142" t="n">
        <v>0</v>
      </c>
      <c r="J142" t="n">
        <v>1</v>
      </c>
      <c r="K142" t="n">
        <v>1</v>
      </c>
      <c r="L142" t="n">
        <v>0</v>
      </c>
      <c r="M142" t="n">
        <v>0</v>
      </c>
      <c r="N142" t="n">
        <v>0</v>
      </c>
      <c r="O142" t="n">
        <v>2</v>
      </c>
      <c r="P142" t="n">
        <v>1</v>
      </c>
      <c r="Q142" t="n">
        <v>2</v>
      </c>
      <c r="R142" s="2" t="inlineStr">
        <is>
          <t>Flenörtskapuschongfly
Åkerkulla</t>
        </is>
      </c>
      <c r="S142">
        <f>HYPERLINK("https://klasma.github.io/Logging_1267/artfynd/A 7616-2024 artfynd.xlsx", "A 7616-2024")</f>
        <v/>
      </c>
      <c r="T142">
        <f>HYPERLINK("https://klasma.github.io/Logging_1267/kartor/A 7616-2024 karta.png", "A 7616-2024")</f>
        <v/>
      </c>
      <c r="V142">
        <f>HYPERLINK("https://klasma.github.io/Logging_1267/klagomål/A 7616-2024 FSC-klagomål.docx", "A 7616-2024")</f>
        <v/>
      </c>
      <c r="W142">
        <f>HYPERLINK("https://klasma.github.io/Logging_1267/klagomålsmail/A 7616-2024 FSC-klagomål mail.docx", "A 7616-2024")</f>
        <v/>
      </c>
      <c r="X142">
        <f>HYPERLINK("https://klasma.github.io/Logging_1267/tillsyn/A 7616-2024 tillsynsbegäran.docx", "A 7616-2024")</f>
        <v/>
      </c>
      <c r="Y142">
        <f>HYPERLINK("https://klasma.github.io/Logging_1267/tillsynsmail/A 7616-2024 tillsynsbegäran mail.docx", "A 7616-2024")</f>
        <v/>
      </c>
    </row>
    <row r="143" ht="15" customHeight="1">
      <c r="A143" t="inlineStr">
        <is>
          <t>A 10017-2024</t>
        </is>
      </c>
      <c r="B143" s="1" t="n">
        <v>45363</v>
      </c>
      <c r="C143" s="1" t="n">
        <v>45585</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11648-2024</t>
        </is>
      </c>
      <c r="B144" s="1" t="n">
        <v>45373</v>
      </c>
      <c r="C144" s="1" t="n">
        <v>45585</v>
      </c>
      <c r="D144" t="inlineStr">
        <is>
          <t>SKÅNE LÄN</t>
        </is>
      </c>
      <c r="E144" t="inlineStr">
        <is>
          <t>KÄVLINGE</t>
        </is>
      </c>
      <c r="F144" t="inlineStr">
        <is>
          <t>Övriga Aktiebolag</t>
        </is>
      </c>
      <c r="G144" t="n">
        <v>10.5</v>
      </c>
      <c r="H144" t="n">
        <v>0</v>
      </c>
      <c r="I144" t="n">
        <v>1</v>
      </c>
      <c r="J144" t="n">
        <v>0</v>
      </c>
      <c r="K144" t="n">
        <v>0</v>
      </c>
      <c r="L144" t="n">
        <v>1</v>
      </c>
      <c r="M144" t="n">
        <v>0</v>
      </c>
      <c r="N144" t="n">
        <v>0</v>
      </c>
      <c r="O144" t="n">
        <v>1</v>
      </c>
      <c r="P144" t="n">
        <v>1</v>
      </c>
      <c r="Q144" t="n">
        <v>2</v>
      </c>
      <c r="R144" s="2" t="inlineStr">
        <is>
          <t>Ask
Bokoxe</t>
        </is>
      </c>
      <c r="S144">
        <f>HYPERLINK("https://klasma.github.io/Logging_1261/artfynd/A 11648-2024 artfynd.xlsx", "A 11648-2024")</f>
        <v/>
      </c>
      <c r="T144">
        <f>HYPERLINK("https://klasma.github.io/Logging_1261/kartor/A 11648-2024 karta.png", "A 11648-2024")</f>
        <v/>
      </c>
      <c r="V144">
        <f>HYPERLINK("https://klasma.github.io/Logging_1261/klagomål/A 11648-2024 FSC-klagomål.docx", "A 11648-2024")</f>
        <v/>
      </c>
      <c r="W144">
        <f>HYPERLINK("https://klasma.github.io/Logging_1261/klagomålsmail/A 11648-2024 FSC-klagomål mail.docx", "A 11648-2024")</f>
        <v/>
      </c>
      <c r="X144">
        <f>HYPERLINK("https://klasma.github.io/Logging_1261/tillsyn/A 11648-2024 tillsynsbegäran.docx", "A 11648-2024")</f>
        <v/>
      </c>
      <c r="Y144">
        <f>HYPERLINK("https://klasma.github.io/Logging_1261/tillsynsmail/A 11648-2024 tillsynsbegäran mail.docx", "A 11648-2024")</f>
        <v/>
      </c>
    </row>
    <row r="145" ht="15" customHeight="1">
      <c r="A145" t="inlineStr">
        <is>
          <t>A 15571-2024</t>
        </is>
      </c>
      <c r="B145" s="1" t="n">
        <v>45401</v>
      </c>
      <c r="C145" s="1" t="n">
        <v>45585</v>
      </c>
      <c r="D145" t="inlineStr">
        <is>
          <t>SKÅNE LÄN</t>
        </is>
      </c>
      <c r="E145" t="inlineStr">
        <is>
          <t>SVEDALA</t>
        </is>
      </c>
      <c r="G145" t="n">
        <v>11.1</v>
      </c>
      <c r="H145" t="n">
        <v>0</v>
      </c>
      <c r="I145" t="n">
        <v>1</v>
      </c>
      <c r="J145" t="n">
        <v>1</v>
      </c>
      <c r="K145" t="n">
        <v>0</v>
      </c>
      <c r="L145" t="n">
        <v>0</v>
      </c>
      <c r="M145" t="n">
        <v>0</v>
      </c>
      <c r="N145" t="n">
        <v>0</v>
      </c>
      <c r="O145" t="n">
        <v>1</v>
      </c>
      <c r="P145" t="n">
        <v>0</v>
      </c>
      <c r="Q145" t="n">
        <v>2</v>
      </c>
      <c r="R145" s="2" t="inlineStr">
        <is>
          <t>Oxtungssvamp
Guldlockmossa</t>
        </is>
      </c>
      <c r="S145">
        <f>HYPERLINK("https://klasma.github.io/Logging_1263/artfynd/A 15571-2024 artfynd.xlsx", "A 15571-2024")</f>
        <v/>
      </c>
      <c r="T145">
        <f>HYPERLINK("https://klasma.github.io/Logging_1263/kartor/A 15571-2024 karta.png", "A 15571-2024")</f>
        <v/>
      </c>
      <c r="V145">
        <f>HYPERLINK("https://klasma.github.io/Logging_1263/klagomål/A 15571-2024 FSC-klagomål.docx", "A 15571-2024")</f>
        <v/>
      </c>
      <c r="W145">
        <f>HYPERLINK("https://klasma.github.io/Logging_1263/klagomålsmail/A 15571-2024 FSC-klagomål mail.docx", "A 15571-2024")</f>
        <v/>
      </c>
      <c r="X145">
        <f>HYPERLINK("https://klasma.github.io/Logging_1263/tillsyn/A 15571-2024 tillsynsbegäran.docx", "A 15571-2024")</f>
        <v/>
      </c>
      <c r="Y145">
        <f>HYPERLINK("https://klasma.github.io/Logging_1263/tillsynsmail/A 15571-2024 tillsynsbegäran mail.docx", "A 15571-2024")</f>
        <v/>
      </c>
    </row>
    <row r="146" ht="15" customHeight="1">
      <c r="A146" t="inlineStr">
        <is>
          <t>A 16122-2024</t>
        </is>
      </c>
      <c r="B146" s="1" t="n">
        <v>45406</v>
      </c>
      <c r="C146" s="1" t="n">
        <v>45585</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22776-2024</t>
        </is>
      </c>
      <c r="B147" s="1" t="n">
        <v>45448</v>
      </c>
      <c r="C147" s="1" t="n">
        <v>45585</v>
      </c>
      <c r="D147" t="inlineStr">
        <is>
          <t>SKÅNE LÄN</t>
        </is>
      </c>
      <c r="E147" t="inlineStr">
        <is>
          <t>LUND</t>
        </is>
      </c>
      <c r="G147" t="n">
        <v>5.6</v>
      </c>
      <c r="H147" t="n">
        <v>1</v>
      </c>
      <c r="I147" t="n">
        <v>0</v>
      </c>
      <c r="J147" t="n">
        <v>0</v>
      </c>
      <c r="K147" t="n">
        <v>1</v>
      </c>
      <c r="L147" t="n">
        <v>0</v>
      </c>
      <c r="M147" t="n">
        <v>0</v>
      </c>
      <c r="N147" t="n">
        <v>0</v>
      </c>
      <c r="O147" t="n">
        <v>1</v>
      </c>
      <c r="P147" t="n">
        <v>1</v>
      </c>
      <c r="Q147" t="n">
        <v>2</v>
      </c>
      <c r="R147" s="2" t="inlineStr">
        <is>
          <t>Slåttergubbe
Grönvit nattviol</t>
        </is>
      </c>
      <c r="S147">
        <f>HYPERLINK("https://klasma.github.io/Logging_1281/artfynd/A 22776-2024 artfynd.xlsx", "A 22776-2024")</f>
        <v/>
      </c>
      <c r="T147">
        <f>HYPERLINK("https://klasma.github.io/Logging_1281/kartor/A 22776-2024 karta.png", "A 22776-2024")</f>
        <v/>
      </c>
      <c r="V147">
        <f>HYPERLINK("https://klasma.github.io/Logging_1281/klagomål/A 22776-2024 FSC-klagomål.docx", "A 22776-2024")</f>
        <v/>
      </c>
      <c r="W147">
        <f>HYPERLINK("https://klasma.github.io/Logging_1281/klagomålsmail/A 22776-2024 FSC-klagomål mail.docx", "A 22776-2024")</f>
        <v/>
      </c>
      <c r="X147">
        <f>HYPERLINK("https://klasma.github.io/Logging_1281/tillsyn/A 22776-2024 tillsynsbegäran.docx", "A 22776-2024")</f>
        <v/>
      </c>
      <c r="Y147">
        <f>HYPERLINK("https://klasma.github.io/Logging_1281/tillsynsmail/A 22776-2024 tillsynsbegäran mail.docx", "A 22776-2024")</f>
        <v/>
      </c>
    </row>
    <row r="148" ht="15" customHeight="1">
      <c r="A148" t="inlineStr">
        <is>
          <t>A 25058-2024</t>
        </is>
      </c>
      <c r="B148" s="1" t="n">
        <v>45462</v>
      </c>
      <c r="C148" s="1" t="n">
        <v>45585</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25058-2024 artfynd.xlsx", "A 25058-2024")</f>
        <v/>
      </c>
      <c r="T148">
        <f>HYPERLINK("https://klasma.github.io/Logging_1290/kartor/A 25058-2024 karta.png", "A 25058-2024")</f>
        <v/>
      </c>
      <c r="V148">
        <f>HYPERLINK("https://klasma.github.io/Logging_1290/klagomål/A 25058-2024 FSC-klagomål.docx", "A 25058-2024")</f>
        <v/>
      </c>
      <c r="W148">
        <f>HYPERLINK("https://klasma.github.io/Logging_1290/klagomålsmail/A 25058-2024 FSC-klagomål mail.docx", "A 25058-2024")</f>
        <v/>
      </c>
      <c r="X148">
        <f>HYPERLINK("https://klasma.github.io/Logging_1290/tillsyn/A 25058-2024 tillsynsbegäran.docx", "A 25058-2024")</f>
        <v/>
      </c>
      <c r="Y148">
        <f>HYPERLINK("https://klasma.github.io/Logging_1290/tillsynsmail/A 25058-2024 tillsynsbegäran mail.docx", "A 25058-2024")</f>
        <v/>
      </c>
    </row>
    <row r="149" ht="15" customHeight="1">
      <c r="A149" t="inlineStr">
        <is>
          <t>A 26488-2024</t>
        </is>
      </c>
      <c r="B149" s="1" t="n">
        <v>45469</v>
      </c>
      <c r="C149" s="1" t="n">
        <v>45585</v>
      </c>
      <c r="D149" t="inlineStr">
        <is>
          <t>SKÅNE LÄN</t>
        </is>
      </c>
      <c r="E149" t="inlineStr">
        <is>
          <t>SJÖBO</t>
        </is>
      </c>
      <c r="G149" t="n">
        <v>8.1</v>
      </c>
      <c r="H149" t="n">
        <v>1</v>
      </c>
      <c r="I149" t="n">
        <v>0</v>
      </c>
      <c r="J149" t="n">
        <v>1</v>
      </c>
      <c r="K149" t="n">
        <v>0</v>
      </c>
      <c r="L149" t="n">
        <v>0</v>
      </c>
      <c r="M149" t="n">
        <v>0</v>
      </c>
      <c r="N149" t="n">
        <v>0</v>
      </c>
      <c r="O149" t="n">
        <v>1</v>
      </c>
      <c r="P149" t="n">
        <v>0</v>
      </c>
      <c r="Q149" t="n">
        <v>2</v>
      </c>
      <c r="R149" s="2" t="inlineStr">
        <is>
          <t>Triplax rufipes
Vanlig groda</t>
        </is>
      </c>
      <c r="S149">
        <f>HYPERLINK("https://klasma.github.io/Logging_1265/artfynd/A 26488-2024 artfynd.xlsx", "A 26488-2024")</f>
        <v/>
      </c>
      <c r="T149">
        <f>HYPERLINK("https://klasma.github.io/Logging_1265/kartor/A 26488-2024 karta.png", "A 26488-2024")</f>
        <v/>
      </c>
      <c r="V149">
        <f>HYPERLINK("https://klasma.github.io/Logging_1265/klagomål/A 26488-2024 FSC-klagomål.docx", "A 26488-2024")</f>
        <v/>
      </c>
      <c r="W149">
        <f>HYPERLINK("https://klasma.github.io/Logging_1265/klagomålsmail/A 26488-2024 FSC-klagomål mail.docx", "A 26488-2024")</f>
        <v/>
      </c>
      <c r="X149">
        <f>HYPERLINK("https://klasma.github.io/Logging_1265/tillsyn/A 26488-2024 tillsynsbegäran.docx", "A 26488-2024")</f>
        <v/>
      </c>
      <c r="Y149">
        <f>HYPERLINK("https://klasma.github.io/Logging_1265/tillsynsmail/A 26488-2024 tillsynsbegäran mail.docx", "A 26488-2024")</f>
        <v/>
      </c>
    </row>
    <row r="150" ht="15" customHeight="1">
      <c r="A150" t="inlineStr">
        <is>
          <t>A 30246-2024</t>
        </is>
      </c>
      <c r="B150" s="1" t="n">
        <v>45490</v>
      </c>
      <c r="C150" s="1" t="n">
        <v>45585</v>
      </c>
      <c r="D150" t="inlineStr">
        <is>
          <t>SKÅNE LÄN</t>
        </is>
      </c>
      <c r="E150" t="inlineStr">
        <is>
          <t>KRISTIANSTAD</t>
        </is>
      </c>
      <c r="G150" t="n">
        <v>8.699999999999999</v>
      </c>
      <c r="H150" t="n">
        <v>1</v>
      </c>
      <c r="I150" t="n">
        <v>0</v>
      </c>
      <c r="J150" t="n">
        <v>2</v>
      </c>
      <c r="K150" t="n">
        <v>0</v>
      </c>
      <c r="L150" t="n">
        <v>0</v>
      </c>
      <c r="M150" t="n">
        <v>0</v>
      </c>
      <c r="N150" t="n">
        <v>0</v>
      </c>
      <c r="O150" t="n">
        <v>2</v>
      </c>
      <c r="P150" t="n">
        <v>0</v>
      </c>
      <c r="Q150" t="n">
        <v>2</v>
      </c>
      <c r="R150" s="2" t="inlineStr">
        <is>
          <t>Desmeknopp
Spillkråka</t>
        </is>
      </c>
      <c r="S150">
        <f>HYPERLINK("https://klasma.github.io/Logging_1290/artfynd/A 30246-2024 artfynd.xlsx", "A 30246-2024")</f>
        <v/>
      </c>
      <c r="T150">
        <f>HYPERLINK("https://klasma.github.io/Logging_1290/kartor/A 30246-2024 karta.png", "A 30246-2024")</f>
        <v/>
      </c>
      <c r="V150">
        <f>HYPERLINK("https://klasma.github.io/Logging_1290/klagomål/A 30246-2024 FSC-klagomål.docx", "A 30246-2024")</f>
        <v/>
      </c>
      <c r="W150">
        <f>HYPERLINK("https://klasma.github.io/Logging_1290/klagomålsmail/A 30246-2024 FSC-klagomål mail.docx", "A 30246-2024")</f>
        <v/>
      </c>
      <c r="X150">
        <f>HYPERLINK("https://klasma.github.io/Logging_1290/tillsyn/A 30246-2024 tillsynsbegäran.docx", "A 30246-2024")</f>
        <v/>
      </c>
      <c r="Y150">
        <f>HYPERLINK("https://klasma.github.io/Logging_1290/tillsynsmail/A 30246-2024 tillsynsbegäran mail.docx", "A 30246-2024")</f>
        <v/>
      </c>
      <c r="Z150">
        <f>HYPERLINK("https://klasma.github.io/Logging_1290/fåglar/A 30246-2024 prioriterade fågelarter.docx", "A 30246-2024")</f>
        <v/>
      </c>
    </row>
    <row r="151" ht="15" customHeight="1">
      <c r="A151" t="inlineStr">
        <is>
          <t>A 31923-2024</t>
        </is>
      </c>
      <c r="B151" s="1" t="n">
        <v>45510</v>
      </c>
      <c r="C151" s="1" t="n">
        <v>45585</v>
      </c>
      <c r="D151" t="inlineStr">
        <is>
          <t>SKÅNE LÄN</t>
        </is>
      </c>
      <c r="E151" t="inlineStr">
        <is>
          <t>ÖRKELLJUNGA</t>
        </is>
      </c>
      <c r="G151" t="n">
        <v>3.3</v>
      </c>
      <c r="H151" t="n">
        <v>0</v>
      </c>
      <c r="I151" t="n">
        <v>2</v>
      </c>
      <c r="J151" t="n">
        <v>0</v>
      </c>
      <c r="K151" t="n">
        <v>0</v>
      </c>
      <c r="L151" t="n">
        <v>0</v>
      </c>
      <c r="M151" t="n">
        <v>0</v>
      </c>
      <c r="N151" t="n">
        <v>0</v>
      </c>
      <c r="O151" t="n">
        <v>0</v>
      </c>
      <c r="P151" t="n">
        <v>0</v>
      </c>
      <c r="Q151" t="n">
        <v>2</v>
      </c>
      <c r="R151" s="2" t="inlineStr">
        <is>
          <t>Havstulpanlav
Västlig hakmossa</t>
        </is>
      </c>
      <c r="S151">
        <f>HYPERLINK("https://klasma.github.io/Logging_1257/artfynd/A 31923-2024 artfynd.xlsx", "A 31923-2024")</f>
        <v/>
      </c>
      <c r="T151">
        <f>HYPERLINK("https://klasma.github.io/Logging_1257/kartor/A 31923-2024 karta.png", "A 31923-2024")</f>
        <v/>
      </c>
      <c r="V151">
        <f>HYPERLINK("https://klasma.github.io/Logging_1257/klagomål/A 31923-2024 FSC-klagomål.docx", "A 31923-2024")</f>
        <v/>
      </c>
      <c r="W151">
        <f>HYPERLINK("https://klasma.github.io/Logging_1257/klagomålsmail/A 31923-2024 FSC-klagomål mail.docx", "A 31923-2024")</f>
        <v/>
      </c>
      <c r="X151">
        <f>HYPERLINK("https://klasma.github.io/Logging_1257/tillsyn/A 31923-2024 tillsynsbegäran.docx", "A 31923-2024")</f>
        <v/>
      </c>
      <c r="Y151">
        <f>HYPERLINK("https://klasma.github.io/Logging_1257/tillsynsmail/A 31923-2024 tillsynsbegäran mail.docx", "A 31923-2024")</f>
        <v/>
      </c>
    </row>
    <row r="152" ht="15" customHeight="1">
      <c r="A152" t="inlineStr">
        <is>
          <t>A 37585-2024</t>
        </is>
      </c>
      <c r="B152" s="1" t="n">
        <v>45541</v>
      </c>
      <c r="C152" s="1" t="n">
        <v>45585</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39165-2024</t>
        </is>
      </c>
      <c r="B153" s="1" t="n">
        <v>45548</v>
      </c>
      <c r="C153" s="1" t="n">
        <v>45585</v>
      </c>
      <c r="D153" t="inlineStr">
        <is>
          <t>SKÅNE LÄN</t>
        </is>
      </c>
      <c r="E153" t="inlineStr">
        <is>
          <t>SVALÖV</t>
        </is>
      </c>
      <c r="G153" t="n">
        <v>2.9</v>
      </c>
      <c r="H153" t="n">
        <v>0</v>
      </c>
      <c r="I153" t="n">
        <v>0</v>
      </c>
      <c r="J153" t="n">
        <v>0</v>
      </c>
      <c r="K153" t="n">
        <v>0</v>
      </c>
      <c r="L153" t="n">
        <v>1</v>
      </c>
      <c r="M153" t="n">
        <v>1</v>
      </c>
      <c r="N153" t="n">
        <v>0</v>
      </c>
      <c r="O153" t="n">
        <v>2</v>
      </c>
      <c r="P153" t="n">
        <v>2</v>
      </c>
      <c r="Q153" t="n">
        <v>2</v>
      </c>
      <c r="R153" s="2" t="inlineStr">
        <is>
          <t>Skogsalm
Ask</t>
        </is>
      </c>
      <c r="S153">
        <f>HYPERLINK("https://klasma.github.io/Logging_1214/artfynd/A 39165-2024 artfynd.xlsx", "A 39165-2024")</f>
        <v/>
      </c>
      <c r="T153">
        <f>HYPERLINK("https://klasma.github.io/Logging_1214/kartor/A 39165-2024 karta.png", "A 39165-2024")</f>
        <v/>
      </c>
      <c r="V153">
        <f>HYPERLINK("https://klasma.github.io/Logging_1214/klagomål/A 39165-2024 FSC-klagomål.docx", "A 39165-2024")</f>
        <v/>
      </c>
      <c r="W153">
        <f>HYPERLINK("https://klasma.github.io/Logging_1214/klagomålsmail/A 39165-2024 FSC-klagomål mail.docx", "A 39165-2024")</f>
        <v/>
      </c>
      <c r="X153">
        <f>HYPERLINK("https://klasma.github.io/Logging_1214/tillsyn/A 39165-2024 tillsynsbegäran.docx", "A 39165-2024")</f>
        <v/>
      </c>
      <c r="Y153">
        <f>HYPERLINK("https://klasma.github.io/Logging_1214/tillsynsmail/A 39165-2024 tillsynsbegäran mail.docx", "A 39165-2024")</f>
        <v/>
      </c>
    </row>
    <row r="154" ht="15" customHeight="1">
      <c r="A154" t="inlineStr">
        <is>
          <t>A 45911-2024</t>
        </is>
      </c>
      <c r="B154" s="1" t="n">
        <v>45580</v>
      </c>
      <c r="C154" s="1" t="n">
        <v>45585</v>
      </c>
      <c r="D154" t="inlineStr">
        <is>
          <t>SKÅNE LÄN</t>
        </is>
      </c>
      <c r="E154" t="inlineStr">
        <is>
          <t>KRISTIANSTAD</t>
        </is>
      </c>
      <c r="G154" t="n">
        <v>2.2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20427-2019</t>
        </is>
      </c>
      <c r="B155" s="1" t="n">
        <v>43571</v>
      </c>
      <c r="C155" s="1" t="n">
        <v>45585</v>
      </c>
      <c r="D155" t="inlineStr">
        <is>
          <t>SKÅNE LÄN</t>
        </is>
      </c>
      <c r="E155" t="inlineStr">
        <is>
          <t>SJÖBO</t>
        </is>
      </c>
      <c r="G155" t="n">
        <v>4.5</v>
      </c>
      <c r="H155" t="n">
        <v>0</v>
      </c>
      <c r="I155" t="n">
        <v>0</v>
      </c>
      <c r="J155" t="n">
        <v>0</v>
      </c>
      <c r="K155" t="n">
        <v>0</v>
      </c>
      <c r="L155" t="n">
        <v>1</v>
      </c>
      <c r="M155" t="n">
        <v>0</v>
      </c>
      <c r="N155" t="n">
        <v>0</v>
      </c>
      <c r="O155" t="n">
        <v>1</v>
      </c>
      <c r="P155" t="n">
        <v>1</v>
      </c>
      <c r="Q155" t="n">
        <v>1</v>
      </c>
      <c r="R155" s="2" t="inlineStr">
        <is>
          <t>Ask</t>
        </is>
      </c>
      <c r="S155">
        <f>HYPERLINK("https://klasma.github.io/Logging_1265/artfynd/A 20427-2019 artfynd.xlsx", "A 20427-2019")</f>
        <v/>
      </c>
      <c r="T155">
        <f>HYPERLINK("https://klasma.github.io/Logging_1265/kartor/A 20427-2019 karta.png", "A 20427-2019")</f>
        <v/>
      </c>
      <c r="V155">
        <f>HYPERLINK("https://klasma.github.io/Logging_1265/klagomål/A 20427-2019 FSC-klagomål.docx", "A 20427-2019")</f>
        <v/>
      </c>
      <c r="W155">
        <f>HYPERLINK("https://klasma.github.io/Logging_1265/klagomålsmail/A 20427-2019 FSC-klagomål mail.docx", "A 20427-2019")</f>
        <v/>
      </c>
      <c r="X155">
        <f>HYPERLINK("https://klasma.github.io/Logging_1265/tillsyn/A 20427-2019 tillsynsbegäran.docx", "A 20427-2019")</f>
        <v/>
      </c>
      <c r="Y155">
        <f>HYPERLINK("https://klasma.github.io/Logging_1265/tillsynsmail/A 20427-2019 tillsynsbegäran mail.docx", "A 20427-2019")</f>
        <v/>
      </c>
    </row>
    <row r="156" ht="15" customHeight="1">
      <c r="A156" t="inlineStr">
        <is>
          <t>A 24820-2019</t>
        </is>
      </c>
      <c r="B156" s="1" t="n">
        <v>43602</v>
      </c>
      <c r="C156" s="1" t="n">
        <v>45585</v>
      </c>
      <c r="D156" t="inlineStr">
        <is>
          <t>SKÅNE LÄN</t>
        </is>
      </c>
      <c r="E156" t="inlineStr">
        <is>
          <t>SJÖBO</t>
        </is>
      </c>
      <c r="G156" t="n">
        <v>5.7</v>
      </c>
      <c r="H156" t="n">
        <v>1</v>
      </c>
      <c r="I156" t="n">
        <v>0</v>
      </c>
      <c r="J156" t="n">
        <v>0</v>
      </c>
      <c r="K156" t="n">
        <v>0</v>
      </c>
      <c r="L156" t="n">
        <v>1</v>
      </c>
      <c r="M156" t="n">
        <v>0</v>
      </c>
      <c r="N156" t="n">
        <v>0</v>
      </c>
      <c r="O156" t="n">
        <v>1</v>
      </c>
      <c r="P156" t="n">
        <v>1</v>
      </c>
      <c r="Q156" t="n">
        <v>1</v>
      </c>
      <c r="R156" s="2" t="inlineStr">
        <is>
          <t>Dvärgjohannesört</t>
        </is>
      </c>
      <c r="S156">
        <f>HYPERLINK("https://klasma.github.io/Logging_1265/artfynd/A 24820-2019 artfynd.xlsx", "A 24820-2019")</f>
        <v/>
      </c>
      <c r="T156">
        <f>HYPERLINK("https://klasma.github.io/Logging_1265/kartor/A 24820-2019 karta.png", "A 24820-2019")</f>
        <v/>
      </c>
      <c r="V156">
        <f>HYPERLINK("https://klasma.github.io/Logging_1265/klagomål/A 24820-2019 FSC-klagomål.docx", "A 24820-2019")</f>
        <v/>
      </c>
      <c r="W156">
        <f>HYPERLINK("https://klasma.github.io/Logging_1265/klagomålsmail/A 24820-2019 FSC-klagomål mail.docx", "A 24820-2019")</f>
        <v/>
      </c>
      <c r="X156">
        <f>HYPERLINK("https://klasma.github.io/Logging_1265/tillsyn/A 24820-2019 tillsynsbegäran.docx", "A 24820-2019")</f>
        <v/>
      </c>
      <c r="Y156">
        <f>HYPERLINK("https://klasma.github.io/Logging_1265/tillsynsmail/A 24820-2019 tillsynsbegäran mail.docx", "A 24820-2019")</f>
        <v/>
      </c>
    </row>
    <row r="157" ht="15" customHeight="1">
      <c r="A157" t="inlineStr">
        <is>
          <t>A 28988-2019</t>
        </is>
      </c>
      <c r="B157" s="1" t="n">
        <v>43620</v>
      </c>
      <c r="C157" s="1" t="n">
        <v>45585</v>
      </c>
      <c r="D157" t="inlineStr">
        <is>
          <t>SKÅNE LÄN</t>
        </is>
      </c>
      <c r="E157" t="inlineStr">
        <is>
          <t>HÄSSLEHOLM</t>
        </is>
      </c>
      <c r="G157" t="n">
        <v>1</v>
      </c>
      <c r="H157" t="n">
        <v>0</v>
      </c>
      <c r="I157" t="n">
        <v>0</v>
      </c>
      <c r="J157" t="n">
        <v>0</v>
      </c>
      <c r="K157" t="n">
        <v>1</v>
      </c>
      <c r="L157" t="n">
        <v>0</v>
      </c>
      <c r="M157" t="n">
        <v>0</v>
      </c>
      <c r="N157" t="n">
        <v>0</v>
      </c>
      <c r="O157" t="n">
        <v>1</v>
      </c>
      <c r="P157" t="n">
        <v>1</v>
      </c>
      <c r="Q157" t="n">
        <v>1</v>
      </c>
      <c r="R157" s="2" t="inlineStr">
        <is>
          <t>Slåttergubbe</t>
        </is>
      </c>
      <c r="S157">
        <f>HYPERLINK("https://klasma.github.io/Logging_1293/artfynd/A 28988-2019 artfynd.xlsx", "A 28988-2019")</f>
        <v/>
      </c>
      <c r="T157">
        <f>HYPERLINK("https://klasma.github.io/Logging_1293/kartor/A 28988-2019 karta.png", "A 28988-2019")</f>
        <v/>
      </c>
      <c r="V157">
        <f>HYPERLINK("https://klasma.github.io/Logging_1293/klagomål/A 28988-2019 FSC-klagomål.docx", "A 28988-2019")</f>
        <v/>
      </c>
      <c r="W157">
        <f>HYPERLINK("https://klasma.github.io/Logging_1293/klagomålsmail/A 28988-2019 FSC-klagomål mail.docx", "A 28988-2019")</f>
        <v/>
      </c>
      <c r="X157">
        <f>HYPERLINK("https://klasma.github.io/Logging_1293/tillsyn/A 28988-2019 tillsynsbegäran.docx", "A 28988-2019")</f>
        <v/>
      </c>
      <c r="Y157">
        <f>HYPERLINK("https://klasma.github.io/Logging_1293/tillsynsmail/A 28988-2019 tillsynsbegäran mail.docx", "A 28988-2019")</f>
        <v/>
      </c>
    </row>
    <row r="158" ht="15" customHeight="1">
      <c r="A158" t="inlineStr">
        <is>
          <t>A 29223-2019</t>
        </is>
      </c>
      <c r="B158" s="1" t="n">
        <v>43629</v>
      </c>
      <c r="C158" s="1" t="n">
        <v>45585</v>
      </c>
      <c r="D158" t="inlineStr">
        <is>
          <t>SKÅNE LÄN</t>
        </is>
      </c>
      <c r="E158" t="inlineStr">
        <is>
          <t>HÄSSLEHOLM</t>
        </is>
      </c>
      <c r="G158" t="n">
        <v>1.6</v>
      </c>
      <c r="H158" t="n">
        <v>0</v>
      </c>
      <c r="I158" t="n">
        <v>0</v>
      </c>
      <c r="J158" t="n">
        <v>1</v>
      </c>
      <c r="K158" t="n">
        <v>0</v>
      </c>
      <c r="L158" t="n">
        <v>0</v>
      </c>
      <c r="M158" t="n">
        <v>0</v>
      </c>
      <c r="N158" t="n">
        <v>0</v>
      </c>
      <c r="O158" t="n">
        <v>1</v>
      </c>
      <c r="P158" t="n">
        <v>0</v>
      </c>
      <c r="Q158" t="n">
        <v>1</v>
      </c>
      <c r="R158" s="2" t="inlineStr">
        <is>
          <t>Brandbitterskivling</t>
        </is>
      </c>
      <c r="S158">
        <f>HYPERLINK("https://klasma.github.io/Logging_1293/artfynd/A 29223-2019 artfynd.xlsx", "A 29223-2019")</f>
        <v/>
      </c>
      <c r="T158">
        <f>HYPERLINK("https://klasma.github.io/Logging_1293/kartor/A 29223-2019 karta.png", "A 29223-2019")</f>
        <v/>
      </c>
      <c r="V158">
        <f>HYPERLINK("https://klasma.github.io/Logging_1293/klagomål/A 29223-2019 FSC-klagomål.docx", "A 29223-2019")</f>
        <v/>
      </c>
      <c r="W158">
        <f>HYPERLINK("https://klasma.github.io/Logging_1293/klagomålsmail/A 29223-2019 FSC-klagomål mail.docx", "A 29223-2019")</f>
        <v/>
      </c>
      <c r="X158">
        <f>HYPERLINK("https://klasma.github.io/Logging_1293/tillsyn/A 29223-2019 tillsynsbegäran.docx", "A 29223-2019")</f>
        <v/>
      </c>
      <c r="Y158">
        <f>HYPERLINK("https://klasma.github.io/Logging_1293/tillsynsmail/A 29223-2019 tillsynsbegäran mail.docx", "A 29223-2019")</f>
        <v/>
      </c>
    </row>
    <row r="159" ht="15" customHeight="1">
      <c r="A159" t="inlineStr">
        <is>
          <t>A 29765-2019</t>
        </is>
      </c>
      <c r="B159" s="1" t="n">
        <v>43632</v>
      </c>
      <c r="C159" s="1" t="n">
        <v>45585</v>
      </c>
      <c r="D159" t="inlineStr">
        <is>
          <t>SKÅNE LÄN</t>
        </is>
      </c>
      <c r="E159" t="inlineStr">
        <is>
          <t>HÄSSLEHOLM</t>
        </is>
      </c>
      <c r="G159" t="n">
        <v>13.9</v>
      </c>
      <c r="H159" t="n">
        <v>0</v>
      </c>
      <c r="I159" t="n">
        <v>0</v>
      </c>
      <c r="J159" t="n">
        <v>0</v>
      </c>
      <c r="K159" t="n">
        <v>0</v>
      </c>
      <c r="L159" t="n">
        <v>0</v>
      </c>
      <c r="M159" t="n">
        <v>1</v>
      </c>
      <c r="N159" t="n">
        <v>0</v>
      </c>
      <c r="O159" t="n">
        <v>1</v>
      </c>
      <c r="P159" t="n">
        <v>1</v>
      </c>
      <c r="Q159" t="n">
        <v>1</v>
      </c>
      <c r="R159" s="2" t="inlineStr">
        <is>
          <t>Flodkräfta</t>
        </is>
      </c>
      <c r="S159">
        <f>HYPERLINK("https://klasma.github.io/Logging_1293/artfynd/A 29765-2019 artfynd.xlsx", "A 29765-2019")</f>
        <v/>
      </c>
      <c r="T159">
        <f>HYPERLINK("https://klasma.github.io/Logging_1293/kartor/A 29765-2019 karta.png", "A 29765-2019")</f>
        <v/>
      </c>
      <c r="V159">
        <f>HYPERLINK("https://klasma.github.io/Logging_1293/klagomål/A 29765-2019 FSC-klagomål.docx", "A 29765-2019")</f>
        <v/>
      </c>
      <c r="W159">
        <f>HYPERLINK("https://klasma.github.io/Logging_1293/klagomålsmail/A 29765-2019 FSC-klagomål mail.docx", "A 29765-2019")</f>
        <v/>
      </c>
      <c r="X159">
        <f>HYPERLINK("https://klasma.github.io/Logging_1293/tillsyn/A 29765-2019 tillsynsbegäran.docx", "A 29765-2019")</f>
        <v/>
      </c>
      <c r="Y159">
        <f>HYPERLINK("https://klasma.github.io/Logging_1293/tillsynsmail/A 29765-2019 tillsynsbegäran mail.docx", "A 29765-2019")</f>
        <v/>
      </c>
    </row>
    <row r="160" ht="15" customHeight="1">
      <c r="A160" t="inlineStr">
        <is>
          <t>A 30710-2019</t>
        </is>
      </c>
      <c r="B160" s="1" t="n">
        <v>43636</v>
      </c>
      <c r="C160" s="1" t="n">
        <v>45585</v>
      </c>
      <c r="D160" t="inlineStr">
        <is>
          <t>SKÅNE LÄN</t>
        </is>
      </c>
      <c r="E160" t="inlineStr">
        <is>
          <t>SVEDALA</t>
        </is>
      </c>
      <c r="G160" t="n">
        <v>1.5</v>
      </c>
      <c r="H160" t="n">
        <v>0</v>
      </c>
      <c r="I160" t="n">
        <v>1</v>
      </c>
      <c r="J160" t="n">
        <v>0</v>
      </c>
      <c r="K160" t="n">
        <v>0</v>
      </c>
      <c r="L160" t="n">
        <v>0</v>
      </c>
      <c r="M160" t="n">
        <v>0</v>
      </c>
      <c r="N160" t="n">
        <v>0</v>
      </c>
      <c r="O160" t="n">
        <v>0</v>
      </c>
      <c r="P160" t="n">
        <v>0</v>
      </c>
      <c r="Q160" t="n">
        <v>1</v>
      </c>
      <c r="R160" s="2" t="inlineStr">
        <is>
          <t>Bokoxe</t>
        </is>
      </c>
      <c r="S160">
        <f>HYPERLINK("https://klasma.github.io/Logging_1263/artfynd/A 30710-2019 artfynd.xlsx", "A 30710-2019")</f>
        <v/>
      </c>
      <c r="T160">
        <f>HYPERLINK("https://klasma.github.io/Logging_1263/kartor/A 30710-2019 karta.png", "A 30710-2019")</f>
        <v/>
      </c>
      <c r="V160">
        <f>HYPERLINK("https://klasma.github.io/Logging_1263/klagomål/A 30710-2019 FSC-klagomål.docx", "A 30710-2019")</f>
        <v/>
      </c>
      <c r="W160">
        <f>HYPERLINK("https://klasma.github.io/Logging_1263/klagomålsmail/A 30710-2019 FSC-klagomål mail.docx", "A 30710-2019")</f>
        <v/>
      </c>
      <c r="X160">
        <f>HYPERLINK("https://klasma.github.io/Logging_1263/tillsyn/A 30710-2019 tillsynsbegäran.docx", "A 30710-2019")</f>
        <v/>
      </c>
      <c r="Y160">
        <f>HYPERLINK("https://klasma.github.io/Logging_1263/tillsynsmail/A 30710-2019 tillsynsbegäran mail.docx", "A 30710-2019")</f>
        <v/>
      </c>
    </row>
    <row r="161" ht="15" customHeight="1">
      <c r="A161" t="inlineStr">
        <is>
          <t>A 32997-2019</t>
        </is>
      </c>
      <c r="B161" s="1" t="n">
        <v>43649</v>
      </c>
      <c r="C161" s="1" t="n">
        <v>45585</v>
      </c>
      <c r="D161" t="inlineStr">
        <is>
          <t>SKÅNE LÄN</t>
        </is>
      </c>
      <c r="E161" t="inlineStr">
        <is>
          <t>HÄSSLEHOLM</t>
        </is>
      </c>
      <c r="G161" t="n">
        <v>3.9</v>
      </c>
      <c r="H161" t="n">
        <v>1</v>
      </c>
      <c r="I161" t="n">
        <v>0</v>
      </c>
      <c r="J161" t="n">
        <v>0</v>
      </c>
      <c r="K161" t="n">
        <v>1</v>
      </c>
      <c r="L161" t="n">
        <v>0</v>
      </c>
      <c r="M161" t="n">
        <v>0</v>
      </c>
      <c r="N161" t="n">
        <v>0</v>
      </c>
      <c r="O161" t="n">
        <v>1</v>
      </c>
      <c r="P161" t="n">
        <v>1</v>
      </c>
      <c r="Q161" t="n">
        <v>1</v>
      </c>
      <c r="R161" s="2" t="inlineStr">
        <is>
          <t>Knärot</t>
        </is>
      </c>
      <c r="S161">
        <f>HYPERLINK("https://klasma.github.io/Logging_1293/artfynd/A 32997-2019 artfynd.xlsx", "A 32997-2019")</f>
        <v/>
      </c>
      <c r="T161">
        <f>HYPERLINK("https://klasma.github.io/Logging_1293/kartor/A 32997-2019 karta.png", "A 32997-2019")</f>
        <v/>
      </c>
      <c r="U161">
        <f>HYPERLINK("https://klasma.github.io/Logging_1293/knärot/A 32997-2019 karta knärot.png", "A 32997-2019")</f>
        <v/>
      </c>
      <c r="V161">
        <f>HYPERLINK("https://klasma.github.io/Logging_1293/klagomål/A 32997-2019 FSC-klagomål.docx", "A 32997-2019")</f>
        <v/>
      </c>
      <c r="W161">
        <f>HYPERLINK("https://klasma.github.io/Logging_1293/klagomålsmail/A 32997-2019 FSC-klagomål mail.docx", "A 32997-2019")</f>
        <v/>
      </c>
      <c r="X161">
        <f>HYPERLINK("https://klasma.github.io/Logging_1293/tillsyn/A 32997-2019 tillsynsbegäran.docx", "A 32997-2019")</f>
        <v/>
      </c>
      <c r="Y161">
        <f>HYPERLINK("https://klasma.github.io/Logging_1293/tillsynsmail/A 32997-2019 tillsynsbegäran mail.docx", "A 32997-2019")</f>
        <v/>
      </c>
    </row>
    <row r="162" ht="15" customHeight="1">
      <c r="A162" t="inlineStr">
        <is>
          <t>A 33889-2019</t>
        </is>
      </c>
      <c r="B162" s="1" t="n">
        <v>43653</v>
      </c>
      <c r="C162" s="1" t="n">
        <v>45585</v>
      </c>
      <c r="D162" t="inlineStr">
        <is>
          <t>SKÅNE LÄN</t>
        </is>
      </c>
      <c r="E162" t="inlineStr">
        <is>
          <t>KLIPPAN</t>
        </is>
      </c>
      <c r="G162" t="n">
        <v>3.7</v>
      </c>
      <c r="H162" t="n">
        <v>1</v>
      </c>
      <c r="I162" t="n">
        <v>0</v>
      </c>
      <c r="J162" t="n">
        <v>0</v>
      </c>
      <c r="K162" t="n">
        <v>0</v>
      </c>
      <c r="L162" t="n">
        <v>0</v>
      </c>
      <c r="M162" t="n">
        <v>0</v>
      </c>
      <c r="N162" t="n">
        <v>0</v>
      </c>
      <c r="O162" t="n">
        <v>0</v>
      </c>
      <c r="P162" t="n">
        <v>0</v>
      </c>
      <c r="Q162" t="n">
        <v>1</v>
      </c>
      <c r="R162" s="2" t="inlineStr">
        <is>
          <t>Vanlig padda</t>
        </is>
      </c>
      <c r="S162">
        <f>HYPERLINK("https://klasma.github.io/Logging_1276/artfynd/A 33889-2019 artfynd.xlsx", "A 33889-2019")</f>
        <v/>
      </c>
      <c r="T162">
        <f>HYPERLINK("https://klasma.github.io/Logging_1276/kartor/A 33889-2019 karta.png", "A 33889-2019")</f>
        <v/>
      </c>
      <c r="V162">
        <f>HYPERLINK("https://klasma.github.io/Logging_1276/klagomål/A 33889-2019 FSC-klagomål.docx", "A 33889-2019")</f>
        <v/>
      </c>
      <c r="W162">
        <f>HYPERLINK("https://klasma.github.io/Logging_1276/klagomålsmail/A 33889-2019 FSC-klagomål mail.docx", "A 33889-2019")</f>
        <v/>
      </c>
      <c r="X162">
        <f>HYPERLINK("https://klasma.github.io/Logging_1276/tillsyn/A 33889-2019 tillsynsbegäran.docx", "A 33889-2019")</f>
        <v/>
      </c>
      <c r="Y162">
        <f>HYPERLINK("https://klasma.github.io/Logging_1276/tillsynsmail/A 33889-2019 tillsynsbegäran mail.docx", "A 33889-2019")</f>
        <v/>
      </c>
    </row>
    <row r="163" ht="15" customHeight="1">
      <c r="A163" t="inlineStr">
        <is>
          <t>A 38268-2019</t>
        </is>
      </c>
      <c r="B163" s="1" t="n">
        <v>43684</v>
      </c>
      <c r="C163" s="1" t="n">
        <v>45585</v>
      </c>
      <c r="D163" t="inlineStr">
        <is>
          <t>SKÅNE LÄN</t>
        </is>
      </c>
      <c r="E163" t="inlineStr">
        <is>
          <t>OSBY</t>
        </is>
      </c>
      <c r="G163" t="n">
        <v>0.4</v>
      </c>
      <c r="H163" t="n">
        <v>0</v>
      </c>
      <c r="I163" t="n">
        <v>0</v>
      </c>
      <c r="J163" t="n">
        <v>0</v>
      </c>
      <c r="K163" t="n">
        <v>0</v>
      </c>
      <c r="L163" t="n">
        <v>1</v>
      </c>
      <c r="M163" t="n">
        <v>0</v>
      </c>
      <c r="N163" t="n">
        <v>0</v>
      </c>
      <c r="O163" t="n">
        <v>1</v>
      </c>
      <c r="P163" t="n">
        <v>1</v>
      </c>
      <c r="Q163" t="n">
        <v>1</v>
      </c>
      <c r="R163" s="2" t="inlineStr">
        <is>
          <t>Ask</t>
        </is>
      </c>
      <c r="S163">
        <f>HYPERLINK("https://klasma.github.io/Logging_1273/artfynd/A 38268-2019 artfynd.xlsx", "A 38268-2019")</f>
        <v/>
      </c>
      <c r="T163">
        <f>HYPERLINK("https://klasma.github.io/Logging_1273/kartor/A 38268-2019 karta.png", "A 38268-2019")</f>
        <v/>
      </c>
      <c r="V163">
        <f>HYPERLINK("https://klasma.github.io/Logging_1273/klagomål/A 38268-2019 FSC-klagomål.docx", "A 38268-2019")</f>
        <v/>
      </c>
      <c r="W163">
        <f>HYPERLINK("https://klasma.github.io/Logging_1273/klagomålsmail/A 38268-2019 FSC-klagomål mail.docx", "A 38268-2019")</f>
        <v/>
      </c>
      <c r="X163">
        <f>HYPERLINK("https://klasma.github.io/Logging_1273/tillsyn/A 38268-2019 tillsynsbegäran.docx", "A 38268-2019")</f>
        <v/>
      </c>
      <c r="Y163">
        <f>HYPERLINK("https://klasma.github.io/Logging_1273/tillsynsmail/A 38268-2019 tillsynsbegäran mail.docx", "A 38268-2019")</f>
        <v/>
      </c>
    </row>
    <row r="164" ht="15" customHeight="1">
      <c r="A164" t="inlineStr">
        <is>
          <t>A 38678-2019</t>
        </is>
      </c>
      <c r="B164" s="1" t="n">
        <v>43684</v>
      </c>
      <c r="C164" s="1" t="n">
        <v>45585</v>
      </c>
      <c r="D164" t="inlineStr">
        <is>
          <t>SKÅNE LÄN</t>
        </is>
      </c>
      <c r="E164" t="inlineStr">
        <is>
          <t>KRISTIANSTAD</t>
        </is>
      </c>
      <c r="G164" t="n">
        <v>2.5</v>
      </c>
      <c r="H164" t="n">
        <v>1</v>
      </c>
      <c r="I164" t="n">
        <v>0</v>
      </c>
      <c r="J164" t="n">
        <v>0</v>
      </c>
      <c r="K164" t="n">
        <v>1</v>
      </c>
      <c r="L164" t="n">
        <v>0</v>
      </c>
      <c r="M164" t="n">
        <v>0</v>
      </c>
      <c r="N164" t="n">
        <v>0</v>
      </c>
      <c r="O164" t="n">
        <v>1</v>
      </c>
      <c r="P164" t="n">
        <v>1</v>
      </c>
      <c r="Q164" t="n">
        <v>1</v>
      </c>
      <c r="R164" s="2" t="inlineStr">
        <is>
          <t>Backsippa</t>
        </is>
      </c>
      <c r="S164">
        <f>HYPERLINK("https://klasma.github.io/Logging_1290/artfynd/A 38678-2019 artfynd.xlsx", "A 38678-2019")</f>
        <v/>
      </c>
      <c r="T164">
        <f>HYPERLINK("https://klasma.github.io/Logging_1290/kartor/A 38678-2019 karta.png", "A 38678-2019")</f>
        <v/>
      </c>
      <c r="V164">
        <f>HYPERLINK("https://klasma.github.io/Logging_1290/klagomål/A 38678-2019 FSC-klagomål.docx", "A 38678-2019")</f>
        <v/>
      </c>
      <c r="W164">
        <f>HYPERLINK("https://klasma.github.io/Logging_1290/klagomålsmail/A 38678-2019 FSC-klagomål mail.docx", "A 38678-2019")</f>
        <v/>
      </c>
      <c r="X164">
        <f>HYPERLINK("https://klasma.github.io/Logging_1290/tillsyn/A 38678-2019 tillsynsbegäran.docx", "A 38678-2019")</f>
        <v/>
      </c>
      <c r="Y164">
        <f>HYPERLINK("https://klasma.github.io/Logging_1290/tillsynsmail/A 38678-2019 tillsynsbegäran mail.docx", "A 38678-2019")</f>
        <v/>
      </c>
    </row>
    <row r="165" ht="15" customHeight="1">
      <c r="A165" t="inlineStr">
        <is>
          <t>A 46202-2019</t>
        </is>
      </c>
      <c r="B165" s="1" t="n">
        <v>43713</v>
      </c>
      <c r="C165" s="1" t="n">
        <v>45585</v>
      </c>
      <c r="D165" t="inlineStr">
        <is>
          <t>SKÅNE LÄN</t>
        </is>
      </c>
      <c r="E165" t="inlineStr">
        <is>
          <t>SVEDALA</t>
        </is>
      </c>
      <c r="G165" t="n">
        <v>2.5</v>
      </c>
      <c r="H165" t="n">
        <v>0</v>
      </c>
      <c r="I165" t="n">
        <v>0</v>
      </c>
      <c r="J165" t="n">
        <v>0</v>
      </c>
      <c r="K165" t="n">
        <v>0</v>
      </c>
      <c r="L165" t="n">
        <v>1</v>
      </c>
      <c r="M165" t="n">
        <v>0</v>
      </c>
      <c r="N165" t="n">
        <v>0</v>
      </c>
      <c r="O165" t="n">
        <v>1</v>
      </c>
      <c r="P165" t="n">
        <v>1</v>
      </c>
      <c r="Q165" t="n">
        <v>1</v>
      </c>
      <c r="R165" s="2" t="inlineStr">
        <is>
          <t>Ask</t>
        </is>
      </c>
      <c r="S165">
        <f>HYPERLINK("https://klasma.github.io/Logging_1263/artfynd/A 46202-2019 artfynd.xlsx", "A 46202-2019")</f>
        <v/>
      </c>
      <c r="T165">
        <f>HYPERLINK("https://klasma.github.io/Logging_1263/kartor/A 46202-2019 karta.png", "A 46202-2019")</f>
        <v/>
      </c>
      <c r="V165">
        <f>HYPERLINK("https://klasma.github.io/Logging_1263/klagomål/A 46202-2019 FSC-klagomål.docx", "A 46202-2019")</f>
        <v/>
      </c>
      <c r="W165">
        <f>HYPERLINK("https://klasma.github.io/Logging_1263/klagomålsmail/A 46202-2019 FSC-klagomål mail.docx", "A 46202-2019")</f>
        <v/>
      </c>
      <c r="X165">
        <f>HYPERLINK("https://klasma.github.io/Logging_1263/tillsyn/A 46202-2019 tillsynsbegäran.docx", "A 46202-2019")</f>
        <v/>
      </c>
      <c r="Y165">
        <f>HYPERLINK("https://klasma.github.io/Logging_1263/tillsynsmail/A 46202-2019 tillsynsbegäran mail.docx", "A 46202-2019")</f>
        <v/>
      </c>
    </row>
    <row r="166" ht="15" customHeight="1">
      <c r="A166" t="inlineStr">
        <is>
          <t>A 46680-2019</t>
        </is>
      </c>
      <c r="B166" s="1" t="n">
        <v>43717</v>
      </c>
      <c r="C166" s="1" t="n">
        <v>45585</v>
      </c>
      <c r="D166" t="inlineStr">
        <is>
          <t>SKÅNE LÄN</t>
        </is>
      </c>
      <c r="E166" t="inlineStr">
        <is>
          <t>KRISTIANSTAD</t>
        </is>
      </c>
      <c r="G166" t="n">
        <v>2</v>
      </c>
      <c r="H166" t="n">
        <v>0</v>
      </c>
      <c r="I166" t="n">
        <v>1</v>
      </c>
      <c r="J166" t="n">
        <v>0</v>
      </c>
      <c r="K166" t="n">
        <v>0</v>
      </c>
      <c r="L166" t="n">
        <v>0</v>
      </c>
      <c r="M166" t="n">
        <v>0</v>
      </c>
      <c r="N166" t="n">
        <v>0</v>
      </c>
      <c r="O166" t="n">
        <v>0</v>
      </c>
      <c r="P166" t="n">
        <v>0</v>
      </c>
      <c r="Q166" t="n">
        <v>1</v>
      </c>
      <c r="R166" s="2" t="inlineStr">
        <is>
          <t>Kransrams</t>
        </is>
      </c>
      <c r="S166">
        <f>HYPERLINK("https://klasma.github.io/Logging_1290/artfynd/A 46680-2019 artfynd.xlsx", "A 46680-2019")</f>
        <v/>
      </c>
      <c r="T166">
        <f>HYPERLINK("https://klasma.github.io/Logging_1290/kartor/A 46680-2019 karta.png", "A 46680-2019")</f>
        <v/>
      </c>
      <c r="V166">
        <f>HYPERLINK("https://klasma.github.io/Logging_1290/klagomål/A 46680-2019 FSC-klagomål.docx", "A 46680-2019")</f>
        <v/>
      </c>
      <c r="W166">
        <f>HYPERLINK("https://klasma.github.io/Logging_1290/klagomålsmail/A 46680-2019 FSC-klagomål mail.docx", "A 46680-2019")</f>
        <v/>
      </c>
      <c r="X166">
        <f>HYPERLINK("https://klasma.github.io/Logging_1290/tillsyn/A 46680-2019 tillsynsbegäran.docx", "A 46680-2019")</f>
        <v/>
      </c>
      <c r="Y166">
        <f>HYPERLINK("https://klasma.github.io/Logging_1290/tillsynsmail/A 46680-2019 tillsynsbegäran mail.docx", "A 46680-2019")</f>
        <v/>
      </c>
    </row>
    <row r="167" ht="15" customHeight="1">
      <c r="A167" t="inlineStr">
        <is>
          <t>A 47468-2019</t>
        </is>
      </c>
      <c r="B167" s="1" t="n">
        <v>43724</v>
      </c>
      <c r="C167" s="1" t="n">
        <v>45585</v>
      </c>
      <c r="D167" t="inlineStr">
        <is>
          <t>SKÅNE LÄN</t>
        </is>
      </c>
      <c r="E167" t="inlineStr">
        <is>
          <t>HÄSSLEHOLM</t>
        </is>
      </c>
      <c r="G167" t="n">
        <v>3.3</v>
      </c>
      <c r="H167" t="n">
        <v>1</v>
      </c>
      <c r="I167" t="n">
        <v>0</v>
      </c>
      <c r="J167" t="n">
        <v>0</v>
      </c>
      <c r="K167" t="n">
        <v>0</v>
      </c>
      <c r="L167" t="n">
        <v>0</v>
      </c>
      <c r="M167" t="n">
        <v>0</v>
      </c>
      <c r="N167" t="n">
        <v>0</v>
      </c>
      <c r="O167" t="n">
        <v>0</v>
      </c>
      <c r="P167" t="n">
        <v>0</v>
      </c>
      <c r="Q167" t="n">
        <v>1</v>
      </c>
      <c r="R167" s="2" t="inlineStr">
        <is>
          <t>Gullviva</t>
        </is>
      </c>
      <c r="S167">
        <f>HYPERLINK("https://klasma.github.io/Logging_1293/artfynd/A 47468-2019 artfynd.xlsx", "A 47468-2019")</f>
        <v/>
      </c>
      <c r="T167">
        <f>HYPERLINK("https://klasma.github.io/Logging_1293/kartor/A 47468-2019 karta.png", "A 47468-2019")</f>
        <v/>
      </c>
      <c r="V167">
        <f>HYPERLINK("https://klasma.github.io/Logging_1293/klagomål/A 47468-2019 FSC-klagomål.docx", "A 47468-2019")</f>
        <v/>
      </c>
      <c r="W167">
        <f>HYPERLINK("https://klasma.github.io/Logging_1293/klagomålsmail/A 47468-2019 FSC-klagomål mail.docx", "A 47468-2019")</f>
        <v/>
      </c>
      <c r="X167">
        <f>HYPERLINK("https://klasma.github.io/Logging_1293/tillsyn/A 47468-2019 tillsynsbegäran.docx", "A 47468-2019")</f>
        <v/>
      </c>
      <c r="Y167">
        <f>HYPERLINK("https://klasma.github.io/Logging_1293/tillsynsmail/A 47468-2019 tillsynsbegäran mail.docx", "A 47468-2019")</f>
        <v/>
      </c>
    </row>
    <row r="168" ht="15" customHeight="1">
      <c r="A168" t="inlineStr">
        <is>
          <t>A 47678-2019</t>
        </is>
      </c>
      <c r="B168" s="1" t="n">
        <v>43724</v>
      </c>
      <c r="C168" s="1" t="n">
        <v>45585</v>
      </c>
      <c r="D168" t="inlineStr">
        <is>
          <t>SKÅNE LÄN</t>
        </is>
      </c>
      <c r="E168" t="inlineStr">
        <is>
          <t>HÄSSLEHOLM</t>
        </is>
      </c>
      <c r="G168" t="n">
        <v>3.7</v>
      </c>
      <c r="H168" t="n">
        <v>0</v>
      </c>
      <c r="I168" t="n">
        <v>0</v>
      </c>
      <c r="J168" t="n">
        <v>1</v>
      </c>
      <c r="K168" t="n">
        <v>0</v>
      </c>
      <c r="L168" t="n">
        <v>0</v>
      </c>
      <c r="M168" t="n">
        <v>0</v>
      </c>
      <c r="N168" t="n">
        <v>0</v>
      </c>
      <c r="O168" t="n">
        <v>1</v>
      </c>
      <c r="P168" t="n">
        <v>0</v>
      </c>
      <c r="Q168" t="n">
        <v>1</v>
      </c>
      <c r="R168" s="2" t="inlineStr">
        <is>
          <t>Nålbjörnbär</t>
        </is>
      </c>
      <c r="S168">
        <f>HYPERLINK("https://klasma.github.io/Logging_1293/artfynd/A 47678-2019 artfynd.xlsx", "A 47678-2019")</f>
        <v/>
      </c>
      <c r="T168">
        <f>HYPERLINK("https://klasma.github.io/Logging_1293/kartor/A 47678-2019 karta.png", "A 47678-2019")</f>
        <v/>
      </c>
      <c r="V168">
        <f>HYPERLINK("https://klasma.github.io/Logging_1293/klagomål/A 47678-2019 FSC-klagomål.docx", "A 47678-2019")</f>
        <v/>
      </c>
      <c r="W168">
        <f>HYPERLINK("https://klasma.github.io/Logging_1293/klagomålsmail/A 47678-2019 FSC-klagomål mail.docx", "A 47678-2019")</f>
        <v/>
      </c>
      <c r="X168">
        <f>HYPERLINK("https://klasma.github.io/Logging_1293/tillsyn/A 47678-2019 tillsynsbegäran.docx", "A 47678-2019")</f>
        <v/>
      </c>
      <c r="Y168">
        <f>HYPERLINK("https://klasma.github.io/Logging_1293/tillsynsmail/A 47678-2019 tillsynsbegäran mail.docx", "A 47678-2019")</f>
        <v/>
      </c>
    </row>
    <row r="169" ht="15" customHeight="1">
      <c r="A169" t="inlineStr">
        <is>
          <t>A 51114-2019</t>
        </is>
      </c>
      <c r="B169" s="1" t="n">
        <v>43732</v>
      </c>
      <c r="C169" s="1" t="n">
        <v>45585</v>
      </c>
      <c r="D169" t="inlineStr">
        <is>
          <t>SKÅNE LÄN</t>
        </is>
      </c>
      <c r="E169" t="inlineStr">
        <is>
          <t>ÄNGELHOLM</t>
        </is>
      </c>
      <c r="G169" t="n">
        <v>10</v>
      </c>
      <c r="H169" t="n">
        <v>0</v>
      </c>
      <c r="I169" t="n">
        <v>0</v>
      </c>
      <c r="J169" t="n">
        <v>1</v>
      </c>
      <c r="K169" t="n">
        <v>0</v>
      </c>
      <c r="L169" t="n">
        <v>0</v>
      </c>
      <c r="M169" t="n">
        <v>0</v>
      </c>
      <c r="N169" t="n">
        <v>0</v>
      </c>
      <c r="O169" t="n">
        <v>1</v>
      </c>
      <c r="P169" t="n">
        <v>0</v>
      </c>
      <c r="Q169" t="n">
        <v>1</v>
      </c>
      <c r="R169" s="2" t="inlineStr">
        <is>
          <t>Borsttåg</t>
        </is>
      </c>
      <c r="S169">
        <f>HYPERLINK("https://klasma.github.io/Logging_1292/artfynd/A 51114-2019 artfynd.xlsx", "A 51114-2019")</f>
        <v/>
      </c>
      <c r="T169">
        <f>HYPERLINK("https://klasma.github.io/Logging_1292/kartor/A 51114-2019 karta.png", "A 51114-2019")</f>
        <v/>
      </c>
      <c r="V169">
        <f>HYPERLINK("https://klasma.github.io/Logging_1292/klagomål/A 51114-2019 FSC-klagomål.docx", "A 51114-2019")</f>
        <v/>
      </c>
      <c r="W169">
        <f>HYPERLINK("https://klasma.github.io/Logging_1292/klagomålsmail/A 51114-2019 FSC-klagomål mail.docx", "A 51114-2019")</f>
        <v/>
      </c>
      <c r="X169">
        <f>HYPERLINK("https://klasma.github.io/Logging_1292/tillsyn/A 51114-2019 tillsynsbegäran.docx", "A 51114-2019")</f>
        <v/>
      </c>
      <c r="Y169">
        <f>HYPERLINK("https://klasma.github.io/Logging_1292/tillsynsmail/A 51114-2019 tillsynsbegäran mail.docx", "A 51114-2019")</f>
        <v/>
      </c>
    </row>
    <row r="170" ht="15" customHeight="1">
      <c r="A170" t="inlineStr">
        <is>
          <t>A 51102-2019</t>
        </is>
      </c>
      <c r="B170" s="1" t="n">
        <v>43732</v>
      </c>
      <c r="C170" s="1" t="n">
        <v>45585</v>
      </c>
      <c r="D170" t="inlineStr">
        <is>
          <t>SKÅNE LÄN</t>
        </is>
      </c>
      <c r="E170" t="inlineStr">
        <is>
          <t>ÖRKELLJUNGA</t>
        </is>
      </c>
      <c r="G170" t="n">
        <v>15</v>
      </c>
      <c r="H170" t="n">
        <v>0</v>
      </c>
      <c r="I170" t="n">
        <v>0</v>
      </c>
      <c r="J170" t="n">
        <v>1</v>
      </c>
      <c r="K170" t="n">
        <v>0</v>
      </c>
      <c r="L170" t="n">
        <v>0</v>
      </c>
      <c r="M170" t="n">
        <v>0</v>
      </c>
      <c r="N170" t="n">
        <v>0</v>
      </c>
      <c r="O170" t="n">
        <v>1</v>
      </c>
      <c r="P170" t="n">
        <v>0</v>
      </c>
      <c r="Q170" t="n">
        <v>1</v>
      </c>
      <c r="R170" s="2" t="inlineStr">
        <is>
          <t>Svinrot</t>
        </is>
      </c>
      <c r="S170">
        <f>HYPERLINK("https://klasma.github.io/Logging_1257/artfynd/A 51102-2019 artfynd.xlsx", "A 51102-2019")</f>
        <v/>
      </c>
      <c r="T170">
        <f>HYPERLINK("https://klasma.github.io/Logging_1257/kartor/A 51102-2019 karta.png", "A 51102-2019")</f>
        <v/>
      </c>
      <c r="V170">
        <f>HYPERLINK("https://klasma.github.io/Logging_1257/klagomål/A 51102-2019 FSC-klagomål.docx", "A 51102-2019")</f>
        <v/>
      </c>
      <c r="W170">
        <f>HYPERLINK("https://klasma.github.io/Logging_1257/klagomålsmail/A 51102-2019 FSC-klagomål mail.docx", "A 51102-2019")</f>
        <v/>
      </c>
      <c r="X170">
        <f>HYPERLINK("https://klasma.github.io/Logging_1257/tillsyn/A 51102-2019 tillsynsbegäran.docx", "A 51102-2019")</f>
        <v/>
      </c>
      <c r="Y170">
        <f>HYPERLINK("https://klasma.github.io/Logging_1257/tillsynsmail/A 51102-2019 tillsynsbegäran mail.docx", "A 51102-2019")</f>
        <v/>
      </c>
    </row>
    <row r="171" ht="15" customHeight="1">
      <c r="A171" t="inlineStr">
        <is>
          <t>A 51847-2019</t>
        </is>
      </c>
      <c r="B171" s="1" t="n">
        <v>43734</v>
      </c>
      <c r="C171" s="1" t="n">
        <v>45585</v>
      </c>
      <c r="D171" t="inlineStr">
        <is>
          <t>SKÅNE LÄN</t>
        </is>
      </c>
      <c r="E171" t="inlineStr">
        <is>
          <t>SJÖBO</t>
        </is>
      </c>
      <c r="G171" t="n">
        <v>1.6</v>
      </c>
      <c r="H171" t="n">
        <v>0</v>
      </c>
      <c r="I171" t="n">
        <v>1</v>
      </c>
      <c r="J171" t="n">
        <v>0</v>
      </c>
      <c r="K171" t="n">
        <v>0</v>
      </c>
      <c r="L171" t="n">
        <v>0</v>
      </c>
      <c r="M171" t="n">
        <v>0</v>
      </c>
      <c r="N171" t="n">
        <v>0</v>
      </c>
      <c r="O171" t="n">
        <v>0</v>
      </c>
      <c r="P171" t="n">
        <v>0</v>
      </c>
      <c r="Q171" t="n">
        <v>1</v>
      </c>
      <c r="R171" s="2" t="inlineStr">
        <is>
          <t>Kamtuffmossa</t>
        </is>
      </c>
      <c r="S171">
        <f>HYPERLINK("https://klasma.github.io/Logging_1265/artfynd/A 51847-2019 artfynd.xlsx", "A 51847-2019")</f>
        <v/>
      </c>
      <c r="T171">
        <f>HYPERLINK("https://klasma.github.io/Logging_1265/kartor/A 51847-2019 karta.png", "A 51847-2019")</f>
        <v/>
      </c>
      <c r="V171">
        <f>HYPERLINK("https://klasma.github.io/Logging_1265/klagomål/A 51847-2019 FSC-klagomål.docx", "A 51847-2019")</f>
        <v/>
      </c>
      <c r="W171">
        <f>HYPERLINK("https://klasma.github.io/Logging_1265/klagomålsmail/A 51847-2019 FSC-klagomål mail.docx", "A 51847-2019")</f>
        <v/>
      </c>
      <c r="X171">
        <f>HYPERLINK("https://klasma.github.io/Logging_1265/tillsyn/A 51847-2019 tillsynsbegäran.docx", "A 51847-2019")</f>
        <v/>
      </c>
      <c r="Y171">
        <f>HYPERLINK("https://klasma.github.io/Logging_1265/tillsynsmail/A 51847-2019 tillsynsbegäran mail.docx", "A 51847-2019")</f>
        <v/>
      </c>
    </row>
    <row r="172" ht="15" customHeight="1">
      <c r="A172" t="inlineStr">
        <is>
          <t>A 50573-2019</t>
        </is>
      </c>
      <c r="B172" s="1" t="n">
        <v>43735</v>
      </c>
      <c r="C172" s="1" t="n">
        <v>45585</v>
      </c>
      <c r="D172" t="inlineStr">
        <is>
          <t>SKÅNE LÄN</t>
        </is>
      </c>
      <c r="E172" t="inlineStr">
        <is>
          <t>OSBY</t>
        </is>
      </c>
      <c r="F172" t="inlineStr">
        <is>
          <t>Naturvårdsverket</t>
        </is>
      </c>
      <c r="G172" t="n">
        <v>5.1</v>
      </c>
      <c r="H172" t="n">
        <v>0</v>
      </c>
      <c r="I172" t="n">
        <v>0</v>
      </c>
      <c r="J172" t="n">
        <v>1</v>
      </c>
      <c r="K172" t="n">
        <v>0</v>
      </c>
      <c r="L172" t="n">
        <v>0</v>
      </c>
      <c r="M172" t="n">
        <v>0</v>
      </c>
      <c r="N172" t="n">
        <v>0</v>
      </c>
      <c r="O172" t="n">
        <v>1</v>
      </c>
      <c r="P172" t="n">
        <v>0</v>
      </c>
      <c r="Q172" t="n">
        <v>1</v>
      </c>
      <c r="R172" s="2" t="inlineStr">
        <is>
          <t>Backmåra</t>
        </is>
      </c>
      <c r="S172">
        <f>HYPERLINK("https://klasma.github.io/Logging_1273/artfynd/A 50573-2019 artfynd.xlsx", "A 50573-2019")</f>
        <v/>
      </c>
      <c r="T172">
        <f>HYPERLINK("https://klasma.github.io/Logging_1273/kartor/A 50573-2019 karta.png", "A 50573-2019")</f>
        <v/>
      </c>
      <c r="V172">
        <f>HYPERLINK("https://klasma.github.io/Logging_1273/klagomål/A 50573-2019 FSC-klagomål.docx", "A 50573-2019")</f>
        <v/>
      </c>
      <c r="W172">
        <f>HYPERLINK("https://klasma.github.io/Logging_1273/klagomålsmail/A 50573-2019 FSC-klagomål mail.docx", "A 50573-2019")</f>
        <v/>
      </c>
      <c r="X172">
        <f>HYPERLINK("https://klasma.github.io/Logging_1273/tillsyn/A 50573-2019 tillsynsbegäran.docx", "A 50573-2019")</f>
        <v/>
      </c>
      <c r="Y172">
        <f>HYPERLINK("https://klasma.github.io/Logging_1273/tillsynsmail/A 50573-2019 tillsynsbegäran mail.docx", "A 50573-2019")</f>
        <v/>
      </c>
    </row>
    <row r="173" ht="15" customHeight="1">
      <c r="A173" t="inlineStr">
        <is>
          <t>A 53436-2019</t>
        </is>
      </c>
      <c r="B173" s="1" t="n">
        <v>43748</v>
      </c>
      <c r="C173" s="1" t="n">
        <v>45585</v>
      </c>
      <c r="D173" t="inlineStr">
        <is>
          <t>SKÅNE LÄN</t>
        </is>
      </c>
      <c r="E173" t="inlineStr">
        <is>
          <t>OSBY</t>
        </is>
      </c>
      <c r="G173" t="n">
        <v>2.8</v>
      </c>
      <c r="H173" t="n">
        <v>1</v>
      </c>
      <c r="I173" t="n">
        <v>0</v>
      </c>
      <c r="J173" t="n">
        <v>0</v>
      </c>
      <c r="K173" t="n">
        <v>0</v>
      </c>
      <c r="L173" t="n">
        <v>0</v>
      </c>
      <c r="M173" t="n">
        <v>0</v>
      </c>
      <c r="N173" t="n">
        <v>0</v>
      </c>
      <c r="O173" t="n">
        <v>0</v>
      </c>
      <c r="P173" t="n">
        <v>0</v>
      </c>
      <c r="Q173" t="n">
        <v>1</v>
      </c>
      <c r="R173" s="2" t="inlineStr">
        <is>
          <t>Revlummer</t>
        </is>
      </c>
      <c r="S173">
        <f>HYPERLINK("https://klasma.github.io/Logging_1273/artfynd/A 53436-2019 artfynd.xlsx", "A 53436-2019")</f>
        <v/>
      </c>
      <c r="T173">
        <f>HYPERLINK("https://klasma.github.io/Logging_1273/kartor/A 53436-2019 karta.png", "A 53436-2019")</f>
        <v/>
      </c>
      <c r="V173">
        <f>HYPERLINK("https://klasma.github.io/Logging_1273/klagomål/A 53436-2019 FSC-klagomål.docx", "A 53436-2019")</f>
        <v/>
      </c>
      <c r="W173">
        <f>HYPERLINK("https://klasma.github.io/Logging_1273/klagomålsmail/A 53436-2019 FSC-klagomål mail.docx", "A 53436-2019")</f>
        <v/>
      </c>
      <c r="X173">
        <f>HYPERLINK("https://klasma.github.io/Logging_1273/tillsyn/A 53436-2019 tillsynsbegäran.docx", "A 53436-2019")</f>
        <v/>
      </c>
      <c r="Y173">
        <f>HYPERLINK("https://klasma.github.io/Logging_1273/tillsynsmail/A 53436-2019 tillsynsbegäran mail.docx", "A 53436-2019")</f>
        <v/>
      </c>
    </row>
    <row r="174" ht="15" customHeight="1">
      <c r="A174" t="inlineStr">
        <is>
          <t>A 55656-2019</t>
        </is>
      </c>
      <c r="B174" s="1" t="n">
        <v>43760</v>
      </c>
      <c r="C174" s="1" t="n">
        <v>45585</v>
      </c>
      <c r="D174" t="inlineStr">
        <is>
          <t>SKÅNE LÄN</t>
        </is>
      </c>
      <c r="E174" t="inlineStr">
        <is>
          <t>HÄSSLEHOLM</t>
        </is>
      </c>
      <c r="G174" t="n">
        <v>1.8</v>
      </c>
      <c r="H174" t="n">
        <v>1</v>
      </c>
      <c r="I174" t="n">
        <v>0</v>
      </c>
      <c r="J174" t="n">
        <v>0</v>
      </c>
      <c r="K174" t="n">
        <v>1</v>
      </c>
      <c r="L174" t="n">
        <v>0</v>
      </c>
      <c r="M174" t="n">
        <v>0</v>
      </c>
      <c r="N174" t="n">
        <v>0</v>
      </c>
      <c r="O174" t="n">
        <v>1</v>
      </c>
      <c r="P174" t="n">
        <v>1</v>
      </c>
      <c r="Q174" t="n">
        <v>1</v>
      </c>
      <c r="R174" s="2" t="inlineStr">
        <is>
          <t>Hedblomster</t>
        </is>
      </c>
      <c r="S174">
        <f>HYPERLINK("https://klasma.github.io/Logging_1293/artfynd/A 55656-2019 artfynd.xlsx", "A 55656-2019")</f>
        <v/>
      </c>
      <c r="T174">
        <f>HYPERLINK("https://klasma.github.io/Logging_1293/kartor/A 55656-2019 karta.png", "A 55656-2019")</f>
        <v/>
      </c>
      <c r="V174">
        <f>HYPERLINK("https://klasma.github.io/Logging_1293/klagomål/A 55656-2019 FSC-klagomål.docx", "A 55656-2019")</f>
        <v/>
      </c>
      <c r="W174">
        <f>HYPERLINK("https://klasma.github.io/Logging_1293/klagomålsmail/A 55656-2019 FSC-klagomål mail.docx", "A 55656-2019")</f>
        <v/>
      </c>
      <c r="X174">
        <f>HYPERLINK("https://klasma.github.io/Logging_1293/tillsyn/A 55656-2019 tillsynsbegäran.docx", "A 55656-2019")</f>
        <v/>
      </c>
      <c r="Y174">
        <f>HYPERLINK("https://klasma.github.io/Logging_1293/tillsynsmail/A 55656-2019 tillsynsbegäran mail.docx", "A 55656-2019")</f>
        <v/>
      </c>
    </row>
    <row r="175" ht="15" customHeight="1">
      <c r="A175" t="inlineStr">
        <is>
          <t>A 56351-2019</t>
        </is>
      </c>
      <c r="B175" s="1" t="n">
        <v>43761</v>
      </c>
      <c r="C175" s="1" t="n">
        <v>45585</v>
      </c>
      <c r="D175" t="inlineStr">
        <is>
          <t>SKÅNE LÄN</t>
        </is>
      </c>
      <c r="E175" t="inlineStr">
        <is>
          <t>ÖSTRA GÖINGE</t>
        </is>
      </c>
      <c r="G175" t="n">
        <v>14.2</v>
      </c>
      <c r="H175" t="n">
        <v>1</v>
      </c>
      <c r="I175" t="n">
        <v>0</v>
      </c>
      <c r="J175" t="n">
        <v>1</v>
      </c>
      <c r="K175" t="n">
        <v>0</v>
      </c>
      <c r="L175" t="n">
        <v>0</v>
      </c>
      <c r="M175" t="n">
        <v>0</v>
      </c>
      <c r="N175" t="n">
        <v>0</v>
      </c>
      <c r="O175" t="n">
        <v>1</v>
      </c>
      <c r="P175" t="n">
        <v>0</v>
      </c>
      <c r="Q175" t="n">
        <v>1</v>
      </c>
      <c r="R175" s="2" t="inlineStr">
        <is>
          <t>Svartvit flugsnappare</t>
        </is>
      </c>
      <c r="S175">
        <f>HYPERLINK("https://klasma.github.io/Logging_1256/artfynd/A 56351-2019 artfynd.xlsx", "A 56351-2019")</f>
        <v/>
      </c>
      <c r="T175">
        <f>HYPERLINK("https://klasma.github.io/Logging_1256/kartor/A 56351-2019 karta.png", "A 56351-2019")</f>
        <v/>
      </c>
      <c r="V175">
        <f>HYPERLINK("https://klasma.github.io/Logging_1256/klagomål/A 56351-2019 FSC-klagomål.docx", "A 56351-2019")</f>
        <v/>
      </c>
      <c r="W175">
        <f>HYPERLINK("https://klasma.github.io/Logging_1256/klagomålsmail/A 56351-2019 FSC-klagomål mail.docx", "A 56351-2019")</f>
        <v/>
      </c>
      <c r="X175">
        <f>HYPERLINK("https://klasma.github.io/Logging_1256/tillsyn/A 56351-2019 tillsynsbegäran.docx", "A 56351-2019")</f>
        <v/>
      </c>
      <c r="Y175">
        <f>HYPERLINK("https://klasma.github.io/Logging_1256/tillsynsmail/A 56351-2019 tillsynsbegäran mail.docx", "A 56351-2019")</f>
        <v/>
      </c>
      <c r="Z175">
        <f>HYPERLINK("https://klasma.github.io/Logging_1256/fåglar/A 56351-2019 prioriterade fågelarter.docx", "A 56351-2019")</f>
        <v/>
      </c>
    </row>
    <row r="176" ht="15" customHeight="1">
      <c r="A176" t="inlineStr">
        <is>
          <t>A 59414-2019</t>
        </is>
      </c>
      <c r="B176" s="1" t="n">
        <v>43775</v>
      </c>
      <c r="C176" s="1" t="n">
        <v>45585</v>
      </c>
      <c r="D176" t="inlineStr">
        <is>
          <t>SKÅNE LÄN</t>
        </is>
      </c>
      <c r="E176" t="inlineStr">
        <is>
          <t>SJÖBO</t>
        </is>
      </c>
      <c r="G176" t="n">
        <v>5.3</v>
      </c>
      <c r="H176" t="n">
        <v>0</v>
      </c>
      <c r="I176" t="n">
        <v>0</v>
      </c>
      <c r="J176" t="n">
        <v>0</v>
      </c>
      <c r="K176" t="n">
        <v>1</v>
      </c>
      <c r="L176" t="n">
        <v>0</v>
      </c>
      <c r="M176" t="n">
        <v>0</v>
      </c>
      <c r="N176" t="n">
        <v>0</v>
      </c>
      <c r="O176" t="n">
        <v>1</v>
      </c>
      <c r="P176" t="n">
        <v>1</v>
      </c>
      <c r="Q176" t="n">
        <v>1</v>
      </c>
      <c r="R176" s="2" t="inlineStr">
        <is>
          <t>Fläcklungört</t>
        </is>
      </c>
      <c r="S176">
        <f>HYPERLINK("https://klasma.github.io/Logging_1265/artfynd/A 59414-2019 artfynd.xlsx", "A 59414-2019")</f>
        <v/>
      </c>
      <c r="T176">
        <f>HYPERLINK("https://klasma.github.io/Logging_1265/kartor/A 59414-2019 karta.png", "A 59414-2019")</f>
        <v/>
      </c>
      <c r="V176">
        <f>HYPERLINK("https://klasma.github.io/Logging_1265/klagomål/A 59414-2019 FSC-klagomål.docx", "A 59414-2019")</f>
        <v/>
      </c>
      <c r="W176">
        <f>HYPERLINK("https://klasma.github.io/Logging_1265/klagomålsmail/A 59414-2019 FSC-klagomål mail.docx", "A 59414-2019")</f>
        <v/>
      </c>
      <c r="X176">
        <f>HYPERLINK("https://klasma.github.io/Logging_1265/tillsyn/A 59414-2019 tillsynsbegäran.docx", "A 59414-2019")</f>
        <v/>
      </c>
      <c r="Y176">
        <f>HYPERLINK("https://klasma.github.io/Logging_1265/tillsynsmail/A 59414-2019 tillsynsbegäran mail.docx", "A 59414-2019")</f>
        <v/>
      </c>
    </row>
    <row r="177" ht="15" customHeight="1">
      <c r="A177" t="inlineStr">
        <is>
          <t>A 2738-2020</t>
        </is>
      </c>
      <c r="B177" s="1" t="n">
        <v>43843</v>
      </c>
      <c r="C177" s="1" t="n">
        <v>45585</v>
      </c>
      <c r="D177" t="inlineStr">
        <is>
          <t>SKÅNE LÄN</t>
        </is>
      </c>
      <c r="E177" t="inlineStr">
        <is>
          <t>HÄSSLEHOLM</t>
        </is>
      </c>
      <c r="G177" t="n">
        <v>1.2</v>
      </c>
      <c r="H177" t="n">
        <v>0</v>
      </c>
      <c r="I177" t="n">
        <v>0</v>
      </c>
      <c r="J177" t="n">
        <v>0</v>
      </c>
      <c r="K177" t="n">
        <v>1</v>
      </c>
      <c r="L177" t="n">
        <v>0</v>
      </c>
      <c r="M177" t="n">
        <v>0</v>
      </c>
      <c r="N177" t="n">
        <v>0</v>
      </c>
      <c r="O177" t="n">
        <v>1</v>
      </c>
      <c r="P177" t="n">
        <v>1</v>
      </c>
      <c r="Q177" t="n">
        <v>1</v>
      </c>
      <c r="R177" s="2" t="inlineStr">
        <is>
          <t>Småvänderot</t>
        </is>
      </c>
      <c r="S177">
        <f>HYPERLINK("https://klasma.github.io/Logging_1293/artfynd/A 2738-2020 artfynd.xlsx", "A 2738-2020")</f>
        <v/>
      </c>
      <c r="T177">
        <f>HYPERLINK("https://klasma.github.io/Logging_1293/kartor/A 2738-2020 karta.png", "A 2738-2020")</f>
        <v/>
      </c>
      <c r="V177">
        <f>HYPERLINK("https://klasma.github.io/Logging_1293/klagomål/A 2738-2020 FSC-klagomål.docx", "A 2738-2020")</f>
        <v/>
      </c>
      <c r="W177">
        <f>HYPERLINK("https://klasma.github.io/Logging_1293/klagomålsmail/A 2738-2020 FSC-klagomål mail.docx", "A 2738-2020")</f>
        <v/>
      </c>
      <c r="X177">
        <f>HYPERLINK("https://klasma.github.io/Logging_1293/tillsyn/A 2738-2020 tillsynsbegäran.docx", "A 2738-2020")</f>
        <v/>
      </c>
      <c r="Y177">
        <f>HYPERLINK("https://klasma.github.io/Logging_1293/tillsynsmail/A 2738-2020 tillsynsbegäran mail.docx", "A 2738-2020")</f>
        <v/>
      </c>
    </row>
    <row r="178" ht="15" customHeight="1">
      <c r="A178" t="inlineStr">
        <is>
          <t>A 7635-2020</t>
        </is>
      </c>
      <c r="B178" s="1" t="n">
        <v>43872</v>
      </c>
      <c r="C178" s="1" t="n">
        <v>45585</v>
      </c>
      <c r="D178" t="inlineStr">
        <is>
          <t>SKÅNE LÄN</t>
        </is>
      </c>
      <c r="E178" t="inlineStr">
        <is>
          <t>ÄNGELHOLM</t>
        </is>
      </c>
      <c r="G178" t="n">
        <v>2.2</v>
      </c>
      <c r="H178" t="n">
        <v>0</v>
      </c>
      <c r="I178" t="n">
        <v>1</v>
      </c>
      <c r="J178" t="n">
        <v>0</v>
      </c>
      <c r="K178" t="n">
        <v>0</v>
      </c>
      <c r="L178" t="n">
        <v>0</v>
      </c>
      <c r="M178" t="n">
        <v>0</v>
      </c>
      <c r="N178" t="n">
        <v>0</v>
      </c>
      <c r="O178" t="n">
        <v>0</v>
      </c>
      <c r="P178" t="n">
        <v>0</v>
      </c>
      <c r="Q178" t="n">
        <v>1</v>
      </c>
      <c r="R178" s="2" t="inlineStr">
        <is>
          <t>Blåmossa</t>
        </is>
      </c>
      <c r="S178">
        <f>HYPERLINK("https://klasma.github.io/Logging_1292/artfynd/A 7635-2020 artfynd.xlsx", "A 7635-2020")</f>
        <v/>
      </c>
      <c r="T178">
        <f>HYPERLINK("https://klasma.github.io/Logging_1292/kartor/A 7635-2020 karta.png", "A 7635-2020")</f>
        <v/>
      </c>
      <c r="V178">
        <f>HYPERLINK("https://klasma.github.io/Logging_1292/klagomål/A 7635-2020 FSC-klagomål.docx", "A 7635-2020")</f>
        <v/>
      </c>
      <c r="W178">
        <f>HYPERLINK("https://klasma.github.io/Logging_1292/klagomålsmail/A 7635-2020 FSC-klagomål mail.docx", "A 7635-2020")</f>
        <v/>
      </c>
      <c r="X178">
        <f>HYPERLINK("https://klasma.github.io/Logging_1292/tillsyn/A 7635-2020 tillsynsbegäran.docx", "A 7635-2020")</f>
        <v/>
      </c>
      <c r="Y178">
        <f>HYPERLINK("https://klasma.github.io/Logging_1292/tillsynsmail/A 7635-2020 tillsynsbegäran mail.docx", "A 7635-2020")</f>
        <v/>
      </c>
    </row>
    <row r="179" ht="15" customHeight="1">
      <c r="A179" t="inlineStr">
        <is>
          <t>A 8665-2020</t>
        </is>
      </c>
      <c r="B179" s="1" t="n">
        <v>43878</v>
      </c>
      <c r="C179" s="1" t="n">
        <v>45585</v>
      </c>
      <c r="D179" t="inlineStr">
        <is>
          <t>SKÅNE LÄN</t>
        </is>
      </c>
      <c r="E179" t="inlineStr">
        <is>
          <t>ÄNGELHOLM</t>
        </is>
      </c>
      <c r="G179" t="n">
        <v>4.7</v>
      </c>
      <c r="H179" t="n">
        <v>0</v>
      </c>
      <c r="I179" t="n">
        <v>0</v>
      </c>
      <c r="J179" t="n">
        <v>0</v>
      </c>
      <c r="K179" t="n">
        <v>1</v>
      </c>
      <c r="L179" t="n">
        <v>0</v>
      </c>
      <c r="M179" t="n">
        <v>0</v>
      </c>
      <c r="N179" t="n">
        <v>0</v>
      </c>
      <c r="O179" t="n">
        <v>1</v>
      </c>
      <c r="P179" t="n">
        <v>1</v>
      </c>
      <c r="Q179" t="n">
        <v>1</v>
      </c>
      <c r="R179" s="2" t="inlineStr">
        <is>
          <t>Glansbjörnbär</t>
        </is>
      </c>
      <c r="S179">
        <f>HYPERLINK("https://klasma.github.io/Logging_1292/artfynd/A 8665-2020 artfynd.xlsx", "A 8665-2020")</f>
        <v/>
      </c>
      <c r="T179">
        <f>HYPERLINK("https://klasma.github.io/Logging_1292/kartor/A 8665-2020 karta.png", "A 8665-2020")</f>
        <v/>
      </c>
      <c r="V179">
        <f>HYPERLINK("https://klasma.github.io/Logging_1292/klagomål/A 8665-2020 FSC-klagomål.docx", "A 8665-2020")</f>
        <v/>
      </c>
      <c r="W179">
        <f>HYPERLINK("https://klasma.github.io/Logging_1292/klagomålsmail/A 8665-2020 FSC-klagomål mail.docx", "A 8665-2020")</f>
        <v/>
      </c>
      <c r="X179">
        <f>HYPERLINK("https://klasma.github.io/Logging_1292/tillsyn/A 8665-2020 tillsynsbegäran.docx", "A 8665-2020")</f>
        <v/>
      </c>
      <c r="Y179">
        <f>HYPERLINK("https://klasma.github.io/Logging_1292/tillsynsmail/A 8665-2020 tillsynsbegäran mail.docx", "A 8665-2020")</f>
        <v/>
      </c>
    </row>
    <row r="180" ht="15" customHeight="1">
      <c r="A180" t="inlineStr">
        <is>
          <t>A 11722-2020</t>
        </is>
      </c>
      <c r="B180" s="1" t="n">
        <v>43892</v>
      </c>
      <c r="C180" s="1" t="n">
        <v>45585</v>
      </c>
      <c r="D180" t="inlineStr">
        <is>
          <t>SKÅNE LÄN</t>
        </is>
      </c>
      <c r="E180" t="inlineStr">
        <is>
          <t>TOMELILLA</t>
        </is>
      </c>
      <c r="G180" t="n">
        <v>2.6</v>
      </c>
      <c r="H180" t="n">
        <v>0</v>
      </c>
      <c r="I180" t="n">
        <v>0</v>
      </c>
      <c r="J180" t="n">
        <v>1</v>
      </c>
      <c r="K180" t="n">
        <v>0</v>
      </c>
      <c r="L180" t="n">
        <v>0</v>
      </c>
      <c r="M180" t="n">
        <v>0</v>
      </c>
      <c r="N180" t="n">
        <v>0</v>
      </c>
      <c r="O180" t="n">
        <v>1</v>
      </c>
      <c r="P180" t="n">
        <v>0</v>
      </c>
      <c r="Q180" t="n">
        <v>1</v>
      </c>
      <c r="R180" s="2" t="inlineStr">
        <is>
          <t>Sprengelsbjörnbär</t>
        </is>
      </c>
      <c r="S180">
        <f>HYPERLINK("https://klasma.github.io/Logging_1270/artfynd/A 11722-2020 artfynd.xlsx", "A 11722-2020")</f>
        <v/>
      </c>
      <c r="T180">
        <f>HYPERLINK("https://klasma.github.io/Logging_1270/kartor/A 11722-2020 karta.png", "A 11722-2020")</f>
        <v/>
      </c>
      <c r="V180">
        <f>HYPERLINK("https://klasma.github.io/Logging_1270/klagomål/A 11722-2020 FSC-klagomål.docx", "A 11722-2020")</f>
        <v/>
      </c>
      <c r="W180">
        <f>HYPERLINK("https://klasma.github.io/Logging_1270/klagomålsmail/A 11722-2020 FSC-klagomål mail.docx", "A 11722-2020")</f>
        <v/>
      </c>
      <c r="X180">
        <f>HYPERLINK("https://klasma.github.io/Logging_1270/tillsyn/A 11722-2020 tillsynsbegäran.docx", "A 11722-2020")</f>
        <v/>
      </c>
      <c r="Y180">
        <f>HYPERLINK("https://klasma.github.io/Logging_1270/tillsynsmail/A 11722-2020 tillsynsbegäran mail.docx", "A 11722-2020")</f>
        <v/>
      </c>
    </row>
    <row r="181" ht="15" customHeight="1">
      <c r="A181" t="inlineStr">
        <is>
          <t>A 15777-2020</t>
        </is>
      </c>
      <c r="B181" s="1" t="n">
        <v>43915</v>
      </c>
      <c r="C181" s="1" t="n">
        <v>45585</v>
      </c>
      <c r="D181" t="inlineStr">
        <is>
          <t>SKÅNE LÄN</t>
        </is>
      </c>
      <c r="E181" t="inlineStr">
        <is>
          <t>OSBY</t>
        </is>
      </c>
      <c r="G181" t="n">
        <v>4</v>
      </c>
      <c r="H181" t="n">
        <v>0</v>
      </c>
      <c r="I181" t="n">
        <v>0</v>
      </c>
      <c r="J181" t="n">
        <v>1</v>
      </c>
      <c r="K181" t="n">
        <v>0</v>
      </c>
      <c r="L181" t="n">
        <v>0</v>
      </c>
      <c r="M181" t="n">
        <v>0</v>
      </c>
      <c r="N181" t="n">
        <v>0</v>
      </c>
      <c r="O181" t="n">
        <v>1</v>
      </c>
      <c r="P181" t="n">
        <v>0</v>
      </c>
      <c r="Q181" t="n">
        <v>1</v>
      </c>
      <c r="R181" s="2" t="inlineStr">
        <is>
          <t>Borsttåg</t>
        </is>
      </c>
      <c r="S181">
        <f>HYPERLINK("https://klasma.github.io/Logging_1273/artfynd/A 15777-2020 artfynd.xlsx", "A 15777-2020")</f>
        <v/>
      </c>
      <c r="T181">
        <f>HYPERLINK("https://klasma.github.io/Logging_1273/kartor/A 15777-2020 karta.png", "A 15777-2020")</f>
        <v/>
      </c>
      <c r="V181">
        <f>HYPERLINK("https://klasma.github.io/Logging_1273/klagomål/A 15777-2020 FSC-klagomål.docx", "A 15777-2020")</f>
        <v/>
      </c>
      <c r="W181">
        <f>HYPERLINK("https://klasma.github.io/Logging_1273/klagomålsmail/A 15777-2020 FSC-klagomål mail.docx", "A 15777-2020")</f>
        <v/>
      </c>
      <c r="X181">
        <f>HYPERLINK("https://klasma.github.io/Logging_1273/tillsyn/A 15777-2020 tillsynsbegäran.docx", "A 15777-2020")</f>
        <v/>
      </c>
      <c r="Y181">
        <f>HYPERLINK("https://klasma.github.io/Logging_1273/tillsynsmail/A 15777-2020 tillsynsbegäran mail.docx", "A 15777-2020")</f>
        <v/>
      </c>
    </row>
    <row r="182" ht="15" customHeight="1">
      <c r="A182" t="inlineStr">
        <is>
          <t>A 17496-2020</t>
        </is>
      </c>
      <c r="B182" s="1" t="n">
        <v>43923</v>
      </c>
      <c r="C182" s="1" t="n">
        <v>45585</v>
      </c>
      <c r="D182" t="inlineStr">
        <is>
          <t>SKÅNE LÄN</t>
        </is>
      </c>
      <c r="E182" t="inlineStr">
        <is>
          <t>TOMELILLA</t>
        </is>
      </c>
      <c r="F182" t="inlineStr">
        <is>
          <t>Övriga Aktiebolag</t>
        </is>
      </c>
      <c r="G182" t="n">
        <v>1.9</v>
      </c>
      <c r="H182" t="n">
        <v>1</v>
      </c>
      <c r="I182" t="n">
        <v>0</v>
      </c>
      <c r="J182" t="n">
        <v>0</v>
      </c>
      <c r="K182" t="n">
        <v>0</v>
      </c>
      <c r="L182" t="n">
        <v>0</v>
      </c>
      <c r="M182" t="n">
        <v>0</v>
      </c>
      <c r="N182" t="n">
        <v>0</v>
      </c>
      <c r="O182" t="n">
        <v>0</v>
      </c>
      <c r="P182" t="n">
        <v>0</v>
      </c>
      <c r="Q182" t="n">
        <v>1</v>
      </c>
      <c r="R182" s="2" t="inlineStr">
        <is>
          <t>Hasselmus</t>
        </is>
      </c>
      <c r="S182">
        <f>HYPERLINK("https://klasma.github.io/Logging_1270/artfynd/A 17496-2020 artfynd.xlsx", "A 17496-2020")</f>
        <v/>
      </c>
      <c r="T182">
        <f>HYPERLINK("https://klasma.github.io/Logging_1270/kartor/A 17496-2020 karta.png", "A 17496-2020")</f>
        <v/>
      </c>
      <c r="V182">
        <f>HYPERLINK("https://klasma.github.io/Logging_1270/klagomål/A 17496-2020 FSC-klagomål.docx", "A 17496-2020")</f>
        <v/>
      </c>
      <c r="W182">
        <f>HYPERLINK("https://klasma.github.io/Logging_1270/klagomålsmail/A 17496-2020 FSC-klagomål mail.docx", "A 17496-2020")</f>
        <v/>
      </c>
      <c r="X182">
        <f>HYPERLINK("https://klasma.github.io/Logging_1270/tillsyn/A 17496-2020 tillsynsbegäran.docx", "A 17496-2020")</f>
        <v/>
      </c>
      <c r="Y182">
        <f>HYPERLINK("https://klasma.github.io/Logging_1270/tillsynsmail/A 17496-2020 tillsynsbegäran mail.docx", "A 17496-2020")</f>
        <v/>
      </c>
    </row>
    <row r="183" ht="15" customHeight="1">
      <c r="A183" t="inlineStr">
        <is>
          <t>A 20474-2020</t>
        </is>
      </c>
      <c r="B183" s="1" t="n">
        <v>43948</v>
      </c>
      <c r="C183" s="1" t="n">
        <v>45585</v>
      </c>
      <c r="D183" t="inlineStr">
        <is>
          <t>SKÅNE LÄN</t>
        </is>
      </c>
      <c r="E183" t="inlineStr">
        <is>
          <t>OSBY</t>
        </is>
      </c>
      <c r="G183" t="n">
        <v>0.8</v>
      </c>
      <c r="H183" t="n">
        <v>0</v>
      </c>
      <c r="I183" t="n">
        <v>0</v>
      </c>
      <c r="J183" t="n">
        <v>0</v>
      </c>
      <c r="K183" t="n">
        <v>0</v>
      </c>
      <c r="L183" t="n">
        <v>1</v>
      </c>
      <c r="M183" t="n">
        <v>0</v>
      </c>
      <c r="N183" t="n">
        <v>0</v>
      </c>
      <c r="O183" t="n">
        <v>1</v>
      </c>
      <c r="P183" t="n">
        <v>1</v>
      </c>
      <c r="Q183" t="n">
        <v>1</v>
      </c>
      <c r="R183" s="2" t="inlineStr">
        <is>
          <t>Bårdfibbla</t>
        </is>
      </c>
      <c r="S183">
        <f>HYPERLINK("https://klasma.github.io/Logging_1273/artfynd/A 20474-2020 artfynd.xlsx", "A 20474-2020")</f>
        <v/>
      </c>
      <c r="T183">
        <f>HYPERLINK("https://klasma.github.io/Logging_1273/kartor/A 20474-2020 karta.png", "A 20474-2020")</f>
        <v/>
      </c>
      <c r="V183">
        <f>HYPERLINK("https://klasma.github.io/Logging_1273/klagomål/A 20474-2020 FSC-klagomål.docx", "A 20474-2020")</f>
        <v/>
      </c>
      <c r="W183">
        <f>HYPERLINK("https://klasma.github.io/Logging_1273/klagomålsmail/A 20474-2020 FSC-klagomål mail.docx", "A 20474-2020")</f>
        <v/>
      </c>
      <c r="X183">
        <f>HYPERLINK("https://klasma.github.io/Logging_1273/tillsyn/A 20474-2020 tillsynsbegäran.docx", "A 20474-2020")</f>
        <v/>
      </c>
      <c r="Y183">
        <f>HYPERLINK("https://klasma.github.io/Logging_1273/tillsynsmail/A 20474-2020 tillsynsbegäran mail.docx", "A 20474-2020")</f>
        <v/>
      </c>
    </row>
    <row r="184" ht="15" customHeight="1">
      <c r="A184" t="inlineStr">
        <is>
          <t>A 23029-2020</t>
        </is>
      </c>
      <c r="B184" s="1" t="n">
        <v>43965</v>
      </c>
      <c r="C184" s="1" t="n">
        <v>45585</v>
      </c>
      <c r="D184" t="inlineStr">
        <is>
          <t>SKÅNE LÄN</t>
        </is>
      </c>
      <c r="E184" t="inlineStr">
        <is>
          <t>SJÖBO</t>
        </is>
      </c>
      <c r="G184" t="n">
        <v>9.300000000000001</v>
      </c>
      <c r="H184" t="n">
        <v>1</v>
      </c>
      <c r="I184" t="n">
        <v>0</v>
      </c>
      <c r="J184" t="n">
        <v>0</v>
      </c>
      <c r="K184" t="n">
        <v>0</v>
      </c>
      <c r="L184" t="n">
        <v>1</v>
      </c>
      <c r="M184" t="n">
        <v>0</v>
      </c>
      <c r="N184" t="n">
        <v>0</v>
      </c>
      <c r="O184" t="n">
        <v>1</v>
      </c>
      <c r="P184" t="n">
        <v>1</v>
      </c>
      <c r="Q184" t="n">
        <v>1</v>
      </c>
      <c r="R184" s="2" t="inlineStr">
        <is>
          <t>Dvärgjohannesört</t>
        </is>
      </c>
      <c r="S184">
        <f>HYPERLINK("https://klasma.github.io/Logging_1265/artfynd/A 23029-2020 artfynd.xlsx", "A 23029-2020")</f>
        <v/>
      </c>
      <c r="T184">
        <f>HYPERLINK("https://klasma.github.io/Logging_1265/kartor/A 23029-2020 karta.png", "A 23029-2020")</f>
        <v/>
      </c>
      <c r="V184">
        <f>HYPERLINK("https://klasma.github.io/Logging_1265/klagomål/A 23029-2020 FSC-klagomål.docx", "A 23029-2020")</f>
        <v/>
      </c>
      <c r="W184">
        <f>HYPERLINK("https://klasma.github.io/Logging_1265/klagomålsmail/A 23029-2020 FSC-klagomål mail.docx", "A 23029-2020")</f>
        <v/>
      </c>
      <c r="X184">
        <f>HYPERLINK("https://klasma.github.io/Logging_1265/tillsyn/A 23029-2020 tillsynsbegäran.docx", "A 23029-2020")</f>
        <v/>
      </c>
      <c r="Y184">
        <f>HYPERLINK("https://klasma.github.io/Logging_1265/tillsynsmail/A 23029-2020 tillsynsbegäran mail.docx", "A 23029-2020")</f>
        <v/>
      </c>
    </row>
    <row r="185" ht="15" customHeight="1">
      <c r="A185" t="inlineStr">
        <is>
          <t>A 24297-2020</t>
        </is>
      </c>
      <c r="B185" s="1" t="n">
        <v>43976</v>
      </c>
      <c r="C185" s="1" t="n">
        <v>45585</v>
      </c>
      <c r="D185" t="inlineStr">
        <is>
          <t>SKÅNE LÄN</t>
        </is>
      </c>
      <c r="E185" t="inlineStr">
        <is>
          <t>OSBY</t>
        </is>
      </c>
      <c r="F185" t="inlineStr">
        <is>
          <t>Kyrkan</t>
        </is>
      </c>
      <c r="G185" t="n">
        <v>8.4</v>
      </c>
      <c r="H185" t="n">
        <v>1</v>
      </c>
      <c r="I185" t="n">
        <v>0</v>
      </c>
      <c r="J185" t="n">
        <v>0</v>
      </c>
      <c r="K185" t="n">
        <v>0</v>
      </c>
      <c r="L185" t="n">
        <v>0</v>
      </c>
      <c r="M185" t="n">
        <v>0</v>
      </c>
      <c r="N185" t="n">
        <v>0</v>
      </c>
      <c r="O185" t="n">
        <v>0</v>
      </c>
      <c r="P185" t="n">
        <v>0</v>
      </c>
      <c r="Q185" t="n">
        <v>1</v>
      </c>
      <c r="R185" s="2" t="inlineStr">
        <is>
          <t>Lopplummer</t>
        </is>
      </c>
      <c r="S185">
        <f>HYPERLINK("https://klasma.github.io/Logging_1273/artfynd/A 24297-2020 artfynd.xlsx", "A 24297-2020")</f>
        <v/>
      </c>
      <c r="T185">
        <f>HYPERLINK("https://klasma.github.io/Logging_1273/kartor/A 24297-2020 karta.png", "A 24297-2020")</f>
        <v/>
      </c>
      <c r="V185">
        <f>HYPERLINK("https://klasma.github.io/Logging_1273/klagomål/A 24297-2020 FSC-klagomål.docx", "A 24297-2020")</f>
        <v/>
      </c>
      <c r="W185">
        <f>HYPERLINK("https://klasma.github.io/Logging_1273/klagomålsmail/A 24297-2020 FSC-klagomål mail.docx", "A 24297-2020")</f>
        <v/>
      </c>
      <c r="X185">
        <f>HYPERLINK("https://klasma.github.io/Logging_1273/tillsyn/A 24297-2020 tillsynsbegäran.docx", "A 24297-2020")</f>
        <v/>
      </c>
      <c r="Y185">
        <f>HYPERLINK("https://klasma.github.io/Logging_1273/tillsynsmail/A 24297-2020 tillsynsbegäran mail.docx", "A 24297-2020")</f>
        <v/>
      </c>
    </row>
    <row r="186" ht="15" customHeight="1">
      <c r="A186" t="inlineStr">
        <is>
          <t>A 29376-2020</t>
        </is>
      </c>
      <c r="B186" s="1" t="n">
        <v>44000</v>
      </c>
      <c r="C186" s="1" t="n">
        <v>45585</v>
      </c>
      <c r="D186" t="inlineStr">
        <is>
          <t>SKÅNE LÄN</t>
        </is>
      </c>
      <c r="E186" t="inlineStr">
        <is>
          <t>YSTAD</t>
        </is>
      </c>
      <c r="G186" t="n">
        <v>1.5</v>
      </c>
      <c r="H186" t="n">
        <v>0</v>
      </c>
      <c r="I186" t="n">
        <v>0</v>
      </c>
      <c r="J186" t="n">
        <v>1</v>
      </c>
      <c r="K186" t="n">
        <v>0</v>
      </c>
      <c r="L186" t="n">
        <v>0</v>
      </c>
      <c r="M186" t="n">
        <v>0</v>
      </c>
      <c r="N186" t="n">
        <v>0</v>
      </c>
      <c r="O186" t="n">
        <v>1</v>
      </c>
      <c r="P186" t="n">
        <v>0</v>
      </c>
      <c r="Q186" t="n">
        <v>1</v>
      </c>
      <c r="R186" s="2" t="inlineStr">
        <is>
          <t>Igelkott</t>
        </is>
      </c>
      <c r="S186">
        <f>HYPERLINK("https://klasma.github.io/Logging_1286/artfynd/A 29376-2020 artfynd.xlsx", "A 29376-2020")</f>
        <v/>
      </c>
      <c r="T186">
        <f>HYPERLINK("https://klasma.github.io/Logging_1286/kartor/A 29376-2020 karta.png", "A 29376-2020")</f>
        <v/>
      </c>
      <c r="V186">
        <f>HYPERLINK("https://klasma.github.io/Logging_1286/klagomål/A 29376-2020 FSC-klagomål.docx", "A 29376-2020")</f>
        <v/>
      </c>
      <c r="W186">
        <f>HYPERLINK("https://klasma.github.io/Logging_1286/klagomålsmail/A 29376-2020 FSC-klagomål mail.docx", "A 29376-2020")</f>
        <v/>
      </c>
      <c r="X186">
        <f>HYPERLINK("https://klasma.github.io/Logging_1286/tillsyn/A 29376-2020 tillsynsbegäran.docx", "A 29376-2020")</f>
        <v/>
      </c>
      <c r="Y186">
        <f>HYPERLINK("https://klasma.github.io/Logging_1286/tillsynsmail/A 29376-2020 tillsynsbegäran mail.docx", "A 29376-2020")</f>
        <v/>
      </c>
    </row>
    <row r="187" ht="15" customHeight="1">
      <c r="A187" t="inlineStr">
        <is>
          <t>A 30687-2020</t>
        </is>
      </c>
      <c r="B187" s="1" t="n">
        <v>44008</v>
      </c>
      <c r="C187" s="1" t="n">
        <v>45585</v>
      </c>
      <c r="D187" t="inlineStr">
        <is>
          <t>SKÅNE LÄN</t>
        </is>
      </c>
      <c r="E187" t="inlineStr">
        <is>
          <t>KRISTIANSTAD</t>
        </is>
      </c>
      <c r="F187" t="inlineStr">
        <is>
          <t>Kommuner</t>
        </is>
      </c>
      <c r="G187" t="n">
        <v>0.8</v>
      </c>
      <c r="H187" t="n">
        <v>0</v>
      </c>
      <c r="I187" t="n">
        <v>0</v>
      </c>
      <c r="J187" t="n">
        <v>1</v>
      </c>
      <c r="K187" t="n">
        <v>0</v>
      </c>
      <c r="L187" t="n">
        <v>0</v>
      </c>
      <c r="M187" t="n">
        <v>0</v>
      </c>
      <c r="N187" t="n">
        <v>0</v>
      </c>
      <c r="O187" t="n">
        <v>1</v>
      </c>
      <c r="P187" t="n">
        <v>0</v>
      </c>
      <c r="Q187" t="n">
        <v>1</v>
      </c>
      <c r="R187" s="2" t="inlineStr">
        <is>
          <t>Stortapetserarbi</t>
        </is>
      </c>
      <c r="S187">
        <f>HYPERLINK("https://klasma.github.io/Logging_1290/artfynd/A 30687-2020 artfynd.xlsx", "A 30687-2020")</f>
        <v/>
      </c>
      <c r="T187">
        <f>HYPERLINK("https://klasma.github.io/Logging_1290/kartor/A 30687-2020 karta.png", "A 30687-2020")</f>
        <v/>
      </c>
      <c r="V187">
        <f>HYPERLINK("https://klasma.github.io/Logging_1290/klagomål/A 30687-2020 FSC-klagomål.docx", "A 30687-2020")</f>
        <v/>
      </c>
      <c r="W187">
        <f>HYPERLINK("https://klasma.github.io/Logging_1290/klagomålsmail/A 30687-2020 FSC-klagomål mail.docx", "A 30687-2020")</f>
        <v/>
      </c>
      <c r="X187">
        <f>HYPERLINK("https://klasma.github.io/Logging_1290/tillsyn/A 30687-2020 tillsynsbegäran.docx", "A 30687-2020")</f>
        <v/>
      </c>
      <c r="Y187">
        <f>HYPERLINK("https://klasma.github.io/Logging_1290/tillsynsmail/A 30687-2020 tillsynsbegäran mail.docx", "A 30687-2020")</f>
        <v/>
      </c>
    </row>
    <row r="188" ht="15" customHeight="1">
      <c r="A188" t="inlineStr">
        <is>
          <t>A 30733-2020</t>
        </is>
      </c>
      <c r="B188" s="1" t="n">
        <v>44008</v>
      </c>
      <c r="C188" s="1" t="n">
        <v>45585</v>
      </c>
      <c r="D188" t="inlineStr">
        <is>
          <t>SKÅNE LÄN</t>
        </is>
      </c>
      <c r="E188" t="inlineStr">
        <is>
          <t>SVEDALA</t>
        </is>
      </c>
      <c r="G188" t="n">
        <v>1.4</v>
      </c>
      <c r="H188" t="n">
        <v>0</v>
      </c>
      <c r="I188" t="n">
        <v>0</v>
      </c>
      <c r="J188" t="n">
        <v>0</v>
      </c>
      <c r="K188" t="n">
        <v>1</v>
      </c>
      <c r="L188" t="n">
        <v>0</v>
      </c>
      <c r="M188" t="n">
        <v>0</v>
      </c>
      <c r="N188" t="n">
        <v>0</v>
      </c>
      <c r="O188" t="n">
        <v>1</v>
      </c>
      <c r="P188" t="n">
        <v>1</v>
      </c>
      <c r="Q188" t="n">
        <v>1</v>
      </c>
      <c r="R188" s="2" t="inlineStr">
        <is>
          <t>Större grynsnäcka</t>
        </is>
      </c>
      <c r="S188">
        <f>HYPERLINK("https://klasma.github.io/Logging_1263/artfynd/A 30733-2020 artfynd.xlsx", "A 30733-2020")</f>
        <v/>
      </c>
      <c r="T188">
        <f>HYPERLINK("https://klasma.github.io/Logging_1263/kartor/A 30733-2020 karta.png", "A 30733-2020")</f>
        <v/>
      </c>
      <c r="V188">
        <f>HYPERLINK("https://klasma.github.io/Logging_1263/klagomål/A 30733-2020 FSC-klagomål.docx", "A 30733-2020")</f>
        <v/>
      </c>
      <c r="W188">
        <f>HYPERLINK("https://klasma.github.io/Logging_1263/klagomålsmail/A 30733-2020 FSC-klagomål mail.docx", "A 30733-2020")</f>
        <v/>
      </c>
      <c r="X188">
        <f>HYPERLINK("https://klasma.github.io/Logging_1263/tillsyn/A 30733-2020 tillsynsbegäran.docx", "A 30733-2020")</f>
        <v/>
      </c>
      <c r="Y188">
        <f>HYPERLINK("https://klasma.github.io/Logging_1263/tillsynsmail/A 30733-2020 tillsynsbegäran mail.docx", "A 30733-2020")</f>
        <v/>
      </c>
    </row>
    <row r="189" ht="15" customHeight="1">
      <c r="A189" t="inlineStr">
        <is>
          <t>A 34756-2020</t>
        </is>
      </c>
      <c r="B189" s="1" t="n">
        <v>44035</v>
      </c>
      <c r="C189" s="1" t="n">
        <v>45585</v>
      </c>
      <c r="D189" t="inlineStr">
        <is>
          <t>SKÅNE LÄN</t>
        </is>
      </c>
      <c r="E189" t="inlineStr">
        <is>
          <t>SIMRISHAMN</t>
        </is>
      </c>
      <c r="G189" t="n">
        <v>4.3</v>
      </c>
      <c r="H189" t="n">
        <v>0</v>
      </c>
      <c r="I189" t="n">
        <v>0</v>
      </c>
      <c r="J189" t="n">
        <v>0</v>
      </c>
      <c r="K189" t="n">
        <v>0</v>
      </c>
      <c r="L189" t="n">
        <v>1</v>
      </c>
      <c r="M189" t="n">
        <v>0</v>
      </c>
      <c r="N189" t="n">
        <v>0</v>
      </c>
      <c r="O189" t="n">
        <v>1</v>
      </c>
      <c r="P189" t="n">
        <v>1</v>
      </c>
      <c r="Q189" t="n">
        <v>1</v>
      </c>
      <c r="R189" s="2" t="inlineStr">
        <is>
          <t>Ask</t>
        </is>
      </c>
      <c r="S189">
        <f>HYPERLINK("https://klasma.github.io/Logging_1291/artfynd/A 34756-2020 artfynd.xlsx", "A 34756-2020")</f>
        <v/>
      </c>
      <c r="T189">
        <f>HYPERLINK("https://klasma.github.io/Logging_1291/kartor/A 34756-2020 karta.png", "A 34756-2020")</f>
        <v/>
      </c>
      <c r="V189">
        <f>HYPERLINK("https://klasma.github.io/Logging_1291/klagomål/A 34756-2020 FSC-klagomål.docx", "A 34756-2020")</f>
        <v/>
      </c>
      <c r="W189">
        <f>HYPERLINK("https://klasma.github.io/Logging_1291/klagomålsmail/A 34756-2020 FSC-klagomål mail.docx", "A 34756-2020")</f>
        <v/>
      </c>
      <c r="X189">
        <f>HYPERLINK("https://klasma.github.io/Logging_1291/tillsyn/A 34756-2020 tillsynsbegäran.docx", "A 34756-2020")</f>
        <v/>
      </c>
      <c r="Y189">
        <f>HYPERLINK("https://klasma.github.io/Logging_1291/tillsynsmail/A 34756-2020 tillsynsbegäran mail.docx", "A 34756-2020")</f>
        <v/>
      </c>
    </row>
    <row r="190" ht="15" customHeight="1">
      <c r="A190" t="inlineStr">
        <is>
          <t>A 42615-2020</t>
        </is>
      </c>
      <c r="B190" s="1" t="n">
        <v>44076</v>
      </c>
      <c r="C190" s="1" t="n">
        <v>45585</v>
      </c>
      <c r="D190" t="inlineStr">
        <is>
          <t>SKÅNE LÄN</t>
        </is>
      </c>
      <c r="E190" t="inlineStr">
        <is>
          <t>KRISTIANSTAD</t>
        </is>
      </c>
      <c r="G190" t="n">
        <v>7.5</v>
      </c>
      <c r="H190" t="n">
        <v>0</v>
      </c>
      <c r="I190" t="n">
        <v>0</v>
      </c>
      <c r="J190" t="n">
        <v>1</v>
      </c>
      <c r="K190" t="n">
        <v>0</v>
      </c>
      <c r="L190" t="n">
        <v>0</v>
      </c>
      <c r="M190" t="n">
        <v>0</v>
      </c>
      <c r="N190" t="n">
        <v>0</v>
      </c>
      <c r="O190" t="n">
        <v>1</v>
      </c>
      <c r="P190" t="n">
        <v>0</v>
      </c>
      <c r="Q190" t="n">
        <v>1</v>
      </c>
      <c r="R190" s="2" t="inlineStr">
        <is>
          <t>Lamellsnäcka</t>
        </is>
      </c>
      <c r="S190">
        <f>HYPERLINK("https://klasma.github.io/Logging_1290/artfynd/A 42615-2020 artfynd.xlsx", "A 42615-2020")</f>
        <v/>
      </c>
      <c r="T190">
        <f>HYPERLINK("https://klasma.github.io/Logging_1290/kartor/A 42615-2020 karta.png", "A 42615-2020")</f>
        <v/>
      </c>
      <c r="V190">
        <f>HYPERLINK("https://klasma.github.io/Logging_1290/klagomål/A 42615-2020 FSC-klagomål.docx", "A 42615-2020")</f>
        <v/>
      </c>
      <c r="W190">
        <f>HYPERLINK("https://klasma.github.io/Logging_1290/klagomålsmail/A 42615-2020 FSC-klagomål mail.docx", "A 42615-2020")</f>
        <v/>
      </c>
      <c r="X190">
        <f>HYPERLINK("https://klasma.github.io/Logging_1290/tillsyn/A 42615-2020 tillsynsbegäran.docx", "A 42615-2020")</f>
        <v/>
      </c>
      <c r="Y190">
        <f>HYPERLINK("https://klasma.github.io/Logging_1290/tillsynsmail/A 42615-2020 tillsynsbegäran mail.docx", "A 42615-2020")</f>
        <v/>
      </c>
    </row>
    <row r="191" ht="15" customHeight="1">
      <c r="A191" t="inlineStr">
        <is>
          <t>A 44112-2020</t>
        </is>
      </c>
      <c r="B191" s="1" t="n">
        <v>44082</v>
      </c>
      <c r="C191" s="1" t="n">
        <v>45585</v>
      </c>
      <c r="D191" t="inlineStr">
        <is>
          <t>SKÅNE LÄN</t>
        </is>
      </c>
      <c r="E191" t="inlineStr">
        <is>
          <t>OSBY</t>
        </is>
      </c>
      <c r="G191" t="n">
        <v>1.1</v>
      </c>
      <c r="H191" t="n">
        <v>1</v>
      </c>
      <c r="I191" t="n">
        <v>0</v>
      </c>
      <c r="J191" t="n">
        <v>1</v>
      </c>
      <c r="K191" t="n">
        <v>0</v>
      </c>
      <c r="L191" t="n">
        <v>0</v>
      </c>
      <c r="M191" t="n">
        <v>0</v>
      </c>
      <c r="N191" t="n">
        <v>0</v>
      </c>
      <c r="O191" t="n">
        <v>1</v>
      </c>
      <c r="P191" t="n">
        <v>0</v>
      </c>
      <c r="Q191" t="n">
        <v>1</v>
      </c>
      <c r="R191" s="2" t="inlineStr">
        <is>
          <t>Gulsparv</t>
        </is>
      </c>
      <c r="S191">
        <f>HYPERLINK("https://klasma.github.io/Logging_1273/artfynd/A 44112-2020 artfynd.xlsx", "A 44112-2020")</f>
        <v/>
      </c>
      <c r="T191">
        <f>HYPERLINK("https://klasma.github.io/Logging_1273/kartor/A 44112-2020 karta.png", "A 44112-2020")</f>
        <v/>
      </c>
      <c r="V191">
        <f>HYPERLINK("https://klasma.github.io/Logging_1273/klagomål/A 44112-2020 FSC-klagomål.docx", "A 44112-2020")</f>
        <v/>
      </c>
      <c r="W191">
        <f>HYPERLINK("https://klasma.github.io/Logging_1273/klagomålsmail/A 44112-2020 FSC-klagomål mail.docx", "A 44112-2020")</f>
        <v/>
      </c>
      <c r="X191">
        <f>HYPERLINK("https://klasma.github.io/Logging_1273/tillsyn/A 44112-2020 tillsynsbegäran.docx", "A 44112-2020")</f>
        <v/>
      </c>
      <c r="Y191">
        <f>HYPERLINK("https://klasma.github.io/Logging_1273/tillsynsmail/A 44112-2020 tillsynsbegäran mail.docx", "A 44112-2020")</f>
        <v/>
      </c>
      <c r="Z191">
        <f>HYPERLINK("https://klasma.github.io/Logging_1273/fåglar/A 44112-2020 prioriterade fågelarter.docx", "A 44112-2020")</f>
        <v/>
      </c>
    </row>
    <row r="192" ht="15" customHeight="1">
      <c r="A192" t="inlineStr">
        <is>
          <t>A 62434-2020</t>
        </is>
      </c>
      <c r="B192" s="1" t="n">
        <v>44159</v>
      </c>
      <c r="C192" s="1" t="n">
        <v>45585</v>
      </c>
      <c r="D192" t="inlineStr">
        <is>
          <t>SKÅNE LÄN</t>
        </is>
      </c>
      <c r="E192" t="inlineStr">
        <is>
          <t>HÄSSLEHOLM</t>
        </is>
      </c>
      <c r="G192" t="n">
        <v>2</v>
      </c>
      <c r="H192" t="n">
        <v>0</v>
      </c>
      <c r="I192" t="n">
        <v>0</v>
      </c>
      <c r="J192" t="n">
        <v>1</v>
      </c>
      <c r="K192" t="n">
        <v>0</v>
      </c>
      <c r="L192" t="n">
        <v>0</v>
      </c>
      <c r="M192" t="n">
        <v>0</v>
      </c>
      <c r="N192" t="n">
        <v>0</v>
      </c>
      <c r="O192" t="n">
        <v>1</v>
      </c>
      <c r="P192" t="n">
        <v>0</v>
      </c>
      <c r="Q192" t="n">
        <v>1</v>
      </c>
      <c r="R192" s="2" t="inlineStr">
        <is>
          <t>Borsttåg</t>
        </is>
      </c>
      <c r="S192">
        <f>HYPERLINK("https://klasma.github.io/Logging_1293/artfynd/A 62434-2020 artfynd.xlsx", "A 62434-2020")</f>
        <v/>
      </c>
      <c r="T192">
        <f>HYPERLINK("https://klasma.github.io/Logging_1293/kartor/A 62434-2020 karta.png", "A 62434-2020")</f>
        <v/>
      </c>
      <c r="V192">
        <f>HYPERLINK("https://klasma.github.io/Logging_1293/klagomål/A 62434-2020 FSC-klagomål.docx", "A 62434-2020")</f>
        <v/>
      </c>
      <c r="W192">
        <f>HYPERLINK("https://klasma.github.io/Logging_1293/klagomålsmail/A 62434-2020 FSC-klagomål mail.docx", "A 62434-2020")</f>
        <v/>
      </c>
      <c r="X192">
        <f>HYPERLINK("https://klasma.github.io/Logging_1293/tillsyn/A 62434-2020 tillsynsbegäran.docx", "A 62434-2020")</f>
        <v/>
      </c>
      <c r="Y192">
        <f>HYPERLINK("https://klasma.github.io/Logging_1293/tillsynsmail/A 62434-2020 tillsynsbegäran mail.docx", "A 62434-2020")</f>
        <v/>
      </c>
    </row>
    <row r="193" ht="15" customHeight="1">
      <c r="A193" t="inlineStr">
        <is>
          <t>A 63915-2020</t>
        </is>
      </c>
      <c r="B193" s="1" t="n">
        <v>44166</v>
      </c>
      <c r="C193" s="1" t="n">
        <v>45585</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63915-2020 artfynd.xlsx", "A 63915-2020")</f>
        <v/>
      </c>
      <c r="T193">
        <f>HYPERLINK("https://klasma.github.io/Logging_1273/kartor/A 63915-2020 karta.png", "A 63915-2020")</f>
        <v/>
      </c>
      <c r="V193">
        <f>HYPERLINK("https://klasma.github.io/Logging_1273/klagomål/A 63915-2020 FSC-klagomål.docx", "A 63915-2020")</f>
        <v/>
      </c>
      <c r="W193">
        <f>HYPERLINK("https://klasma.github.io/Logging_1273/klagomålsmail/A 63915-2020 FSC-klagomål mail.docx", "A 63915-2020")</f>
        <v/>
      </c>
      <c r="X193">
        <f>HYPERLINK("https://klasma.github.io/Logging_1273/tillsyn/A 63915-2020 tillsynsbegäran.docx", "A 63915-2020")</f>
        <v/>
      </c>
      <c r="Y193">
        <f>HYPERLINK("https://klasma.github.io/Logging_1273/tillsynsmail/A 63915-2020 tillsynsbegäran mail.docx", "A 63915-2020")</f>
        <v/>
      </c>
    </row>
    <row r="194" ht="15" customHeight="1">
      <c r="A194" t="inlineStr">
        <is>
          <t>A 63914-2020</t>
        </is>
      </c>
      <c r="B194" s="1" t="n">
        <v>44166</v>
      </c>
      <c r="C194" s="1" t="n">
        <v>45585</v>
      </c>
      <c r="D194" t="inlineStr">
        <is>
          <t>SKÅNE LÄN</t>
        </is>
      </c>
      <c r="E194" t="inlineStr">
        <is>
          <t>OSBY</t>
        </is>
      </c>
      <c r="G194" t="n">
        <v>4.7</v>
      </c>
      <c r="H194" t="n">
        <v>0</v>
      </c>
      <c r="I194" t="n">
        <v>0</v>
      </c>
      <c r="J194" t="n">
        <v>1</v>
      </c>
      <c r="K194" t="n">
        <v>0</v>
      </c>
      <c r="L194" t="n">
        <v>0</v>
      </c>
      <c r="M194" t="n">
        <v>0</v>
      </c>
      <c r="N194" t="n">
        <v>0</v>
      </c>
      <c r="O194" t="n">
        <v>1</v>
      </c>
      <c r="P194" t="n">
        <v>0</v>
      </c>
      <c r="Q194" t="n">
        <v>1</v>
      </c>
      <c r="R194" s="2" t="inlineStr">
        <is>
          <t>Mörk dunört</t>
        </is>
      </c>
      <c r="S194">
        <f>HYPERLINK("https://klasma.github.io/Logging_1273/artfynd/A 63914-2020 artfynd.xlsx", "A 63914-2020")</f>
        <v/>
      </c>
      <c r="T194">
        <f>HYPERLINK("https://klasma.github.io/Logging_1273/kartor/A 63914-2020 karta.png", "A 63914-2020")</f>
        <v/>
      </c>
      <c r="V194">
        <f>HYPERLINK("https://klasma.github.io/Logging_1273/klagomål/A 63914-2020 FSC-klagomål.docx", "A 63914-2020")</f>
        <v/>
      </c>
      <c r="W194">
        <f>HYPERLINK("https://klasma.github.io/Logging_1273/klagomålsmail/A 63914-2020 FSC-klagomål mail.docx", "A 63914-2020")</f>
        <v/>
      </c>
      <c r="X194">
        <f>HYPERLINK("https://klasma.github.io/Logging_1273/tillsyn/A 63914-2020 tillsynsbegäran.docx", "A 63914-2020")</f>
        <v/>
      </c>
      <c r="Y194">
        <f>HYPERLINK("https://klasma.github.io/Logging_1273/tillsynsmail/A 63914-2020 tillsynsbegäran mail.docx", "A 63914-2020")</f>
        <v/>
      </c>
    </row>
    <row r="195" ht="15" customHeight="1">
      <c r="A195" t="inlineStr">
        <is>
          <t>A 64373-2020</t>
        </is>
      </c>
      <c r="B195" s="1" t="n">
        <v>44168</v>
      </c>
      <c r="C195" s="1" t="n">
        <v>45585</v>
      </c>
      <c r="D195" t="inlineStr">
        <is>
          <t>SKÅNE LÄN</t>
        </is>
      </c>
      <c r="E195" t="inlineStr">
        <is>
          <t>SVALÖV</t>
        </is>
      </c>
      <c r="F195" t="inlineStr">
        <is>
          <t>Kyrkan</t>
        </is>
      </c>
      <c r="G195" t="n">
        <v>5.3</v>
      </c>
      <c r="H195" t="n">
        <v>1</v>
      </c>
      <c r="I195" t="n">
        <v>0</v>
      </c>
      <c r="J195" t="n">
        <v>1</v>
      </c>
      <c r="K195" t="n">
        <v>0</v>
      </c>
      <c r="L195" t="n">
        <v>0</v>
      </c>
      <c r="M195" t="n">
        <v>0</v>
      </c>
      <c r="N195" t="n">
        <v>0</v>
      </c>
      <c r="O195" t="n">
        <v>1</v>
      </c>
      <c r="P195" t="n">
        <v>0</v>
      </c>
      <c r="Q195" t="n">
        <v>1</v>
      </c>
      <c r="R195" s="2" t="inlineStr">
        <is>
          <t>Mindre hackspett</t>
        </is>
      </c>
      <c r="S195">
        <f>HYPERLINK("https://klasma.github.io/Logging_1214/artfynd/A 64373-2020 artfynd.xlsx", "A 64373-2020")</f>
        <v/>
      </c>
      <c r="T195">
        <f>HYPERLINK("https://klasma.github.io/Logging_1214/kartor/A 64373-2020 karta.png", "A 64373-2020")</f>
        <v/>
      </c>
      <c r="V195">
        <f>HYPERLINK("https://klasma.github.io/Logging_1214/klagomål/A 64373-2020 FSC-klagomål.docx", "A 64373-2020")</f>
        <v/>
      </c>
      <c r="W195">
        <f>HYPERLINK("https://klasma.github.io/Logging_1214/klagomålsmail/A 64373-2020 FSC-klagomål mail.docx", "A 64373-2020")</f>
        <v/>
      </c>
      <c r="X195">
        <f>HYPERLINK("https://klasma.github.io/Logging_1214/tillsyn/A 64373-2020 tillsynsbegäran.docx", "A 64373-2020")</f>
        <v/>
      </c>
      <c r="Y195">
        <f>HYPERLINK("https://klasma.github.io/Logging_1214/tillsynsmail/A 64373-2020 tillsynsbegäran mail.docx", "A 64373-2020")</f>
        <v/>
      </c>
      <c r="Z195">
        <f>HYPERLINK("https://klasma.github.io/Logging_1214/fåglar/A 64373-2020 prioriterade fågelarter.docx", "A 64373-2020")</f>
        <v/>
      </c>
    </row>
    <row r="196" ht="15" customHeight="1">
      <c r="A196" t="inlineStr">
        <is>
          <t>A 65104-2020</t>
        </is>
      </c>
      <c r="B196" s="1" t="n">
        <v>44172</v>
      </c>
      <c r="C196" s="1" t="n">
        <v>45585</v>
      </c>
      <c r="D196" t="inlineStr">
        <is>
          <t>SKÅNE LÄN</t>
        </is>
      </c>
      <c r="E196" t="inlineStr">
        <is>
          <t>ÄNGELHOLM</t>
        </is>
      </c>
      <c r="G196" t="n">
        <v>0.7</v>
      </c>
      <c r="H196" t="n">
        <v>1</v>
      </c>
      <c r="I196" t="n">
        <v>0</v>
      </c>
      <c r="J196" t="n">
        <v>0</v>
      </c>
      <c r="K196" t="n">
        <v>1</v>
      </c>
      <c r="L196" t="n">
        <v>0</v>
      </c>
      <c r="M196" t="n">
        <v>0</v>
      </c>
      <c r="N196" t="n">
        <v>0</v>
      </c>
      <c r="O196" t="n">
        <v>1</v>
      </c>
      <c r="P196" t="n">
        <v>1</v>
      </c>
      <c r="Q196" t="n">
        <v>1</v>
      </c>
      <c r="R196" s="2" t="inlineStr">
        <is>
          <t>Backsippa</t>
        </is>
      </c>
      <c r="S196">
        <f>HYPERLINK("https://klasma.github.io/Logging_1292/artfynd/A 65104-2020 artfynd.xlsx", "A 65104-2020")</f>
        <v/>
      </c>
      <c r="T196">
        <f>HYPERLINK("https://klasma.github.io/Logging_1292/kartor/A 65104-2020 karta.png", "A 65104-2020")</f>
        <v/>
      </c>
      <c r="V196">
        <f>HYPERLINK("https://klasma.github.io/Logging_1292/klagomål/A 65104-2020 FSC-klagomål.docx", "A 65104-2020")</f>
        <v/>
      </c>
      <c r="W196">
        <f>HYPERLINK("https://klasma.github.io/Logging_1292/klagomålsmail/A 65104-2020 FSC-klagomål mail.docx", "A 65104-2020")</f>
        <v/>
      </c>
      <c r="X196">
        <f>HYPERLINK("https://klasma.github.io/Logging_1292/tillsyn/A 65104-2020 tillsynsbegäran.docx", "A 65104-2020")</f>
        <v/>
      </c>
      <c r="Y196">
        <f>HYPERLINK("https://klasma.github.io/Logging_1292/tillsynsmail/A 65104-2020 tillsynsbegäran mail.docx", "A 65104-2020")</f>
        <v/>
      </c>
    </row>
    <row r="197" ht="15" customHeight="1">
      <c r="A197" t="inlineStr">
        <is>
          <t>A 66175-2020</t>
        </is>
      </c>
      <c r="B197" s="1" t="n">
        <v>44174</v>
      </c>
      <c r="C197" s="1" t="n">
        <v>45585</v>
      </c>
      <c r="D197" t="inlineStr">
        <is>
          <t>SKÅNE LÄN</t>
        </is>
      </c>
      <c r="E197" t="inlineStr">
        <is>
          <t>SJÖBO</t>
        </is>
      </c>
      <c r="G197" t="n">
        <v>4.5</v>
      </c>
      <c r="H197" t="n">
        <v>0</v>
      </c>
      <c r="I197" t="n">
        <v>1</v>
      </c>
      <c r="J197" t="n">
        <v>0</v>
      </c>
      <c r="K197" t="n">
        <v>0</v>
      </c>
      <c r="L197" t="n">
        <v>0</v>
      </c>
      <c r="M197" t="n">
        <v>0</v>
      </c>
      <c r="N197" t="n">
        <v>0</v>
      </c>
      <c r="O197" t="n">
        <v>0</v>
      </c>
      <c r="P197" t="n">
        <v>0</v>
      </c>
      <c r="Q197" t="n">
        <v>1</v>
      </c>
      <c r="R197" s="2" t="inlineStr">
        <is>
          <t>Strävlosta</t>
        </is>
      </c>
      <c r="S197">
        <f>HYPERLINK("https://klasma.github.io/Logging_1265/artfynd/A 66175-2020 artfynd.xlsx", "A 66175-2020")</f>
        <v/>
      </c>
      <c r="T197">
        <f>HYPERLINK("https://klasma.github.io/Logging_1265/kartor/A 66175-2020 karta.png", "A 66175-2020")</f>
        <v/>
      </c>
      <c r="V197">
        <f>HYPERLINK("https://klasma.github.io/Logging_1265/klagomål/A 66175-2020 FSC-klagomål.docx", "A 66175-2020")</f>
        <v/>
      </c>
      <c r="W197">
        <f>HYPERLINK("https://klasma.github.io/Logging_1265/klagomålsmail/A 66175-2020 FSC-klagomål mail.docx", "A 66175-2020")</f>
        <v/>
      </c>
      <c r="X197">
        <f>HYPERLINK("https://klasma.github.io/Logging_1265/tillsyn/A 66175-2020 tillsynsbegäran.docx", "A 66175-2020")</f>
        <v/>
      </c>
      <c r="Y197">
        <f>HYPERLINK("https://klasma.github.io/Logging_1265/tillsynsmail/A 66175-2020 tillsynsbegäran mail.docx", "A 66175-2020")</f>
        <v/>
      </c>
    </row>
    <row r="198" ht="15" customHeight="1">
      <c r="A198" t="inlineStr">
        <is>
          <t>A 15070-2021</t>
        </is>
      </c>
      <c r="B198" s="1" t="n">
        <v>44281</v>
      </c>
      <c r="C198" s="1" t="n">
        <v>45585</v>
      </c>
      <c r="D198" t="inlineStr">
        <is>
          <t>SKÅNE LÄN</t>
        </is>
      </c>
      <c r="E198" t="inlineStr">
        <is>
          <t>HÖÖR</t>
        </is>
      </c>
      <c r="G198" t="n">
        <v>1.5</v>
      </c>
      <c r="H198" t="n">
        <v>0</v>
      </c>
      <c r="I198" t="n">
        <v>0</v>
      </c>
      <c r="J198" t="n">
        <v>1</v>
      </c>
      <c r="K198" t="n">
        <v>0</v>
      </c>
      <c r="L198" t="n">
        <v>0</v>
      </c>
      <c r="M198" t="n">
        <v>0</v>
      </c>
      <c r="N198" t="n">
        <v>0</v>
      </c>
      <c r="O198" t="n">
        <v>1</v>
      </c>
      <c r="P198" t="n">
        <v>0</v>
      </c>
      <c r="Q198" t="n">
        <v>1</v>
      </c>
      <c r="R198" s="2" t="inlineStr">
        <is>
          <t>Korallticka</t>
        </is>
      </c>
      <c r="S198">
        <f>HYPERLINK("https://klasma.github.io/Logging_1267/artfynd/A 15070-2021 artfynd.xlsx", "A 15070-2021")</f>
        <v/>
      </c>
      <c r="T198">
        <f>HYPERLINK("https://klasma.github.io/Logging_1267/kartor/A 15070-2021 karta.png", "A 15070-2021")</f>
        <v/>
      </c>
      <c r="V198">
        <f>HYPERLINK("https://klasma.github.io/Logging_1267/klagomål/A 15070-2021 FSC-klagomål.docx", "A 15070-2021")</f>
        <v/>
      </c>
      <c r="W198">
        <f>HYPERLINK("https://klasma.github.io/Logging_1267/klagomålsmail/A 15070-2021 FSC-klagomål mail.docx", "A 15070-2021")</f>
        <v/>
      </c>
      <c r="X198">
        <f>HYPERLINK("https://klasma.github.io/Logging_1267/tillsyn/A 15070-2021 tillsynsbegäran.docx", "A 15070-2021")</f>
        <v/>
      </c>
      <c r="Y198">
        <f>HYPERLINK("https://klasma.github.io/Logging_1267/tillsynsmail/A 15070-2021 tillsynsbegäran mail.docx", "A 15070-2021")</f>
        <v/>
      </c>
    </row>
    <row r="199" ht="15" customHeight="1">
      <c r="A199" t="inlineStr">
        <is>
          <t>A 15511-2021</t>
        </is>
      </c>
      <c r="B199" s="1" t="n">
        <v>44285</v>
      </c>
      <c r="C199" s="1" t="n">
        <v>45585</v>
      </c>
      <c r="D199" t="inlineStr">
        <is>
          <t>SKÅNE LÄN</t>
        </is>
      </c>
      <c r="E199" t="inlineStr">
        <is>
          <t>OSBY</t>
        </is>
      </c>
      <c r="G199" t="n">
        <v>1.1</v>
      </c>
      <c r="H199" t="n">
        <v>1</v>
      </c>
      <c r="I199" t="n">
        <v>0</v>
      </c>
      <c r="J199" t="n">
        <v>0</v>
      </c>
      <c r="K199" t="n">
        <v>0</v>
      </c>
      <c r="L199" t="n">
        <v>0</v>
      </c>
      <c r="M199" t="n">
        <v>0</v>
      </c>
      <c r="N199" t="n">
        <v>0</v>
      </c>
      <c r="O199" t="n">
        <v>0</v>
      </c>
      <c r="P199" t="n">
        <v>0</v>
      </c>
      <c r="Q199" t="n">
        <v>1</v>
      </c>
      <c r="R199" s="2" t="inlineStr">
        <is>
          <t>Kungsfågel</t>
        </is>
      </c>
      <c r="S199">
        <f>HYPERLINK("https://klasma.github.io/Logging_1273/artfynd/A 15511-2021 artfynd.xlsx", "A 15511-2021")</f>
        <v/>
      </c>
      <c r="T199">
        <f>HYPERLINK("https://klasma.github.io/Logging_1273/kartor/A 15511-2021 karta.png", "A 15511-2021")</f>
        <v/>
      </c>
      <c r="V199">
        <f>HYPERLINK("https://klasma.github.io/Logging_1273/klagomål/A 15511-2021 FSC-klagomål.docx", "A 15511-2021")</f>
        <v/>
      </c>
      <c r="W199">
        <f>HYPERLINK("https://klasma.github.io/Logging_1273/klagomålsmail/A 15511-2021 FSC-klagomål mail.docx", "A 15511-2021")</f>
        <v/>
      </c>
      <c r="X199">
        <f>HYPERLINK("https://klasma.github.io/Logging_1273/tillsyn/A 15511-2021 tillsynsbegäran.docx", "A 15511-2021")</f>
        <v/>
      </c>
      <c r="Y199">
        <f>HYPERLINK("https://klasma.github.io/Logging_1273/tillsynsmail/A 15511-2021 tillsynsbegäran mail.docx", "A 15511-2021")</f>
        <v/>
      </c>
      <c r="Z199">
        <f>HYPERLINK("https://klasma.github.io/Logging_1273/fåglar/A 15511-2021 prioriterade fågelarter.docx", "A 15511-2021")</f>
        <v/>
      </c>
    </row>
    <row r="200" ht="15" customHeight="1">
      <c r="A200" t="inlineStr">
        <is>
          <t>A 21568-2021</t>
        </is>
      </c>
      <c r="B200" s="1" t="n">
        <v>44314</v>
      </c>
      <c r="C200" s="1" t="n">
        <v>45585</v>
      </c>
      <c r="D200" t="inlineStr">
        <is>
          <t>SKÅNE LÄN</t>
        </is>
      </c>
      <c r="E200" t="inlineStr">
        <is>
          <t>KRISTIANSTAD</t>
        </is>
      </c>
      <c r="G200" t="n">
        <v>18.4</v>
      </c>
      <c r="H200" t="n">
        <v>0</v>
      </c>
      <c r="I200" t="n">
        <v>1</v>
      </c>
      <c r="J200" t="n">
        <v>0</v>
      </c>
      <c r="K200" t="n">
        <v>0</v>
      </c>
      <c r="L200" t="n">
        <v>0</v>
      </c>
      <c r="M200" t="n">
        <v>0</v>
      </c>
      <c r="N200" t="n">
        <v>0</v>
      </c>
      <c r="O200" t="n">
        <v>0</v>
      </c>
      <c r="P200" t="n">
        <v>0</v>
      </c>
      <c r="Q200" t="n">
        <v>1</v>
      </c>
      <c r="R200" s="2" t="inlineStr">
        <is>
          <t>Kransrams</t>
        </is>
      </c>
      <c r="S200">
        <f>HYPERLINK("https://klasma.github.io/Logging_1290/artfynd/A 21568-2021 artfynd.xlsx", "A 21568-2021")</f>
        <v/>
      </c>
      <c r="T200">
        <f>HYPERLINK("https://klasma.github.io/Logging_1290/kartor/A 21568-2021 karta.png", "A 21568-2021")</f>
        <v/>
      </c>
      <c r="V200">
        <f>HYPERLINK("https://klasma.github.io/Logging_1290/klagomål/A 21568-2021 FSC-klagomål.docx", "A 21568-2021")</f>
        <v/>
      </c>
      <c r="W200">
        <f>HYPERLINK("https://klasma.github.io/Logging_1290/klagomålsmail/A 21568-2021 FSC-klagomål mail.docx", "A 21568-2021")</f>
        <v/>
      </c>
      <c r="X200">
        <f>HYPERLINK("https://klasma.github.io/Logging_1290/tillsyn/A 21568-2021 tillsynsbegäran.docx", "A 21568-2021")</f>
        <v/>
      </c>
      <c r="Y200">
        <f>HYPERLINK("https://klasma.github.io/Logging_1290/tillsynsmail/A 21568-2021 tillsynsbegäran mail.docx", "A 21568-2021")</f>
        <v/>
      </c>
    </row>
    <row r="201" ht="15" customHeight="1">
      <c r="A201" t="inlineStr">
        <is>
          <t>A 22549-2021</t>
        </is>
      </c>
      <c r="B201" s="1" t="n">
        <v>44327</v>
      </c>
      <c r="C201" s="1" t="n">
        <v>45585</v>
      </c>
      <c r="D201" t="inlineStr">
        <is>
          <t>SKÅNE LÄN</t>
        </is>
      </c>
      <c r="E201" t="inlineStr">
        <is>
          <t>KRISTIANSTAD</t>
        </is>
      </c>
      <c r="G201" t="n">
        <v>2.5</v>
      </c>
      <c r="H201" t="n">
        <v>1</v>
      </c>
      <c r="I201" t="n">
        <v>0</v>
      </c>
      <c r="J201" t="n">
        <v>0</v>
      </c>
      <c r="K201" t="n">
        <v>0</v>
      </c>
      <c r="L201" t="n">
        <v>0</v>
      </c>
      <c r="M201" t="n">
        <v>0</v>
      </c>
      <c r="N201" t="n">
        <v>0</v>
      </c>
      <c r="O201" t="n">
        <v>0</v>
      </c>
      <c r="P201" t="n">
        <v>0</v>
      </c>
      <c r="Q201" t="n">
        <v>1</v>
      </c>
      <c r="R201" s="2" t="inlineStr">
        <is>
          <t>Lövgroda</t>
        </is>
      </c>
      <c r="S201">
        <f>HYPERLINK("https://klasma.github.io/Logging_1290/artfynd/A 22549-2021 artfynd.xlsx", "A 22549-2021")</f>
        <v/>
      </c>
      <c r="T201">
        <f>HYPERLINK("https://klasma.github.io/Logging_1290/kartor/A 22549-2021 karta.png", "A 22549-2021")</f>
        <v/>
      </c>
      <c r="V201">
        <f>HYPERLINK("https://klasma.github.io/Logging_1290/klagomål/A 22549-2021 FSC-klagomål.docx", "A 22549-2021")</f>
        <v/>
      </c>
      <c r="W201">
        <f>HYPERLINK("https://klasma.github.io/Logging_1290/klagomålsmail/A 22549-2021 FSC-klagomål mail.docx", "A 22549-2021")</f>
        <v/>
      </c>
      <c r="X201">
        <f>HYPERLINK("https://klasma.github.io/Logging_1290/tillsyn/A 22549-2021 tillsynsbegäran.docx", "A 22549-2021")</f>
        <v/>
      </c>
      <c r="Y201">
        <f>HYPERLINK("https://klasma.github.io/Logging_1290/tillsynsmail/A 22549-2021 tillsynsbegäran mail.docx", "A 22549-2021")</f>
        <v/>
      </c>
    </row>
    <row r="202" ht="15" customHeight="1">
      <c r="A202" t="inlineStr">
        <is>
          <t>A 22965-2021</t>
        </is>
      </c>
      <c r="B202" s="1" t="n">
        <v>44328</v>
      </c>
      <c r="C202" s="1" t="n">
        <v>45585</v>
      </c>
      <c r="D202" t="inlineStr">
        <is>
          <t>SKÅNE LÄN</t>
        </is>
      </c>
      <c r="E202" t="inlineStr">
        <is>
          <t>KRISTIANSTAD</t>
        </is>
      </c>
      <c r="G202" t="n">
        <v>1</v>
      </c>
      <c r="H202" t="n">
        <v>1</v>
      </c>
      <c r="I202" t="n">
        <v>0</v>
      </c>
      <c r="J202" t="n">
        <v>0</v>
      </c>
      <c r="K202" t="n">
        <v>0</v>
      </c>
      <c r="L202" t="n">
        <v>0</v>
      </c>
      <c r="M202" t="n">
        <v>0</v>
      </c>
      <c r="N202" t="n">
        <v>0</v>
      </c>
      <c r="O202" t="n">
        <v>0</v>
      </c>
      <c r="P202" t="n">
        <v>0</v>
      </c>
      <c r="Q202" t="n">
        <v>1</v>
      </c>
      <c r="R202" s="2" t="inlineStr">
        <is>
          <t>Kungsfågel</t>
        </is>
      </c>
      <c r="S202">
        <f>HYPERLINK("https://klasma.github.io/Logging_1290/artfynd/A 22965-2021 artfynd.xlsx", "A 22965-2021")</f>
        <v/>
      </c>
      <c r="T202">
        <f>HYPERLINK("https://klasma.github.io/Logging_1290/kartor/A 22965-2021 karta.png", "A 22965-2021")</f>
        <v/>
      </c>
      <c r="V202">
        <f>HYPERLINK("https://klasma.github.io/Logging_1290/klagomål/A 22965-2021 FSC-klagomål.docx", "A 22965-2021")</f>
        <v/>
      </c>
      <c r="W202">
        <f>HYPERLINK("https://klasma.github.io/Logging_1290/klagomålsmail/A 22965-2021 FSC-klagomål mail.docx", "A 22965-2021")</f>
        <v/>
      </c>
      <c r="X202">
        <f>HYPERLINK("https://klasma.github.io/Logging_1290/tillsyn/A 22965-2021 tillsynsbegäran.docx", "A 22965-2021")</f>
        <v/>
      </c>
      <c r="Y202">
        <f>HYPERLINK("https://klasma.github.io/Logging_1290/tillsynsmail/A 22965-2021 tillsynsbegäran mail.docx", "A 22965-2021")</f>
        <v/>
      </c>
      <c r="Z202">
        <f>HYPERLINK("https://klasma.github.io/Logging_1290/fåglar/A 22965-2021 prioriterade fågelarter.docx", "A 22965-2021")</f>
        <v/>
      </c>
    </row>
    <row r="203" ht="15" customHeight="1">
      <c r="A203" t="inlineStr">
        <is>
          <t>A 30708-2021</t>
        </is>
      </c>
      <c r="B203" s="1" t="n">
        <v>44365</v>
      </c>
      <c r="C203" s="1" t="n">
        <v>45585</v>
      </c>
      <c r="D203" t="inlineStr">
        <is>
          <t>SKÅNE LÄN</t>
        </is>
      </c>
      <c r="E203" t="inlineStr">
        <is>
          <t>KLIPPAN</t>
        </is>
      </c>
      <c r="G203" t="n">
        <v>0.5</v>
      </c>
      <c r="H203" t="n">
        <v>0</v>
      </c>
      <c r="I203" t="n">
        <v>0</v>
      </c>
      <c r="J203" t="n">
        <v>1</v>
      </c>
      <c r="K203" t="n">
        <v>0</v>
      </c>
      <c r="L203" t="n">
        <v>0</v>
      </c>
      <c r="M203" t="n">
        <v>0</v>
      </c>
      <c r="N203" t="n">
        <v>0</v>
      </c>
      <c r="O203" t="n">
        <v>1</v>
      </c>
      <c r="P203" t="n">
        <v>0</v>
      </c>
      <c r="Q203" t="n">
        <v>1</v>
      </c>
      <c r="R203" s="2" t="inlineStr">
        <is>
          <t>Koralltaggsvamp</t>
        </is>
      </c>
      <c r="S203">
        <f>HYPERLINK("https://klasma.github.io/Logging_1276/artfynd/A 30708-2021 artfynd.xlsx", "A 30708-2021")</f>
        <v/>
      </c>
      <c r="T203">
        <f>HYPERLINK("https://klasma.github.io/Logging_1276/kartor/A 30708-2021 karta.png", "A 30708-2021")</f>
        <v/>
      </c>
      <c r="V203">
        <f>HYPERLINK("https://klasma.github.io/Logging_1276/klagomål/A 30708-2021 FSC-klagomål.docx", "A 30708-2021")</f>
        <v/>
      </c>
      <c r="W203">
        <f>HYPERLINK("https://klasma.github.io/Logging_1276/klagomålsmail/A 30708-2021 FSC-klagomål mail.docx", "A 30708-2021")</f>
        <v/>
      </c>
      <c r="X203">
        <f>HYPERLINK("https://klasma.github.io/Logging_1276/tillsyn/A 30708-2021 tillsynsbegäran.docx", "A 30708-2021")</f>
        <v/>
      </c>
      <c r="Y203">
        <f>HYPERLINK("https://klasma.github.io/Logging_1276/tillsynsmail/A 30708-2021 tillsynsbegäran mail.docx", "A 30708-2021")</f>
        <v/>
      </c>
    </row>
    <row r="204" ht="15" customHeight="1">
      <c r="A204" t="inlineStr">
        <is>
          <t>A 30721-2021</t>
        </is>
      </c>
      <c r="B204" s="1" t="n">
        <v>44365</v>
      </c>
      <c r="C204" s="1" t="n">
        <v>45585</v>
      </c>
      <c r="D204" t="inlineStr">
        <is>
          <t>SKÅNE LÄN</t>
        </is>
      </c>
      <c r="E204" t="inlineStr">
        <is>
          <t>KLIPPAN</t>
        </is>
      </c>
      <c r="G204" t="n">
        <v>0.4</v>
      </c>
      <c r="H204" t="n">
        <v>0</v>
      </c>
      <c r="I204" t="n">
        <v>1</v>
      </c>
      <c r="J204" t="n">
        <v>0</v>
      </c>
      <c r="K204" t="n">
        <v>0</v>
      </c>
      <c r="L204" t="n">
        <v>0</v>
      </c>
      <c r="M204" t="n">
        <v>0</v>
      </c>
      <c r="N204" t="n">
        <v>0</v>
      </c>
      <c r="O204" t="n">
        <v>0</v>
      </c>
      <c r="P204" t="n">
        <v>0</v>
      </c>
      <c r="Q204" t="n">
        <v>1</v>
      </c>
      <c r="R204" s="2" t="inlineStr">
        <is>
          <t>Brandticka</t>
        </is>
      </c>
      <c r="S204">
        <f>HYPERLINK("https://klasma.github.io/Logging_1276/artfynd/A 30721-2021 artfynd.xlsx", "A 30721-2021")</f>
        <v/>
      </c>
      <c r="T204">
        <f>HYPERLINK("https://klasma.github.io/Logging_1276/kartor/A 30721-2021 karta.png", "A 30721-2021")</f>
        <v/>
      </c>
      <c r="V204">
        <f>HYPERLINK("https://klasma.github.io/Logging_1276/klagomål/A 30721-2021 FSC-klagomål.docx", "A 30721-2021")</f>
        <v/>
      </c>
      <c r="W204">
        <f>HYPERLINK("https://klasma.github.io/Logging_1276/klagomålsmail/A 30721-2021 FSC-klagomål mail.docx", "A 30721-2021")</f>
        <v/>
      </c>
      <c r="X204">
        <f>HYPERLINK("https://klasma.github.io/Logging_1276/tillsyn/A 30721-2021 tillsynsbegäran.docx", "A 30721-2021")</f>
        <v/>
      </c>
      <c r="Y204">
        <f>HYPERLINK("https://klasma.github.io/Logging_1276/tillsynsmail/A 30721-2021 tillsynsbegäran mail.docx", "A 30721-2021")</f>
        <v/>
      </c>
    </row>
    <row r="205" ht="15" customHeight="1">
      <c r="A205" t="inlineStr">
        <is>
          <t>A 32766-2021</t>
        </is>
      </c>
      <c r="B205" s="1" t="n">
        <v>44375</v>
      </c>
      <c r="C205" s="1" t="n">
        <v>45585</v>
      </c>
      <c r="D205" t="inlineStr">
        <is>
          <t>SKÅNE LÄN</t>
        </is>
      </c>
      <c r="E205" t="inlineStr">
        <is>
          <t>OSBY</t>
        </is>
      </c>
      <c r="G205" t="n">
        <v>1.9</v>
      </c>
      <c r="H205" t="n">
        <v>0</v>
      </c>
      <c r="I205" t="n">
        <v>1</v>
      </c>
      <c r="J205" t="n">
        <v>0</v>
      </c>
      <c r="K205" t="n">
        <v>0</v>
      </c>
      <c r="L205" t="n">
        <v>0</v>
      </c>
      <c r="M205" t="n">
        <v>0</v>
      </c>
      <c r="N205" t="n">
        <v>0</v>
      </c>
      <c r="O205" t="n">
        <v>0</v>
      </c>
      <c r="P205" t="n">
        <v>0</v>
      </c>
      <c r="Q205" t="n">
        <v>1</v>
      </c>
      <c r="R205" s="2" t="inlineStr">
        <is>
          <t>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35443-2021</t>
        </is>
      </c>
      <c r="B206" s="1" t="n">
        <v>44385</v>
      </c>
      <c r="C206" s="1" t="n">
        <v>45585</v>
      </c>
      <c r="D206" t="inlineStr">
        <is>
          <t>SKÅNE LÄN</t>
        </is>
      </c>
      <c r="E206" t="inlineStr">
        <is>
          <t>LUND</t>
        </is>
      </c>
      <c r="G206" t="n">
        <v>4.2</v>
      </c>
      <c r="H206" t="n">
        <v>0</v>
      </c>
      <c r="I206" t="n">
        <v>0</v>
      </c>
      <c r="J206" t="n">
        <v>0</v>
      </c>
      <c r="K206" t="n">
        <v>0</v>
      </c>
      <c r="L206" t="n">
        <v>1</v>
      </c>
      <c r="M206" t="n">
        <v>0</v>
      </c>
      <c r="N206" t="n">
        <v>0</v>
      </c>
      <c r="O206" t="n">
        <v>1</v>
      </c>
      <c r="P206" t="n">
        <v>1</v>
      </c>
      <c r="Q206" t="n">
        <v>1</v>
      </c>
      <c r="R206" s="2" t="inlineStr">
        <is>
          <t>Klubbfibbla</t>
        </is>
      </c>
      <c r="S206">
        <f>HYPERLINK("https://klasma.github.io/Logging_1281/artfynd/A 35443-2021 artfynd.xlsx", "A 35443-2021")</f>
        <v/>
      </c>
      <c r="T206">
        <f>HYPERLINK("https://klasma.github.io/Logging_1281/kartor/A 35443-2021 karta.png", "A 35443-2021")</f>
        <v/>
      </c>
      <c r="V206">
        <f>HYPERLINK("https://klasma.github.io/Logging_1281/klagomål/A 35443-2021 FSC-klagomål.docx", "A 35443-2021")</f>
        <v/>
      </c>
      <c r="W206">
        <f>HYPERLINK("https://klasma.github.io/Logging_1281/klagomålsmail/A 35443-2021 FSC-klagomål mail.docx", "A 35443-2021")</f>
        <v/>
      </c>
      <c r="X206">
        <f>HYPERLINK("https://klasma.github.io/Logging_1281/tillsyn/A 35443-2021 tillsynsbegäran.docx", "A 35443-2021")</f>
        <v/>
      </c>
      <c r="Y206">
        <f>HYPERLINK("https://klasma.github.io/Logging_1281/tillsynsmail/A 35443-2021 tillsynsbegäran mail.docx", "A 35443-2021")</f>
        <v/>
      </c>
    </row>
    <row r="207" ht="15" customHeight="1">
      <c r="A207" t="inlineStr">
        <is>
          <t>A 44327-2021</t>
        </is>
      </c>
      <c r="B207" s="1" t="n">
        <v>44434</v>
      </c>
      <c r="C207" s="1" t="n">
        <v>45585</v>
      </c>
      <c r="D207" t="inlineStr">
        <is>
          <t>SKÅNE LÄN</t>
        </is>
      </c>
      <c r="E207" t="inlineStr">
        <is>
          <t>HÖÖR</t>
        </is>
      </c>
      <c r="G207" t="n">
        <v>12.1</v>
      </c>
      <c r="H207" t="n">
        <v>1</v>
      </c>
      <c r="I207" t="n">
        <v>0</v>
      </c>
      <c r="J207" t="n">
        <v>0</v>
      </c>
      <c r="K207" t="n">
        <v>0</v>
      </c>
      <c r="L207" t="n">
        <v>1</v>
      </c>
      <c r="M207" t="n">
        <v>0</v>
      </c>
      <c r="N207" t="n">
        <v>0</v>
      </c>
      <c r="O207" t="n">
        <v>1</v>
      </c>
      <c r="P207" t="n">
        <v>1</v>
      </c>
      <c r="Q207" t="n">
        <v>1</v>
      </c>
      <c r="R207" s="2" t="inlineStr">
        <is>
          <t>Årta</t>
        </is>
      </c>
      <c r="S207">
        <f>HYPERLINK("https://klasma.github.io/Logging_1267/artfynd/A 44327-2021 artfynd.xlsx", "A 44327-2021")</f>
        <v/>
      </c>
      <c r="T207">
        <f>HYPERLINK("https://klasma.github.io/Logging_1267/kartor/A 44327-2021 karta.png", "A 44327-2021")</f>
        <v/>
      </c>
      <c r="V207">
        <f>HYPERLINK("https://klasma.github.io/Logging_1267/klagomål/A 44327-2021 FSC-klagomål.docx", "A 44327-2021")</f>
        <v/>
      </c>
      <c r="W207">
        <f>HYPERLINK("https://klasma.github.io/Logging_1267/klagomålsmail/A 44327-2021 FSC-klagomål mail.docx", "A 44327-2021")</f>
        <v/>
      </c>
      <c r="X207">
        <f>HYPERLINK("https://klasma.github.io/Logging_1267/tillsyn/A 44327-2021 tillsynsbegäran.docx", "A 44327-2021")</f>
        <v/>
      </c>
      <c r="Y207">
        <f>HYPERLINK("https://klasma.github.io/Logging_1267/tillsynsmail/A 44327-2021 tillsynsbegäran mail.docx", "A 44327-2021")</f>
        <v/>
      </c>
    </row>
    <row r="208" ht="15" customHeight="1">
      <c r="A208" t="inlineStr">
        <is>
          <t>A 44705-2021</t>
        </is>
      </c>
      <c r="B208" s="1" t="n">
        <v>44438</v>
      </c>
      <c r="C208" s="1" t="n">
        <v>45585</v>
      </c>
      <c r="D208" t="inlineStr">
        <is>
          <t>SKÅNE LÄN</t>
        </is>
      </c>
      <c r="E208" t="inlineStr">
        <is>
          <t>HÄSSLEHOLM</t>
        </is>
      </c>
      <c r="G208" t="n">
        <v>1.7</v>
      </c>
      <c r="H208" t="n">
        <v>0</v>
      </c>
      <c r="I208" t="n">
        <v>1</v>
      </c>
      <c r="J208" t="n">
        <v>0</v>
      </c>
      <c r="K208" t="n">
        <v>0</v>
      </c>
      <c r="L208" t="n">
        <v>0</v>
      </c>
      <c r="M208" t="n">
        <v>0</v>
      </c>
      <c r="N208" t="n">
        <v>0</v>
      </c>
      <c r="O208" t="n">
        <v>0</v>
      </c>
      <c r="P208" t="n">
        <v>0</v>
      </c>
      <c r="Q208" t="n">
        <v>1</v>
      </c>
      <c r="R208" s="2" t="inlineStr">
        <is>
          <t>Blåmossa</t>
        </is>
      </c>
      <c r="S208">
        <f>HYPERLINK("https://klasma.github.io/Logging_1293/artfynd/A 44705-2021 artfynd.xlsx", "A 44705-2021")</f>
        <v/>
      </c>
      <c r="T208">
        <f>HYPERLINK("https://klasma.github.io/Logging_1293/kartor/A 44705-2021 karta.png", "A 44705-2021")</f>
        <v/>
      </c>
      <c r="V208">
        <f>HYPERLINK("https://klasma.github.io/Logging_1293/klagomål/A 44705-2021 FSC-klagomål.docx", "A 44705-2021")</f>
        <v/>
      </c>
      <c r="W208">
        <f>HYPERLINK("https://klasma.github.io/Logging_1293/klagomålsmail/A 44705-2021 FSC-klagomål mail.docx", "A 44705-2021")</f>
        <v/>
      </c>
      <c r="X208">
        <f>HYPERLINK("https://klasma.github.io/Logging_1293/tillsyn/A 44705-2021 tillsynsbegäran.docx", "A 44705-2021")</f>
        <v/>
      </c>
      <c r="Y208">
        <f>HYPERLINK("https://klasma.github.io/Logging_1293/tillsynsmail/A 44705-2021 tillsynsbegäran mail.docx", "A 44705-2021")</f>
        <v/>
      </c>
    </row>
    <row r="209" ht="15" customHeight="1">
      <c r="A209" t="inlineStr">
        <is>
          <t>A 46919-2021</t>
        </is>
      </c>
      <c r="B209" s="1" t="n">
        <v>44446</v>
      </c>
      <c r="C209" s="1" t="n">
        <v>45585</v>
      </c>
      <c r="D209" t="inlineStr">
        <is>
          <t>SKÅNE LÄN</t>
        </is>
      </c>
      <c r="E209" t="inlineStr">
        <is>
          <t>HÖÖR</t>
        </is>
      </c>
      <c r="G209" t="n">
        <v>2.8</v>
      </c>
      <c r="H209" t="n">
        <v>0</v>
      </c>
      <c r="I209" t="n">
        <v>1</v>
      </c>
      <c r="J209" t="n">
        <v>0</v>
      </c>
      <c r="K209" t="n">
        <v>0</v>
      </c>
      <c r="L209" t="n">
        <v>0</v>
      </c>
      <c r="M209" t="n">
        <v>0</v>
      </c>
      <c r="N209" t="n">
        <v>0</v>
      </c>
      <c r="O209" t="n">
        <v>0</v>
      </c>
      <c r="P209" t="n">
        <v>0</v>
      </c>
      <c r="Q209" t="n">
        <v>1</v>
      </c>
      <c r="R209" s="2" t="inlineStr">
        <is>
          <t>Strutbräken</t>
        </is>
      </c>
      <c r="S209">
        <f>HYPERLINK("https://klasma.github.io/Logging_1267/artfynd/A 46919-2021 artfynd.xlsx", "A 46919-2021")</f>
        <v/>
      </c>
      <c r="T209">
        <f>HYPERLINK("https://klasma.github.io/Logging_1267/kartor/A 46919-2021 karta.png", "A 46919-2021")</f>
        <v/>
      </c>
      <c r="V209">
        <f>HYPERLINK("https://klasma.github.io/Logging_1267/klagomål/A 46919-2021 FSC-klagomål.docx", "A 46919-2021")</f>
        <v/>
      </c>
      <c r="W209">
        <f>HYPERLINK("https://klasma.github.io/Logging_1267/klagomålsmail/A 46919-2021 FSC-klagomål mail.docx", "A 46919-2021")</f>
        <v/>
      </c>
      <c r="X209">
        <f>HYPERLINK("https://klasma.github.io/Logging_1267/tillsyn/A 46919-2021 tillsynsbegäran.docx", "A 46919-2021")</f>
        <v/>
      </c>
      <c r="Y209">
        <f>HYPERLINK("https://klasma.github.io/Logging_1267/tillsynsmail/A 46919-2021 tillsynsbegäran mail.docx", "A 46919-2021")</f>
        <v/>
      </c>
    </row>
    <row r="210" ht="15" customHeight="1">
      <c r="A210" t="inlineStr">
        <is>
          <t>A 52355-2021</t>
        </is>
      </c>
      <c r="B210" s="1" t="n">
        <v>44464</v>
      </c>
      <c r="C210" s="1" t="n">
        <v>45585</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57968-2021</t>
        </is>
      </c>
      <c r="B211" s="1" t="n">
        <v>44487</v>
      </c>
      <c r="C211" s="1" t="n">
        <v>45585</v>
      </c>
      <c r="D211" t="inlineStr">
        <is>
          <t>SKÅNE LÄN</t>
        </is>
      </c>
      <c r="E211" t="inlineStr">
        <is>
          <t>KLIPPAN</t>
        </is>
      </c>
      <c r="G211" t="n">
        <v>5.2</v>
      </c>
      <c r="H211" t="n">
        <v>0</v>
      </c>
      <c r="I211" t="n">
        <v>0</v>
      </c>
      <c r="J211" t="n">
        <v>1</v>
      </c>
      <c r="K211" t="n">
        <v>0</v>
      </c>
      <c r="L211" t="n">
        <v>0</v>
      </c>
      <c r="M211" t="n">
        <v>0</v>
      </c>
      <c r="N211" t="n">
        <v>0</v>
      </c>
      <c r="O211" t="n">
        <v>1</v>
      </c>
      <c r="P211" t="n">
        <v>0</v>
      </c>
      <c r="Q211" t="n">
        <v>1</v>
      </c>
      <c r="R211" s="2" t="inlineStr">
        <is>
          <t>Kösa</t>
        </is>
      </c>
      <c r="S211">
        <f>HYPERLINK("https://klasma.github.io/Logging_1276/artfynd/A 57968-2021 artfynd.xlsx", "A 57968-2021")</f>
        <v/>
      </c>
      <c r="T211">
        <f>HYPERLINK("https://klasma.github.io/Logging_1276/kartor/A 57968-2021 karta.png", "A 57968-2021")</f>
        <v/>
      </c>
      <c r="V211">
        <f>HYPERLINK("https://klasma.github.io/Logging_1276/klagomål/A 57968-2021 FSC-klagomål.docx", "A 57968-2021")</f>
        <v/>
      </c>
      <c r="W211">
        <f>HYPERLINK("https://klasma.github.io/Logging_1276/klagomålsmail/A 57968-2021 FSC-klagomål mail.docx", "A 57968-2021")</f>
        <v/>
      </c>
      <c r="X211">
        <f>HYPERLINK("https://klasma.github.io/Logging_1276/tillsyn/A 57968-2021 tillsynsbegäran.docx", "A 57968-2021")</f>
        <v/>
      </c>
      <c r="Y211">
        <f>HYPERLINK("https://klasma.github.io/Logging_1276/tillsynsmail/A 57968-2021 tillsynsbegäran mail.docx", "A 57968-2021")</f>
        <v/>
      </c>
    </row>
    <row r="212" ht="15" customHeight="1">
      <c r="A212" t="inlineStr">
        <is>
          <t>A 71055-2021</t>
        </is>
      </c>
      <c r="B212" s="1" t="n">
        <v>44538</v>
      </c>
      <c r="C212" s="1" t="n">
        <v>45585</v>
      </c>
      <c r="D212" t="inlineStr">
        <is>
          <t>SKÅNE LÄN</t>
        </is>
      </c>
      <c r="E212" t="inlineStr">
        <is>
          <t>SJÖBO</t>
        </is>
      </c>
      <c r="G212" t="n">
        <v>7.2</v>
      </c>
      <c r="H212" t="n">
        <v>0</v>
      </c>
      <c r="I212" t="n">
        <v>0</v>
      </c>
      <c r="J212" t="n">
        <v>0</v>
      </c>
      <c r="K212" t="n">
        <v>0</v>
      </c>
      <c r="L212" t="n">
        <v>0</v>
      </c>
      <c r="M212" t="n">
        <v>1</v>
      </c>
      <c r="N212" t="n">
        <v>0</v>
      </c>
      <c r="O212" t="n">
        <v>1</v>
      </c>
      <c r="P212" t="n">
        <v>1</v>
      </c>
      <c r="Q212" t="n">
        <v>1</v>
      </c>
      <c r="R212" s="2" t="inlineStr">
        <is>
          <t>Skogsalm</t>
        </is>
      </c>
      <c r="S212">
        <f>HYPERLINK("https://klasma.github.io/Logging_1265/artfynd/A 71055-2021 artfynd.xlsx", "A 71055-2021")</f>
        <v/>
      </c>
      <c r="T212">
        <f>HYPERLINK("https://klasma.github.io/Logging_1265/kartor/A 71055-2021 karta.png", "A 71055-2021")</f>
        <v/>
      </c>
      <c r="V212">
        <f>HYPERLINK("https://klasma.github.io/Logging_1265/klagomål/A 71055-2021 FSC-klagomål.docx", "A 71055-2021")</f>
        <v/>
      </c>
      <c r="W212">
        <f>HYPERLINK("https://klasma.github.io/Logging_1265/klagomålsmail/A 71055-2021 FSC-klagomål mail.docx", "A 71055-2021")</f>
        <v/>
      </c>
      <c r="X212">
        <f>HYPERLINK("https://klasma.github.io/Logging_1265/tillsyn/A 71055-2021 tillsynsbegäran.docx", "A 71055-2021")</f>
        <v/>
      </c>
      <c r="Y212">
        <f>HYPERLINK("https://klasma.github.io/Logging_1265/tillsynsmail/A 71055-2021 tillsynsbegäran mail.docx", "A 71055-2021")</f>
        <v/>
      </c>
    </row>
    <row r="213" ht="15" customHeight="1">
      <c r="A213" t="inlineStr">
        <is>
          <t>A 72269-2021</t>
        </is>
      </c>
      <c r="B213" s="1" t="n">
        <v>44543</v>
      </c>
      <c r="C213" s="1" t="n">
        <v>45585</v>
      </c>
      <c r="D213" t="inlineStr">
        <is>
          <t>SKÅNE LÄN</t>
        </is>
      </c>
      <c r="E213" t="inlineStr">
        <is>
          <t>LUND</t>
        </is>
      </c>
      <c r="G213" t="n">
        <v>3.2</v>
      </c>
      <c r="H213" t="n">
        <v>0</v>
      </c>
      <c r="I213" t="n">
        <v>1</v>
      </c>
      <c r="J213" t="n">
        <v>0</v>
      </c>
      <c r="K213" t="n">
        <v>0</v>
      </c>
      <c r="L213" t="n">
        <v>0</v>
      </c>
      <c r="M213" t="n">
        <v>0</v>
      </c>
      <c r="N213" t="n">
        <v>0</v>
      </c>
      <c r="O213" t="n">
        <v>0</v>
      </c>
      <c r="P213" t="n">
        <v>0</v>
      </c>
      <c r="Q213" t="n">
        <v>1</v>
      </c>
      <c r="R213" s="2" t="inlineStr">
        <is>
          <t>Stor häxört</t>
        </is>
      </c>
      <c r="S213">
        <f>HYPERLINK("https://klasma.github.io/Logging_1281/artfynd/A 72269-2021 artfynd.xlsx", "A 72269-2021")</f>
        <v/>
      </c>
      <c r="T213">
        <f>HYPERLINK("https://klasma.github.io/Logging_1281/kartor/A 72269-2021 karta.png", "A 72269-2021")</f>
        <v/>
      </c>
      <c r="V213">
        <f>HYPERLINK("https://klasma.github.io/Logging_1281/klagomål/A 72269-2021 FSC-klagomål.docx", "A 72269-2021")</f>
        <v/>
      </c>
      <c r="W213">
        <f>HYPERLINK("https://klasma.github.io/Logging_1281/klagomålsmail/A 72269-2021 FSC-klagomål mail.docx", "A 72269-2021")</f>
        <v/>
      </c>
      <c r="X213">
        <f>HYPERLINK("https://klasma.github.io/Logging_1281/tillsyn/A 72269-2021 tillsynsbegäran.docx", "A 72269-2021")</f>
        <v/>
      </c>
      <c r="Y213">
        <f>HYPERLINK("https://klasma.github.io/Logging_1281/tillsynsmail/A 72269-2021 tillsynsbegäran mail.docx", "A 72269-2021")</f>
        <v/>
      </c>
    </row>
    <row r="214" ht="15" customHeight="1">
      <c r="A214" t="inlineStr">
        <is>
          <t>A 74272-2021</t>
        </is>
      </c>
      <c r="B214" s="1" t="n">
        <v>44553</v>
      </c>
      <c r="C214" s="1" t="n">
        <v>45585</v>
      </c>
      <c r="D214" t="inlineStr">
        <is>
          <t>SKÅNE LÄN</t>
        </is>
      </c>
      <c r="E214" t="inlineStr">
        <is>
          <t>ÄNGELHOLM</t>
        </is>
      </c>
      <c r="G214" t="n">
        <v>5</v>
      </c>
      <c r="H214" t="n">
        <v>1</v>
      </c>
      <c r="I214" t="n">
        <v>0</v>
      </c>
      <c r="J214" t="n">
        <v>1</v>
      </c>
      <c r="K214" t="n">
        <v>0</v>
      </c>
      <c r="L214" t="n">
        <v>0</v>
      </c>
      <c r="M214" t="n">
        <v>0</v>
      </c>
      <c r="N214" t="n">
        <v>0</v>
      </c>
      <c r="O214" t="n">
        <v>1</v>
      </c>
      <c r="P214" t="n">
        <v>0</v>
      </c>
      <c r="Q214" t="n">
        <v>1</v>
      </c>
      <c r="R214" s="2" t="inlineStr">
        <is>
          <t>Entita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2697-2022</t>
        </is>
      </c>
      <c r="B215" s="1" t="n">
        <v>44580</v>
      </c>
      <c r="C215" s="1" t="n">
        <v>45585</v>
      </c>
      <c r="D215" t="inlineStr">
        <is>
          <t>SKÅNE LÄN</t>
        </is>
      </c>
      <c r="E215" t="inlineStr">
        <is>
          <t>ÖSTRA GÖINGE</t>
        </is>
      </c>
      <c r="G215" t="n">
        <v>1.3</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2697-2022 artfynd.xlsx", "A 2697-2022")</f>
        <v/>
      </c>
      <c r="T215">
        <f>HYPERLINK("https://klasma.github.io/Logging_1256/kartor/A 2697-2022 karta.png", "A 2697-2022")</f>
        <v/>
      </c>
      <c r="V215">
        <f>HYPERLINK("https://klasma.github.io/Logging_1256/klagomål/A 2697-2022 FSC-klagomål.docx", "A 2697-2022")</f>
        <v/>
      </c>
      <c r="W215">
        <f>HYPERLINK("https://klasma.github.io/Logging_1256/klagomålsmail/A 2697-2022 FSC-klagomål mail.docx", "A 2697-2022")</f>
        <v/>
      </c>
      <c r="X215">
        <f>HYPERLINK("https://klasma.github.io/Logging_1256/tillsyn/A 2697-2022 tillsynsbegäran.docx", "A 2697-2022")</f>
        <v/>
      </c>
      <c r="Y215">
        <f>HYPERLINK("https://klasma.github.io/Logging_1256/tillsynsmail/A 2697-2022 tillsynsbegäran mail.docx", "A 2697-2022")</f>
        <v/>
      </c>
      <c r="Z215">
        <f>HYPERLINK("https://klasma.github.io/Logging_1256/fåglar/A 2697-2022 prioriterade fågelarter.docx", "A 2697-2022")</f>
        <v/>
      </c>
    </row>
    <row r="216" ht="15" customHeight="1">
      <c r="A216" t="inlineStr">
        <is>
          <t>A 5732-2022</t>
        </is>
      </c>
      <c r="B216" s="1" t="n">
        <v>44596</v>
      </c>
      <c r="C216" s="1" t="n">
        <v>45585</v>
      </c>
      <c r="D216" t="inlineStr">
        <is>
          <t>SKÅNE LÄN</t>
        </is>
      </c>
      <c r="E216" t="inlineStr">
        <is>
          <t>KLIPPAN</t>
        </is>
      </c>
      <c r="G216" t="n">
        <v>6.1</v>
      </c>
      <c r="H216" t="n">
        <v>1</v>
      </c>
      <c r="I216" t="n">
        <v>0</v>
      </c>
      <c r="J216" t="n">
        <v>1</v>
      </c>
      <c r="K216" t="n">
        <v>0</v>
      </c>
      <c r="L216" t="n">
        <v>0</v>
      </c>
      <c r="M216" t="n">
        <v>0</v>
      </c>
      <c r="N216" t="n">
        <v>0</v>
      </c>
      <c r="O216" t="n">
        <v>1</v>
      </c>
      <c r="P216" t="n">
        <v>0</v>
      </c>
      <c r="Q216" t="n">
        <v>1</v>
      </c>
      <c r="R216" s="2" t="inlineStr">
        <is>
          <t>Talltita</t>
        </is>
      </c>
      <c r="S216">
        <f>HYPERLINK("https://klasma.github.io/Logging_1276/artfynd/A 5732-2022 artfynd.xlsx", "A 5732-2022")</f>
        <v/>
      </c>
      <c r="T216">
        <f>HYPERLINK("https://klasma.github.io/Logging_1276/kartor/A 5732-2022 karta.png", "A 5732-2022")</f>
        <v/>
      </c>
      <c r="V216">
        <f>HYPERLINK("https://klasma.github.io/Logging_1276/klagomål/A 5732-2022 FSC-klagomål.docx", "A 5732-2022")</f>
        <v/>
      </c>
      <c r="W216">
        <f>HYPERLINK("https://klasma.github.io/Logging_1276/klagomålsmail/A 5732-2022 FSC-klagomål mail.docx", "A 5732-2022")</f>
        <v/>
      </c>
      <c r="X216">
        <f>HYPERLINK("https://klasma.github.io/Logging_1276/tillsyn/A 5732-2022 tillsynsbegäran.docx", "A 5732-2022")</f>
        <v/>
      </c>
      <c r="Y216">
        <f>HYPERLINK("https://klasma.github.io/Logging_1276/tillsynsmail/A 5732-2022 tillsynsbegäran mail.docx", "A 5732-2022")</f>
        <v/>
      </c>
      <c r="Z216">
        <f>HYPERLINK("https://klasma.github.io/Logging_1276/fåglar/A 5732-2022 prioriterade fågelarter.docx", "A 5732-2022")</f>
        <v/>
      </c>
    </row>
    <row r="217" ht="15" customHeight="1">
      <c r="A217" t="inlineStr">
        <is>
          <t>A 6350-2022</t>
        </is>
      </c>
      <c r="B217" s="1" t="n">
        <v>44600</v>
      </c>
      <c r="C217" s="1" t="n">
        <v>45585</v>
      </c>
      <c r="D217" t="inlineStr">
        <is>
          <t>SKÅNE LÄN</t>
        </is>
      </c>
      <c r="E217" t="inlineStr">
        <is>
          <t>HÄSSLEHOLM</t>
        </is>
      </c>
      <c r="G217" t="n">
        <v>6.1</v>
      </c>
      <c r="H217" t="n">
        <v>1</v>
      </c>
      <c r="I217" t="n">
        <v>1</v>
      </c>
      <c r="J217" t="n">
        <v>0</v>
      </c>
      <c r="K217" t="n">
        <v>0</v>
      </c>
      <c r="L217" t="n">
        <v>0</v>
      </c>
      <c r="M217" t="n">
        <v>0</v>
      </c>
      <c r="N217" t="n">
        <v>0</v>
      </c>
      <c r="O217" t="n">
        <v>0</v>
      </c>
      <c r="P217" t="n">
        <v>0</v>
      </c>
      <c r="Q217" t="n">
        <v>1</v>
      </c>
      <c r="R217" s="2" t="inlineStr">
        <is>
          <t>Skogsknipprot</t>
        </is>
      </c>
      <c r="S217">
        <f>HYPERLINK("https://klasma.github.io/Logging_1293/artfynd/A 6350-2022 artfynd.xlsx", "A 6350-2022")</f>
        <v/>
      </c>
      <c r="T217">
        <f>HYPERLINK("https://klasma.github.io/Logging_1293/kartor/A 6350-2022 karta.png", "A 6350-2022")</f>
        <v/>
      </c>
      <c r="V217">
        <f>HYPERLINK("https://klasma.github.io/Logging_1293/klagomål/A 6350-2022 FSC-klagomål.docx", "A 6350-2022")</f>
        <v/>
      </c>
      <c r="W217">
        <f>HYPERLINK("https://klasma.github.io/Logging_1293/klagomålsmail/A 6350-2022 FSC-klagomål mail.docx", "A 6350-2022")</f>
        <v/>
      </c>
      <c r="X217">
        <f>HYPERLINK("https://klasma.github.io/Logging_1293/tillsyn/A 6350-2022 tillsynsbegäran.docx", "A 6350-2022")</f>
        <v/>
      </c>
      <c r="Y217">
        <f>HYPERLINK("https://klasma.github.io/Logging_1293/tillsynsmail/A 6350-2022 tillsynsbegäran mail.docx", "A 6350-2022")</f>
        <v/>
      </c>
    </row>
    <row r="218" ht="15" customHeight="1">
      <c r="A218" t="inlineStr">
        <is>
          <t>A 11750-2022</t>
        </is>
      </c>
      <c r="B218" s="1" t="n">
        <v>44634</v>
      </c>
      <c r="C218" s="1" t="n">
        <v>45585</v>
      </c>
      <c r="D218" t="inlineStr">
        <is>
          <t>SKÅNE LÄN</t>
        </is>
      </c>
      <c r="E218" t="inlineStr">
        <is>
          <t>KRISTIANSTAD</t>
        </is>
      </c>
      <c r="G218" t="n">
        <v>1.8</v>
      </c>
      <c r="H218" t="n">
        <v>0</v>
      </c>
      <c r="I218" t="n">
        <v>0</v>
      </c>
      <c r="J218" t="n">
        <v>0</v>
      </c>
      <c r="K218" t="n">
        <v>1</v>
      </c>
      <c r="L218" t="n">
        <v>0</v>
      </c>
      <c r="M218" t="n">
        <v>0</v>
      </c>
      <c r="N218" t="n">
        <v>0</v>
      </c>
      <c r="O218" t="n">
        <v>1</v>
      </c>
      <c r="P218" t="n">
        <v>1</v>
      </c>
      <c r="Q218" t="n">
        <v>1</v>
      </c>
      <c r="R218" s="2" t="inlineStr">
        <is>
          <t>Sanddådra</t>
        </is>
      </c>
      <c r="S218">
        <f>HYPERLINK("https://klasma.github.io/Logging_1290/artfynd/A 11750-2022 artfynd.xlsx", "A 11750-2022")</f>
        <v/>
      </c>
      <c r="T218">
        <f>HYPERLINK("https://klasma.github.io/Logging_1290/kartor/A 11750-2022 karta.png", "A 11750-2022")</f>
        <v/>
      </c>
      <c r="V218">
        <f>HYPERLINK("https://klasma.github.io/Logging_1290/klagomål/A 11750-2022 FSC-klagomål.docx", "A 11750-2022")</f>
        <v/>
      </c>
      <c r="W218">
        <f>HYPERLINK("https://klasma.github.io/Logging_1290/klagomålsmail/A 11750-2022 FSC-klagomål mail.docx", "A 11750-2022")</f>
        <v/>
      </c>
      <c r="X218">
        <f>HYPERLINK("https://klasma.github.io/Logging_1290/tillsyn/A 11750-2022 tillsynsbegäran.docx", "A 11750-2022")</f>
        <v/>
      </c>
      <c r="Y218">
        <f>HYPERLINK("https://klasma.github.io/Logging_1290/tillsynsmail/A 11750-2022 tillsynsbegäran mail.docx", "A 11750-2022")</f>
        <v/>
      </c>
    </row>
    <row r="219" ht="15" customHeight="1">
      <c r="A219" t="inlineStr">
        <is>
          <t>A 13705-2022</t>
        </is>
      </c>
      <c r="B219" s="1" t="n">
        <v>44648</v>
      </c>
      <c r="C219" s="1" t="n">
        <v>45585</v>
      </c>
      <c r="D219" t="inlineStr">
        <is>
          <t>SKÅNE LÄN</t>
        </is>
      </c>
      <c r="E219" t="inlineStr">
        <is>
          <t>HÄSSLEHOLM</t>
        </is>
      </c>
      <c r="G219" t="n">
        <v>1.5</v>
      </c>
      <c r="H219" t="n">
        <v>1</v>
      </c>
      <c r="I219" t="n">
        <v>0</v>
      </c>
      <c r="J219" t="n">
        <v>0</v>
      </c>
      <c r="K219" t="n">
        <v>0</v>
      </c>
      <c r="L219" t="n">
        <v>0</v>
      </c>
      <c r="M219" t="n">
        <v>0</v>
      </c>
      <c r="N219" t="n">
        <v>0</v>
      </c>
      <c r="O219" t="n">
        <v>0</v>
      </c>
      <c r="P219" t="n">
        <v>0</v>
      </c>
      <c r="Q219" t="n">
        <v>1</v>
      </c>
      <c r="R219" s="2" t="inlineStr">
        <is>
          <t>Grönvit nattviol</t>
        </is>
      </c>
      <c r="S219">
        <f>HYPERLINK("https://klasma.github.io/Logging_1293/artfynd/A 13705-2022 artfynd.xlsx", "A 13705-2022")</f>
        <v/>
      </c>
      <c r="T219">
        <f>HYPERLINK("https://klasma.github.io/Logging_1293/kartor/A 13705-2022 karta.png", "A 13705-2022")</f>
        <v/>
      </c>
      <c r="V219">
        <f>HYPERLINK("https://klasma.github.io/Logging_1293/klagomål/A 13705-2022 FSC-klagomål.docx", "A 13705-2022")</f>
        <v/>
      </c>
      <c r="W219">
        <f>HYPERLINK("https://klasma.github.io/Logging_1293/klagomålsmail/A 13705-2022 FSC-klagomål mail.docx", "A 13705-2022")</f>
        <v/>
      </c>
      <c r="X219">
        <f>HYPERLINK("https://klasma.github.io/Logging_1293/tillsyn/A 13705-2022 tillsynsbegäran.docx", "A 13705-2022")</f>
        <v/>
      </c>
      <c r="Y219">
        <f>HYPERLINK("https://klasma.github.io/Logging_1293/tillsynsmail/A 13705-2022 tillsynsbegäran mail.docx", "A 13705-2022")</f>
        <v/>
      </c>
    </row>
    <row r="220" ht="15" customHeight="1">
      <c r="A220" t="inlineStr">
        <is>
          <t>A 18464-2022</t>
        </is>
      </c>
      <c r="B220" s="1" t="n">
        <v>44686</v>
      </c>
      <c r="C220" s="1" t="n">
        <v>45585</v>
      </c>
      <c r="D220" t="inlineStr">
        <is>
          <t>SKÅNE LÄN</t>
        </is>
      </c>
      <c r="E220" t="inlineStr">
        <is>
          <t>SVEDALA</t>
        </is>
      </c>
      <c r="G220" t="n">
        <v>1.5</v>
      </c>
      <c r="H220" t="n">
        <v>1</v>
      </c>
      <c r="I220" t="n">
        <v>0</v>
      </c>
      <c r="J220" t="n">
        <v>0</v>
      </c>
      <c r="K220" t="n">
        <v>0</v>
      </c>
      <c r="L220" t="n">
        <v>0</v>
      </c>
      <c r="M220" t="n">
        <v>0</v>
      </c>
      <c r="N220" t="n">
        <v>0</v>
      </c>
      <c r="O220" t="n">
        <v>0</v>
      </c>
      <c r="P220" t="n">
        <v>0</v>
      </c>
      <c r="Q220" t="n">
        <v>1</v>
      </c>
      <c r="R220" s="2" t="inlineStr">
        <is>
          <t>Vanlig groda</t>
        </is>
      </c>
      <c r="S220">
        <f>HYPERLINK("https://klasma.github.io/Logging_1263/artfynd/A 18464-2022 artfynd.xlsx", "A 18464-2022")</f>
        <v/>
      </c>
      <c r="T220">
        <f>HYPERLINK("https://klasma.github.io/Logging_1263/kartor/A 18464-2022 karta.png", "A 18464-2022")</f>
        <v/>
      </c>
      <c r="V220">
        <f>HYPERLINK("https://klasma.github.io/Logging_1263/klagomål/A 18464-2022 FSC-klagomål.docx", "A 18464-2022")</f>
        <v/>
      </c>
      <c r="W220">
        <f>HYPERLINK("https://klasma.github.io/Logging_1263/klagomålsmail/A 18464-2022 FSC-klagomål mail.docx", "A 18464-2022")</f>
        <v/>
      </c>
      <c r="X220">
        <f>HYPERLINK("https://klasma.github.io/Logging_1263/tillsyn/A 18464-2022 tillsynsbegäran.docx", "A 18464-2022")</f>
        <v/>
      </c>
      <c r="Y220">
        <f>HYPERLINK("https://klasma.github.io/Logging_1263/tillsynsmail/A 18464-2022 tillsynsbegäran mail.docx", "A 18464-2022")</f>
        <v/>
      </c>
    </row>
    <row r="221" ht="15" customHeight="1">
      <c r="A221" t="inlineStr">
        <is>
          <t>A 18539-2022</t>
        </is>
      </c>
      <c r="B221" s="1" t="n">
        <v>44686</v>
      </c>
      <c r="C221" s="1" t="n">
        <v>45585</v>
      </c>
      <c r="D221" t="inlineStr">
        <is>
          <t>SKÅNE LÄN</t>
        </is>
      </c>
      <c r="E221" t="inlineStr">
        <is>
          <t>KRISTIANSTAD</t>
        </is>
      </c>
      <c r="G221" t="n">
        <v>4.3</v>
      </c>
      <c r="H221" t="n">
        <v>0</v>
      </c>
      <c r="I221" t="n">
        <v>0</v>
      </c>
      <c r="J221" t="n">
        <v>1</v>
      </c>
      <c r="K221" t="n">
        <v>0</v>
      </c>
      <c r="L221" t="n">
        <v>0</v>
      </c>
      <c r="M221" t="n">
        <v>0</v>
      </c>
      <c r="N221" t="n">
        <v>0</v>
      </c>
      <c r="O221" t="n">
        <v>1</v>
      </c>
      <c r="P221" t="n">
        <v>0</v>
      </c>
      <c r="Q221" t="n">
        <v>1</v>
      </c>
      <c r="R221" s="2" t="inlineStr">
        <is>
          <t>Skogslysing</t>
        </is>
      </c>
      <c r="S221">
        <f>HYPERLINK("https://klasma.github.io/Logging_1290/artfynd/A 18539-2022 artfynd.xlsx", "A 18539-2022")</f>
        <v/>
      </c>
      <c r="T221">
        <f>HYPERLINK("https://klasma.github.io/Logging_1290/kartor/A 18539-2022 karta.png", "A 18539-2022")</f>
        <v/>
      </c>
      <c r="V221">
        <f>HYPERLINK("https://klasma.github.io/Logging_1290/klagomål/A 18539-2022 FSC-klagomål.docx", "A 18539-2022")</f>
        <v/>
      </c>
      <c r="W221">
        <f>HYPERLINK("https://klasma.github.io/Logging_1290/klagomålsmail/A 18539-2022 FSC-klagomål mail.docx", "A 18539-2022")</f>
        <v/>
      </c>
      <c r="X221">
        <f>HYPERLINK("https://klasma.github.io/Logging_1290/tillsyn/A 18539-2022 tillsynsbegäran.docx", "A 18539-2022")</f>
        <v/>
      </c>
      <c r="Y221">
        <f>HYPERLINK("https://klasma.github.io/Logging_1290/tillsynsmail/A 18539-2022 tillsynsbegäran mail.docx", "A 18539-2022")</f>
        <v/>
      </c>
    </row>
    <row r="222" ht="15" customHeight="1">
      <c r="A222" t="inlineStr">
        <is>
          <t>A 23466-2022</t>
        </is>
      </c>
      <c r="B222" s="1" t="n">
        <v>44721</v>
      </c>
      <c r="C222" s="1" t="n">
        <v>45585</v>
      </c>
      <c r="D222" t="inlineStr">
        <is>
          <t>SKÅNE LÄN</t>
        </is>
      </c>
      <c r="E222" t="inlineStr">
        <is>
          <t>TOMELILLA</t>
        </is>
      </c>
      <c r="F222" t="inlineStr">
        <is>
          <t>Övriga Aktiebolag</t>
        </is>
      </c>
      <c r="G222" t="n">
        <v>6.3</v>
      </c>
      <c r="H222" t="n">
        <v>0</v>
      </c>
      <c r="I222" t="n">
        <v>0</v>
      </c>
      <c r="J222" t="n">
        <v>1</v>
      </c>
      <c r="K222" t="n">
        <v>0</v>
      </c>
      <c r="L222" t="n">
        <v>0</v>
      </c>
      <c r="M222" t="n">
        <v>0</v>
      </c>
      <c r="N222" t="n">
        <v>0</v>
      </c>
      <c r="O222" t="n">
        <v>1</v>
      </c>
      <c r="P222" t="n">
        <v>0</v>
      </c>
      <c r="Q222" t="n">
        <v>1</v>
      </c>
      <c r="R222" s="2" t="inlineStr">
        <is>
          <t>Skogslysing</t>
        </is>
      </c>
      <c r="S222">
        <f>HYPERLINK("https://klasma.github.io/Logging_1270/artfynd/A 23466-2022 artfynd.xlsx", "A 23466-2022")</f>
        <v/>
      </c>
      <c r="T222">
        <f>HYPERLINK("https://klasma.github.io/Logging_1270/kartor/A 23466-2022 karta.png", "A 23466-2022")</f>
        <v/>
      </c>
      <c r="V222">
        <f>HYPERLINK("https://klasma.github.io/Logging_1270/klagomål/A 23466-2022 FSC-klagomål.docx", "A 23466-2022")</f>
        <v/>
      </c>
      <c r="W222">
        <f>HYPERLINK("https://klasma.github.io/Logging_1270/klagomålsmail/A 23466-2022 FSC-klagomål mail.docx", "A 23466-2022")</f>
        <v/>
      </c>
      <c r="X222">
        <f>HYPERLINK("https://klasma.github.io/Logging_1270/tillsyn/A 23466-2022 tillsynsbegäran.docx", "A 23466-2022")</f>
        <v/>
      </c>
      <c r="Y222">
        <f>HYPERLINK("https://klasma.github.io/Logging_1270/tillsynsmail/A 23466-2022 tillsynsbegäran mail.docx", "A 23466-2022")</f>
        <v/>
      </c>
    </row>
    <row r="223" ht="15" customHeight="1">
      <c r="A223" t="inlineStr">
        <is>
          <t>A 23963-2022</t>
        </is>
      </c>
      <c r="B223" s="1" t="n">
        <v>44722</v>
      </c>
      <c r="C223" s="1" t="n">
        <v>45585</v>
      </c>
      <c r="D223" t="inlineStr">
        <is>
          <t>SKÅNE LÄN</t>
        </is>
      </c>
      <c r="E223" t="inlineStr">
        <is>
          <t>OSBY</t>
        </is>
      </c>
      <c r="F223" t="inlineStr">
        <is>
          <t>Kyrkan</t>
        </is>
      </c>
      <c r="G223" t="n">
        <v>4.5</v>
      </c>
      <c r="H223" t="n">
        <v>1</v>
      </c>
      <c r="I223" t="n">
        <v>0</v>
      </c>
      <c r="J223" t="n">
        <v>0</v>
      </c>
      <c r="K223" t="n">
        <v>0</v>
      </c>
      <c r="L223" t="n">
        <v>0</v>
      </c>
      <c r="M223" t="n">
        <v>0</v>
      </c>
      <c r="N223" t="n">
        <v>0</v>
      </c>
      <c r="O223" t="n">
        <v>0</v>
      </c>
      <c r="P223" t="n">
        <v>0</v>
      </c>
      <c r="Q223" t="n">
        <v>1</v>
      </c>
      <c r="R223" s="2" t="inlineStr">
        <is>
          <t>Kungsfågel</t>
        </is>
      </c>
      <c r="S223">
        <f>HYPERLINK("https://klasma.github.io/Logging_1273/artfynd/A 23963-2022 artfynd.xlsx", "A 23963-2022")</f>
        <v/>
      </c>
      <c r="T223">
        <f>HYPERLINK("https://klasma.github.io/Logging_1273/kartor/A 23963-2022 karta.png", "A 23963-2022")</f>
        <v/>
      </c>
      <c r="V223">
        <f>HYPERLINK("https://klasma.github.io/Logging_1273/klagomål/A 23963-2022 FSC-klagomål.docx", "A 23963-2022")</f>
        <v/>
      </c>
      <c r="W223">
        <f>HYPERLINK("https://klasma.github.io/Logging_1273/klagomålsmail/A 23963-2022 FSC-klagomål mail.docx", "A 23963-2022")</f>
        <v/>
      </c>
      <c r="X223">
        <f>HYPERLINK("https://klasma.github.io/Logging_1273/tillsyn/A 23963-2022 tillsynsbegäran.docx", "A 23963-2022")</f>
        <v/>
      </c>
      <c r="Y223">
        <f>HYPERLINK("https://klasma.github.io/Logging_1273/tillsynsmail/A 23963-2022 tillsynsbegäran mail.docx", "A 23963-2022")</f>
        <v/>
      </c>
      <c r="Z223">
        <f>HYPERLINK("https://klasma.github.io/Logging_1273/fåglar/A 23963-2022 prioriterade fågelarter.docx", "A 23963-2022")</f>
        <v/>
      </c>
    </row>
    <row r="224" ht="15" customHeight="1">
      <c r="A224" t="inlineStr">
        <is>
          <t>A 24158-2022</t>
        </is>
      </c>
      <c r="B224" s="1" t="n">
        <v>44725</v>
      </c>
      <c r="C224" s="1" t="n">
        <v>45585</v>
      </c>
      <c r="D224" t="inlineStr">
        <is>
          <t>SKÅNE LÄN</t>
        </is>
      </c>
      <c r="E224" t="inlineStr">
        <is>
          <t>HÖRBY</t>
        </is>
      </c>
      <c r="G224" t="n">
        <v>3.1</v>
      </c>
      <c r="H224" t="n">
        <v>0</v>
      </c>
      <c r="I224" t="n">
        <v>0</v>
      </c>
      <c r="J224" t="n">
        <v>0</v>
      </c>
      <c r="K224" t="n">
        <v>1</v>
      </c>
      <c r="L224" t="n">
        <v>0</v>
      </c>
      <c r="M224" t="n">
        <v>0</v>
      </c>
      <c r="N224" t="n">
        <v>0</v>
      </c>
      <c r="O224" t="n">
        <v>1</v>
      </c>
      <c r="P224" t="n">
        <v>1</v>
      </c>
      <c r="Q224" t="n">
        <v>1</v>
      </c>
      <c r="R224" s="2" t="inlineStr">
        <is>
          <t>Slåttergubbe</t>
        </is>
      </c>
      <c r="S224">
        <f>HYPERLINK("https://klasma.github.io/Logging_1266/artfynd/A 24158-2022 artfynd.xlsx", "A 24158-2022")</f>
        <v/>
      </c>
      <c r="T224">
        <f>HYPERLINK("https://klasma.github.io/Logging_1266/kartor/A 24158-2022 karta.png", "A 24158-2022")</f>
        <v/>
      </c>
      <c r="V224">
        <f>HYPERLINK("https://klasma.github.io/Logging_1266/klagomål/A 24158-2022 FSC-klagomål.docx", "A 24158-2022")</f>
        <v/>
      </c>
      <c r="W224">
        <f>HYPERLINK("https://klasma.github.io/Logging_1266/klagomålsmail/A 24158-2022 FSC-klagomål mail.docx", "A 24158-2022")</f>
        <v/>
      </c>
      <c r="X224">
        <f>HYPERLINK("https://klasma.github.io/Logging_1266/tillsyn/A 24158-2022 tillsynsbegäran.docx", "A 24158-2022")</f>
        <v/>
      </c>
      <c r="Y224">
        <f>HYPERLINK("https://klasma.github.io/Logging_1266/tillsynsmail/A 24158-2022 tillsynsbegäran mail.docx", "A 24158-2022")</f>
        <v/>
      </c>
    </row>
    <row r="225" ht="15" customHeight="1">
      <c r="A225" t="inlineStr">
        <is>
          <t>A 27958-2022</t>
        </is>
      </c>
      <c r="B225" s="1" t="n">
        <v>44744</v>
      </c>
      <c r="C225" s="1" t="n">
        <v>45585</v>
      </c>
      <c r="D225" t="inlineStr">
        <is>
          <t>SKÅNE LÄN</t>
        </is>
      </c>
      <c r="E225" t="inlineStr">
        <is>
          <t>HÄSSLEHOLM</t>
        </is>
      </c>
      <c r="G225" t="n">
        <v>3.9</v>
      </c>
      <c r="H225" t="n">
        <v>0</v>
      </c>
      <c r="I225" t="n">
        <v>1</v>
      </c>
      <c r="J225" t="n">
        <v>0</v>
      </c>
      <c r="K225" t="n">
        <v>0</v>
      </c>
      <c r="L225" t="n">
        <v>0</v>
      </c>
      <c r="M225" t="n">
        <v>0</v>
      </c>
      <c r="N225" t="n">
        <v>0</v>
      </c>
      <c r="O225" t="n">
        <v>0</v>
      </c>
      <c r="P225" t="n">
        <v>0</v>
      </c>
      <c r="Q225" t="n">
        <v>1</v>
      </c>
      <c r="R225" s="2" t="inlineStr">
        <is>
          <t>Myskmadra</t>
        </is>
      </c>
      <c r="S225">
        <f>HYPERLINK("https://klasma.github.io/Logging_1293/artfynd/A 27958-2022 artfynd.xlsx", "A 27958-2022")</f>
        <v/>
      </c>
      <c r="T225">
        <f>HYPERLINK("https://klasma.github.io/Logging_1293/kartor/A 27958-2022 karta.png", "A 27958-2022")</f>
        <v/>
      </c>
      <c r="V225">
        <f>HYPERLINK("https://klasma.github.io/Logging_1293/klagomål/A 27958-2022 FSC-klagomål.docx", "A 27958-2022")</f>
        <v/>
      </c>
      <c r="W225">
        <f>HYPERLINK("https://klasma.github.io/Logging_1293/klagomålsmail/A 27958-2022 FSC-klagomål mail.docx", "A 27958-2022")</f>
        <v/>
      </c>
      <c r="X225">
        <f>HYPERLINK("https://klasma.github.io/Logging_1293/tillsyn/A 27958-2022 tillsynsbegäran.docx", "A 27958-2022")</f>
        <v/>
      </c>
      <c r="Y225">
        <f>HYPERLINK("https://klasma.github.io/Logging_1293/tillsynsmail/A 27958-2022 tillsynsbegäran mail.docx", "A 27958-2022")</f>
        <v/>
      </c>
    </row>
    <row r="226" ht="15" customHeight="1">
      <c r="A226" t="inlineStr">
        <is>
          <t>A 28265-2022</t>
        </is>
      </c>
      <c r="B226" s="1" t="n">
        <v>44746</v>
      </c>
      <c r="C226" s="1" t="n">
        <v>45585</v>
      </c>
      <c r="D226" t="inlineStr">
        <is>
          <t>SKÅNE LÄN</t>
        </is>
      </c>
      <c r="E226" t="inlineStr">
        <is>
          <t>ÄNGELHOLM</t>
        </is>
      </c>
      <c r="G226" t="n">
        <v>3.3</v>
      </c>
      <c r="H226" t="n">
        <v>1</v>
      </c>
      <c r="I226" t="n">
        <v>0</v>
      </c>
      <c r="J226" t="n">
        <v>1</v>
      </c>
      <c r="K226" t="n">
        <v>0</v>
      </c>
      <c r="L226" t="n">
        <v>0</v>
      </c>
      <c r="M226" t="n">
        <v>0</v>
      </c>
      <c r="N226" t="n">
        <v>0</v>
      </c>
      <c r="O226" t="n">
        <v>1</v>
      </c>
      <c r="P226" t="n">
        <v>0</v>
      </c>
      <c r="Q226" t="n">
        <v>1</v>
      </c>
      <c r="R226" s="2" t="inlineStr">
        <is>
          <t>Havsörn</t>
        </is>
      </c>
      <c r="S226">
        <f>HYPERLINK("https://klasma.github.io/Logging_1292/artfynd/A 28265-2022 artfynd.xlsx", "A 28265-2022")</f>
        <v/>
      </c>
      <c r="T226">
        <f>HYPERLINK("https://klasma.github.io/Logging_1292/kartor/A 28265-2022 karta.png", "A 28265-2022")</f>
        <v/>
      </c>
      <c r="V226">
        <f>HYPERLINK("https://klasma.github.io/Logging_1292/klagomål/A 28265-2022 FSC-klagomål.docx", "A 28265-2022")</f>
        <v/>
      </c>
      <c r="W226">
        <f>HYPERLINK("https://klasma.github.io/Logging_1292/klagomålsmail/A 28265-2022 FSC-klagomål mail.docx", "A 28265-2022")</f>
        <v/>
      </c>
      <c r="X226">
        <f>HYPERLINK("https://klasma.github.io/Logging_1292/tillsyn/A 28265-2022 tillsynsbegäran.docx", "A 28265-2022")</f>
        <v/>
      </c>
      <c r="Y226">
        <f>HYPERLINK("https://klasma.github.io/Logging_1292/tillsynsmail/A 28265-2022 tillsynsbegäran mail.docx", "A 28265-2022")</f>
        <v/>
      </c>
      <c r="Z226">
        <f>HYPERLINK("https://klasma.github.io/Logging_1292/fåglar/A 28265-2022 prioriterade fågelarter.docx", "A 28265-2022")</f>
        <v/>
      </c>
    </row>
    <row r="227" ht="15" customHeight="1">
      <c r="A227" t="inlineStr">
        <is>
          <t>A 29858-2022</t>
        </is>
      </c>
      <c r="B227" s="1" t="n">
        <v>44756</v>
      </c>
      <c r="C227" s="1" t="n">
        <v>45585</v>
      </c>
      <c r="D227" t="inlineStr">
        <is>
          <t>SKÅNE LÄN</t>
        </is>
      </c>
      <c r="E227" t="inlineStr">
        <is>
          <t>YSTAD</t>
        </is>
      </c>
      <c r="G227" t="n">
        <v>0.5</v>
      </c>
      <c r="H227" t="n">
        <v>0</v>
      </c>
      <c r="I227" t="n">
        <v>0</v>
      </c>
      <c r="J227" t="n">
        <v>1</v>
      </c>
      <c r="K227" t="n">
        <v>0</v>
      </c>
      <c r="L227" t="n">
        <v>0</v>
      </c>
      <c r="M227" t="n">
        <v>0</v>
      </c>
      <c r="N227" t="n">
        <v>0</v>
      </c>
      <c r="O227" t="n">
        <v>1</v>
      </c>
      <c r="P227" t="n">
        <v>0</v>
      </c>
      <c r="Q227" t="n">
        <v>1</v>
      </c>
      <c r="R227" s="2" t="inlineStr">
        <is>
          <t>Igelkott</t>
        </is>
      </c>
      <c r="S227">
        <f>HYPERLINK("https://klasma.github.io/Logging_1286/artfynd/A 29858-2022 artfynd.xlsx", "A 29858-2022")</f>
        <v/>
      </c>
      <c r="T227">
        <f>HYPERLINK("https://klasma.github.io/Logging_1286/kartor/A 29858-2022 karta.png", "A 29858-2022")</f>
        <v/>
      </c>
      <c r="V227">
        <f>HYPERLINK("https://klasma.github.io/Logging_1286/klagomål/A 29858-2022 FSC-klagomål.docx", "A 29858-2022")</f>
        <v/>
      </c>
      <c r="W227">
        <f>HYPERLINK("https://klasma.github.io/Logging_1286/klagomålsmail/A 29858-2022 FSC-klagomål mail.docx", "A 29858-2022")</f>
        <v/>
      </c>
      <c r="X227">
        <f>HYPERLINK("https://klasma.github.io/Logging_1286/tillsyn/A 29858-2022 tillsynsbegäran.docx", "A 29858-2022")</f>
        <v/>
      </c>
      <c r="Y227">
        <f>HYPERLINK("https://klasma.github.io/Logging_1286/tillsynsmail/A 29858-2022 tillsynsbegäran mail.docx", "A 29858-2022")</f>
        <v/>
      </c>
    </row>
    <row r="228" ht="15" customHeight="1">
      <c r="A228" t="inlineStr">
        <is>
          <t>A 33491-2022</t>
        </is>
      </c>
      <c r="B228" s="1" t="n">
        <v>44788</v>
      </c>
      <c r="C228" s="1" t="n">
        <v>45585</v>
      </c>
      <c r="D228" t="inlineStr">
        <is>
          <t>SKÅNE LÄN</t>
        </is>
      </c>
      <c r="E228" t="inlineStr">
        <is>
          <t>OSBY</t>
        </is>
      </c>
      <c r="G228" t="n">
        <v>11.8</v>
      </c>
      <c r="H228" t="n">
        <v>0</v>
      </c>
      <c r="I228" t="n">
        <v>0</v>
      </c>
      <c r="J228" t="n">
        <v>0</v>
      </c>
      <c r="K228" t="n">
        <v>0</v>
      </c>
      <c r="L228" t="n">
        <v>0</v>
      </c>
      <c r="M228" t="n">
        <v>0</v>
      </c>
      <c r="N228" t="n">
        <v>1</v>
      </c>
      <c r="O228" t="n">
        <v>1</v>
      </c>
      <c r="P228" t="n">
        <v>0</v>
      </c>
      <c r="Q228" t="n">
        <v>1</v>
      </c>
      <c r="R228" s="2" t="inlineStr">
        <is>
          <t>Pimpinellros</t>
        </is>
      </c>
      <c r="S228">
        <f>HYPERLINK("https://klasma.github.io/Logging_1273/artfynd/A 33491-2022 artfynd.xlsx", "A 33491-2022")</f>
        <v/>
      </c>
      <c r="T228">
        <f>HYPERLINK("https://klasma.github.io/Logging_1273/kartor/A 33491-2022 karta.png", "A 33491-2022")</f>
        <v/>
      </c>
      <c r="V228">
        <f>HYPERLINK("https://klasma.github.io/Logging_1273/klagomål/A 33491-2022 FSC-klagomål.docx", "A 33491-2022")</f>
        <v/>
      </c>
      <c r="W228">
        <f>HYPERLINK("https://klasma.github.io/Logging_1273/klagomålsmail/A 33491-2022 FSC-klagomål mail.docx", "A 33491-2022")</f>
        <v/>
      </c>
      <c r="X228">
        <f>HYPERLINK("https://klasma.github.io/Logging_1273/tillsyn/A 33491-2022 tillsynsbegäran.docx", "A 33491-2022")</f>
        <v/>
      </c>
      <c r="Y228">
        <f>HYPERLINK("https://klasma.github.io/Logging_1273/tillsynsmail/A 33491-2022 tillsynsbegäran mail.docx", "A 33491-2022")</f>
        <v/>
      </c>
    </row>
    <row r="229" ht="15" customHeight="1">
      <c r="A229" t="inlineStr">
        <is>
          <t>A 36038-2022</t>
        </is>
      </c>
      <c r="B229" s="1" t="n">
        <v>44802</v>
      </c>
      <c r="C229" s="1" t="n">
        <v>45585</v>
      </c>
      <c r="D229" t="inlineStr">
        <is>
          <t>SKÅNE LÄN</t>
        </is>
      </c>
      <c r="E229" t="inlineStr">
        <is>
          <t>ÄNGELHOLM</t>
        </is>
      </c>
      <c r="G229" t="n">
        <v>1.7</v>
      </c>
      <c r="H229" t="n">
        <v>0</v>
      </c>
      <c r="I229" t="n">
        <v>1</v>
      </c>
      <c r="J229" t="n">
        <v>0</v>
      </c>
      <c r="K229" t="n">
        <v>0</v>
      </c>
      <c r="L229" t="n">
        <v>0</v>
      </c>
      <c r="M229" t="n">
        <v>0</v>
      </c>
      <c r="N229" t="n">
        <v>0</v>
      </c>
      <c r="O229" t="n">
        <v>0</v>
      </c>
      <c r="P229" t="n">
        <v>0</v>
      </c>
      <c r="Q229" t="n">
        <v>1</v>
      </c>
      <c r="R229" s="2" t="inlineStr">
        <is>
          <t>Västlig hakmossa</t>
        </is>
      </c>
      <c r="S229">
        <f>HYPERLINK("https://klasma.github.io/Logging_1292/artfynd/A 36038-2022 artfynd.xlsx", "A 36038-2022")</f>
        <v/>
      </c>
      <c r="T229">
        <f>HYPERLINK("https://klasma.github.io/Logging_1292/kartor/A 36038-2022 karta.png", "A 36038-2022")</f>
        <v/>
      </c>
      <c r="V229">
        <f>HYPERLINK("https://klasma.github.io/Logging_1292/klagomål/A 36038-2022 FSC-klagomål.docx", "A 36038-2022")</f>
        <v/>
      </c>
      <c r="W229">
        <f>HYPERLINK("https://klasma.github.io/Logging_1292/klagomålsmail/A 36038-2022 FSC-klagomål mail.docx", "A 36038-2022")</f>
        <v/>
      </c>
      <c r="X229">
        <f>HYPERLINK("https://klasma.github.io/Logging_1292/tillsyn/A 36038-2022 tillsynsbegäran.docx", "A 36038-2022")</f>
        <v/>
      </c>
      <c r="Y229">
        <f>HYPERLINK("https://klasma.github.io/Logging_1292/tillsynsmail/A 36038-2022 tillsynsbegäran mail.docx", "A 36038-2022")</f>
        <v/>
      </c>
    </row>
    <row r="230" ht="15" customHeight="1">
      <c r="A230" t="inlineStr">
        <is>
          <t>A 38643-2022</t>
        </is>
      </c>
      <c r="B230" s="1" t="n">
        <v>44813</v>
      </c>
      <c r="C230" s="1" t="n">
        <v>45585</v>
      </c>
      <c r="D230" t="inlineStr">
        <is>
          <t>SKÅNE LÄN</t>
        </is>
      </c>
      <c r="E230" t="inlineStr">
        <is>
          <t>OSBY</t>
        </is>
      </c>
      <c r="F230" t="inlineStr">
        <is>
          <t>Kyrkan</t>
        </is>
      </c>
      <c r="G230" t="n">
        <v>9.5</v>
      </c>
      <c r="H230" t="n">
        <v>0</v>
      </c>
      <c r="I230" t="n">
        <v>1</v>
      </c>
      <c r="J230" t="n">
        <v>0</v>
      </c>
      <c r="K230" t="n">
        <v>0</v>
      </c>
      <c r="L230" t="n">
        <v>0</v>
      </c>
      <c r="M230" t="n">
        <v>0</v>
      </c>
      <c r="N230" t="n">
        <v>0</v>
      </c>
      <c r="O230" t="n">
        <v>0</v>
      </c>
      <c r="P230" t="n">
        <v>0</v>
      </c>
      <c r="Q230" t="n">
        <v>1</v>
      </c>
      <c r="R230" s="2" t="inlineStr">
        <is>
          <t>Havstulpanlav</t>
        </is>
      </c>
      <c r="S230">
        <f>HYPERLINK("https://klasma.github.io/Logging_1273/artfynd/A 38643-2022 artfynd.xlsx", "A 38643-2022")</f>
        <v/>
      </c>
      <c r="T230">
        <f>HYPERLINK("https://klasma.github.io/Logging_1273/kartor/A 38643-2022 karta.png", "A 38643-2022")</f>
        <v/>
      </c>
      <c r="V230">
        <f>HYPERLINK("https://klasma.github.io/Logging_1273/klagomål/A 38643-2022 FSC-klagomål.docx", "A 38643-2022")</f>
        <v/>
      </c>
      <c r="W230">
        <f>HYPERLINK("https://klasma.github.io/Logging_1273/klagomålsmail/A 38643-2022 FSC-klagomål mail.docx", "A 38643-2022")</f>
        <v/>
      </c>
      <c r="X230">
        <f>HYPERLINK("https://klasma.github.io/Logging_1273/tillsyn/A 38643-2022 tillsynsbegäran.docx", "A 38643-2022")</f>
        <v/>
      </c>
      <c r="Y230">
        <f>HYPERLINK("https://klasma.github.io/Logging_1273/tillsynsmail/A 38643-2022 tillsynsbegäran mail.docx", "A 38643-2022")</f>
        <v/>
      </c>
    </row>
    <row r="231" ht="15" customHeight="1">
      <c r="A231" t="inlineStr">
        <is>
          <t>A 39733-2022</t>
        </is>
      </c>
      <c r="B231" s="1" t="n">
        <v>44819</v>
      </c>
      <c r="C231" s="1" t="n">
        <v>45585</v>
      </c>
      <c r="D231" t="inlineStr">
        <is>
          <t>SKÅNE LÄN</t>
        </is>
      </c>
      <c r="E231" t="inlineStr">
        <is>
          <t>HÄSSLEHOLM</t>
        </is>
      </c>
      <c r="G231" t="n">
        <v>1.9</v>
      </c>
      <c r="H231" t="n">
        <v>1</v>
      </c>
      <c r="I231" t="n">
        <v>0</v>
      </c>
      <c r="J231" t="n">
        <v>1</v>
      </c>
      <c r="K231" t="n">
        <v>0</v>
      </c>
      <c r="L231" t="n">
        <v>0</v>
      </c>
      <c r="M231" t="n">
        <v>0</v>
      </c>
      <c r="N231" t="n">
        <v>0</v>
      </c>
      <c r="O231" t="n">
        <v>1</v>
      </c>
      <c r="P231" t="n">
        <v>0</v>
      </c>
      <c r="Q231" t="n">
        <v>1</v>
      </c>
      <c r="R231" s="2" t="inlineStr">
        <is>
          <t>Spillkråka</t>
        </is>
      </c>
      <c r="S231">
        <f>HYPERLINK("https://klasma.github.io/Logging_1293/artfynd/A 39733-2022 artfynd.xlsx", "A 39733-2022")</f>
        <v/>
      </c>
      <c r="T231">
        <f>HYPERLINK("https://klasma.github.io/Logging_1293/kartor/A 39733-2022 karta.png", "A 39733-2022")</f>
        <v/>
      </c>
      <c r="V231">
        <f>HYPERLINK("https://klasma.github.io/Logging_1293/klagomål/A 39733-2022 FSC-klagomål.docx", "A 39733-2022")</f>
        <v/>
      </c>
      <c r="W231">
        <f>HYPERLINK("https://klasma.github.io/Logging_1293/klagomålsmail/A 39733-2022 FSC-klagomål mail.docx", "A 39733-2022")</f>
        <v/>
      </c>
      <c r="X231">
        <f>HYPERLINK("https://klasma.github.io/Logging_1293/tillsyn/A 39733-2022 tillsynsbegäran.docx", "A 39733-2022")</f>
        <v/>
      </c>
      <c r="Y231">
        <f>HYPERLINK("https://klasma.github.io/Logging_1293/tillsynsmail/A 39733-2022 tillsynsbegäran mail.docx", "A 39733-2022")</f>
        <v/>
      </c>
      <c r="Z231">
        <f>HYPERLINK("https://klasma.github.io/Logging_1293/fåglar/A 39733-2022 prioriterade fågelarter.docx", "A 39733-2022")</f>
        <v/>
      </c>
    </row>
    <row r="232" ht="15" customHeight="1">
      <c r="A232" t="inlineStr">
        <is>
          <t>A 40135-2022</t>
        </is>
      </c>
      <c r="B232" s="1" t="n">
        <v>44820</v>
      </c>
      <c r="C232" s="1" t="n">
        <v>45585</v>
      </c>
      <c r="D232" t="inlineStr">
        <is>
          <t>SKÅNE LÄN</t>
        </is>
      </c>
      <c r="E232" t="inlineStr">
        <is>
          <t>ÖSTRA GÖINGE</t>
        </is>
      </c>
      <c r="G232" t="n">
        <v>3.7</v>
      </c>
      <c r="H232" t="n">
        <v>0</v>
      </c>
      <c r="I232" t="n">
        <v>1</v>
      </c>
      <c r="J232" t="n">
        <v>0</v>
      </c>
      <c r="K232" t="n">
        <v>0</v>
      </c>
      <c r="L232" t="n">
        <v>0</v>
      </c>
      <c r="M232" t="n">
        <v>0</v>
      </c>
      <c r="N232" t="n">
        <v>0</v>
      </c>
      <c r="O232" t="n">
        <v>0</v>
      </c>
      <c r="P232" t="n">
        <v>0</v>
      </c>
      <c r="Q232" t="n">
        <v>1</v>
      </c>
      <c r="R232" s="2" t="inlineStr">
        <is>
          <t>Fällmossa</t>
        </is>
      </c>
      <c r="S232">
        <f>HYPERLINK("https://klasma.github.io/Logging_1256/artfynd/A 40135-2022 artfynd.xlsx", "A 40135-2022")</f>
        <v/>
      </c>
      <c r="T232">
        <f>HYPERLINK("https://klasma.github.io/Logging_1256/kartor/A 40135-2022 karta.png", "A 40135-2022")</f>
        <v/>
      </c>
      <c r="V232">
        <f>HYPERLINK("https://klasma.github.io/Logging_1256/klagomål/A 40135-2022 FSC-klagomål.docx", "A 40135-2022")</f>
        <v/>
      </c>
      <c r="W232">
        <f>HYPERLINK("https://klasma.github.io/Logging_1256/klagomålsmail/A 40135-2022 FSC-klagomål mail.docx", "A 40135-2022")</f>
        <v/>
      </c>
      <c r="X232">
        <f>HYPERLINK("https://klasma.github.io/Logging_1256/tillsyn/A 40135-2022 tillsynsbegäran.docx", "A 40135-2022")</f>
        <v/>
      </c>
      <c r="Y232">
        <f>HYPERLINK("https://klasma.github.io/Logging_1256/tillsynsmail/A 40135-2022 tillsynsbegäran mail.docx", "A 40135-2022")</f>
        <v/>
      </c>
    </row>
    <row r="233" ht="15" customHeight="1">
      <c r="A233" t="inlineStr">
        <is>
          <t>A 40904-2022</t>
        </is>
      </c>
      <c r="B233" s="1" t="n">
        <v>44820</v>
      </c>
      <c r="C233" s="1" t="n">
        <v>45585</v>
      </c>
      <c r="D233" t="inlineStr">
        <is>
          <t>SKÅNE LÄN</t>
        </is>
      </c>
      <c r="E233" t="inlineStr">
        <is>
          <t>ÖSTRA GÖINGE</t>
        </is>
      </c>
      <c r="G233" t="n">
        <v>4.1</v>
      </c>
      <c r="H233" t="n">
        <v>0</v>
      </c>
      <c r="I233" t="n">
        <v>0</v>
      </c>
      <c r="J233" t="n">
        <v>1</v>
      </c>
      <c r="K233" t="n">
        <v>0</v>
      </c>
      <c r="L233" t="n">
        <v>0</v>
      </c>
      <c r="M233" t="n">
        <v>0</v>
      </c>
      <c r="N233" t="n">
        <v>0</v>
      </c>
      <c r="O233" t="n">
        <v>1</v>
      </c>
      <c r="P233" t="n">
        <v>0</v>
      </c>
      <c r="Q233" t="n">
        <v>1</v>
      </c>
      <c r="R233" s="2" t="inlineStr">
        <is>
          <t>Igelkott</t>
        </is>
      </c>
      <c r="S233">
        <f>HYPERLINK("https://klasma.github.io/Logging_1256/artfynd/A 40904-2022 artfynd.xlsx", "A 40904-2022")</f>
        <v/>
      </c>
      <c r="T233">
        <f>HYPERLINK("https://klasma.github.io/Logging_1256/kartor/A 40904-2022 karta.png", "A 40904-2022")</f>
        <v/>
      </c>
      <c r="V233">
        <f>HYPERLINK("https://klasma.github.io/Logging_1256/klagomål/A 40904-2022 FSC-klagomål.docx", "A 40904-2022")</f>
        <v/>
      </c>
      <c r="W233">
        <f>HYPERLINK("https://klasma.github.io/Logging_1256/klagomålsmail/A 40904-2022 FSC-klagomål mail.docx", "A 40904-2022")</f>
        <v/>
      </c>
      <c r="X233">
        <f>HYPERLINK("https://klasma.github.io/Logging_1256/tillsyn/A 40904-2022 tillsynsbegäran.docx", "A 40904-2022")</f>
        <v/>
      </c>
      <c r="Y233">
        <f>HYPERLINK("https://klasma.github.io/Logging_1256/tillsynsmail/A 40904-2022 tillsynsbegäran mail.docx", "A 40904-2022")</f>
        <v/>
      </c>
    </row>
    <row r="234" ht="15" customHeight="1">
      <c r="A234" t="inlineStr">
        <is>
          <t>A 41004-2022</t>
        </is>
      </c>
      <c r="B234" s="1" t="n">
        <v>44825</v>
      </c>
      <c r="C234" s="1" t="n">
        <v>45585</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41275-2022</t>
        </is>
      </c>
      <c r="B235" s="1" t="n">
        <v>44826</v>
      </c>
      <c r="C235" s="1" t="n">
        <v>45585</v>
      </c>
      <c r="D235" t="inlineStr">
        <is>
          <t>SKÅNE LÄN</t>
        </is>
      </c>
      <c r="E235" t="inlineStr">
        <is>
          <t>KRISTIANSTAD</t>
        </is>
      </c>
      <c r="G235" t="n">
        <v>2.9</v>
      </c>
      <c r="H235" t="n">
        <v>1</v>
      </c>
      <c r="I235" t="n">
        <v>0</v>
      </c>
      <c r="J235" t="n">
        <v>0</v>
      </c>
      <c r="K235" t="n">
        <v>0</v>
      </c>
      <c r="L235" t="n">
        <v>1</v>
      </c>
      <c r="M235" t="n">
        <v>0</v>
      </c>
      <c r="N235" t="n">
        <v>0</v>
      </c>
      <c r="O235" t="n">
        <v>1</v>
      </c>
      <c r="P235" t="n">
        <v>1</v>
      </c>
      <c r="Q235" t="n">
        <v>1</v>
      </c>
      <c r="R235" s="2" t="inlineStr">
        <is>
          <t>Praktnejlika</t>
        </is>
      </c>
      <c r="S235">
        <f>HYPERLINK("https://klasma.github.io/Logging_1290/artfynd/A 41275-2022 artfynd.xlsx", "A 41275-2022")</f>
        <v/>
      </c>
      <c r="T235">
        <f>HYPERLINK("https://klasma.github.io/Logging_1290/kartor/A 41275-2022 karta.png", "A 41275-2022")</f>
        <v/>
      </c>
      <c r="V235">
        <f>HYPERLINK("https://klasma.github.io/Logging_1290/klagomål/A 41275-2022 FSC-klagomål.docx", "A 41275-2022")</f>
        <v/>
      </c>
      <c r="W235">
        <f>HYPERLINK("https://klasma.github.io/Logging_1290/klagomålsmail/A 41275-2022 FSC-klagomål mail.docx", "A 41275-2022")</f>
        <v/>
      </c>
      <c r="X235">
        <f>HYPERLINK("https://klasma.github.io/Logging_1290/tillsyn/A 41275-2022 tillsynsbegäran.docx", "A 41275-2022")</f>
        <v/>
      </c>
      <c r="Y235">
        <f>HYPERLINK("https://klasma.github.io/Logging_1290/tillsynsmail/A 41275-2022 tillsynsbegäran mail.docx", "A 41275-2022")</f>
        <v/>
      </c>
    </row>
    <row r="236" ht="15" customHeight="1">
      <c r="A236" t="inlineStr">
        <is>
          <t>A 45334-2022</t>
        </is>
      </c>
      <c r="B236" s="1" t="n">
        <v>44844</v>
      </c>
      <c r="C236" s="1" t="n">
        <v>45585</v>
      </c>
      <c r="D236" t="inlineStr">
        <is>
          <t>SKÅNE LÄN</t>
        </is>
      </c>
      <c r="E236" t="inlineStr">
        <is>
          <t>HÖRBY</t>
        </is>
      </c>
      <c r="F236" t="inlineStr">
        <is>
          <t>Sveaskog</t>
        </is>
      </c>
      <c r="G236" t="n">
        <v>4.7</v>
      </c>
      <c r="H236" t="n">
        <v>0</v>
      </c>
      <c r="I236" t="n">
        <v>1</v>
      </c>
      <c r="J236" t="n">
        <v>0</v>
      </c>
      <c r="K236" t="n">
        <v>0</v>
      </c>
      <c r="L236" t="n">
        <v>0</v>
      </c>
      <c r="M236" t="n">
        <v>0</v>
      </c>
      <c r="N236" t="n">
        <v>0</v>
      </c>
      <c r="O236" t="n">
        <v>0</v>
      </c>
      <c r="P236" t="n">
        <v>0</v>
      </c>
      <c r="Q236" t="n">
        <v>1</v>
      </c>
      <c r="R236" s="2" t="inlineStr">
        <is>
          <t>Strutbräken</t>
        </is>
      </c>
      <c r="S236">
        <f>HYPERLINK("https://klasma.github.io/Logging_1266/artfynd/A 45334-2022 artfynd.xlsx", "A 45334-2022")</f>
        <v/>
      </c>
      <c r="T236">
        <f>HYPERLINK("https://klasma.github.io/Logging_1266/kartor/A 45334-2022 karta.png", "A 45334-2022")</f>
        <v/>
      </c>
      <c r="V236">
        <f>HYPERLINK("https://klasma.github.io/Logging_1266/klagomål/A 45334-2022 FSC-klagomål.docx", "A 45334-2022")</f>
        <v/>
      </c>
      <c r="W236">
        <f>HYPERLINK("https://klasma.github.io/Logging_1266/klagomålsmail/A 45334-2022 FSC-klagomål mail.docx", "A 45334-2022")</f>
        <v/>
      </c>
      <c r="X236">
        <f>HYPERLINK("https://klasma.github.io/Logging_1266/tillsyn/A 45334-2022 tillsynsbegäran.docx", "A 45334-2022")</f>
        <v/>
      </c>
      <c r="Y236">
        <f>HYPERLINK("https://klasma.github.io/Logging_1266/tillsynsmail/A 45334-2022 tillsynsbegäran mail.docx", "A 45334-2022")</f>
        <v/>
      </c>
    </row>
    <row r="237" ht="15" customHeight="1">
      <c r="A237" t="inlineStr">
        <is>
          <t>A 45802-2022</t>
        </is>
      </c>
      <c r="B237" s="1" t="n">
        <v>44844</v>
      </c>
      <c r="C237" s="1" t="n">
        <v>45585</v>
      </c>
      <c r="D237" t="inlineStr">
        <is>
          <t>SKÅNE LÄN</t>
        </is>
      </c>
      <c r="E237" t="inlineStr">
        <is>
          <t>SIMRISHAMN</t>
        </is>
      </c>
      <c r="G237" t="n">
        <v>1.2</v>
      </c>
      <c r="H237" t="n">
        <v>0</v>
      </c>
      <c r="I237" t="n">
        <v>0</v>
      </c>
      <c r="J237" t="n">
        <v>0</v>
      </c>
      <c r="K237" t="n">
        <v>0</v>
      </c>
      <c r="L237" t="n">
        <v>1</v>
      </c>
      <c r="M237" t="n">
        <v>0</v>
      </c>
      <c r="N237" t="n">
        <v>0</v>
      </c>
      <c r="O237" t="n">
        <v>1</v>
      </c>
      <c r="P237" t="n">
        <v>1</v>
      </c>
      <c r="Q237" t="n">
        <v>1</v>
      </c>
      <c r="R237" s="2" t="inlineStr">
        <is>
          <t>Hartsticka</t>
        </is>
      </c>
      <c r="S237">
        <f>HYPERLINK("https://klasma.github.io/Logging_1291/artfynd/A 45802-2022 artfynd.xlsx", "A 45802-2022")</f>
        <v/>
      </c>
      <c r="T237">
        <f>HYPERLINK("https://klasma.github.io/Logging_1291/kartor/A 45802-2022 karta.png", "A 45802-2022")</f>
        <v/>
      </c>
      <c r="V237">
        <f>HYPERLINK("https://klasma.github.io/Logging_1291/klagomål/A 45802-2022 FSC-klagomål.docx", "A 45802-2022")</f>
        <v/>
      </c>
      <c r="W237">
        <f>HYPERLINK("https://klasma.github.io/Logging_1291/klagomålsmail/A 45802-2022 FSC-klagomål mail.docx", "A 45802-2022")</f>
        <v/>
      </c>
      <c r="X237">
        <f>HYPERLINK("https://klasma.github.io/Logging_1291/tillsyn/A 45802-2022 tillsynsbegäran.docx", "A 45802-2022")</f>
        <v/>
      </c>
      <c r="Y237">
        <f>HYPERLINK("https://klasma.github.io/Logging_1291/tillsynsmail/A 45802-2022 tillsynsbegäran mail.docx", "A 45802-2022")</f>
        <v/>
      </c>
    </row>
    <row r="238" ht="15" customHeight="1">
      <c r="A238" t="inlineStr">
        <is>
          <t>A 46195-2022</t>
        </is>
      </c>
      <c r="B238" s="1" t="n">
        <v>44845</v>
      </c>
      <c r="C238" s="1" t="n">
        <v>45585</v>
      </c>
      <c r="D238" t="inlineStr">
        <is>
          <t>SKÅNE LÄN</t>
        </is>
      </c>
      <c r="E238" t="inlineStr">
        <is>
          <t>PERSTORP</t>
        </is>
      </c>
      <c r="G238" t="n">
        <v>0.7</v>
      </c>
      <c r="H238" t="n">
        <v>0</v>
      </c>
      <c r="I238" t="n">
        <v>1</v>
      </c>
      <c r="J238" t="n">
        <v>0</v>
      </c>
      <c r="K238" t="n">
        <v>0</v>
      </c>
      <c r="L238" t="n">
        <v>0</v>
      </c>
      <c r="M238" t="n">
        <v>0</v>
      </c>
      <c r="N238" t="n">
        <v>0</v>
      </c>
      <c r="O238" t="n">
        <v>0</v>
      </c>
      <c r="P238" t="n">
        <v>0</v>
      </c>
      <c r="Q238" t="n">
        <v>1</v>
      </c>
      <c r="R238" s="2" t="inlineStr">
        <is>
          <t>Brandticka</t>
        </is>
      </c>
      <c r="S238">
        <f>HYPERLINK("https://klasma.github.io/Logging_1275/artfynd/A 46195-2022 artfynd.xlsx", "A 46195-2022")</f>
        <v/>
      </c>
      <c r="T238">
        <f>HYPERLINK("https://klasma.github.io/Logging_1275/kartor/A 46195-2022 karta.png", "A 46195-2022")</f>
        <v/>
      </c>
      <c r="V238">
        <f>HYPERLINK("https://klasma.github.io/Logging_1275/klagomål/A 46195-2022 FSC-klagomål.docx", "A 46195-2022")</f>
        <v/>
      </c>
      <c r="W238">
        <f>HYPERLINK("https://klasma.github.io/Logging_1275/klagomålsmail/A 46195-2022 FSC-klagomål mail.docx", "A 46195-2022")</f>
        <v/>
      </c>
      <c r="X238">
        <f>HYPERLINK("https://klasma.github.io/Logging_1275/tillsyn/A 46195-2022 tillsynsbegäran.docx", "A 46195-2022")</f>
        <v/>
      </c>
      <c r="Y238">
        <f>HYPERLINK("https://klasma.github.io/Logging_1275/tillsynsmail/A 46195-2022 tillsynsbegäran mail.docx", "A 46195-2022")</f>
        <v/>
      </c>
    </row>
    <row r="239" ht="15" customHeight="1">
      <c r="A239" t="inlineStr">
        <is>
          <t>A 46232-2022</t>
        </is>
      </c>
      <c r="B239" s="1" t="n">
        <v>44847</v>
      </c>
      <c r="C239" s="1" t="n">
        <v>45585</v>
      </c>
      <c r="D239" t="inlineStr">
        <is>
          <t>SKÅNE LÄN</t>
        </is>
      </c>
      <c r="E239" t="inlineStr">
        <is>
          <t>SVALÖV</t>
        </is>
      </c>
      <c r="G239" t="n">
        <v>3.8</v>
      </c>
      <c r="H239" t="n">
        <v>0</v>
      </c>
      <c r="I239" t="n">
        <v>0</v>
      </c>
      <c r="J239" t="n">
        <v>1</v>
      </c>
      <c r="K239" t="n">
        <v>0</v>
      </c>
      <c r="L239" t="n">
        <v>0</v>
      </c>
      <c r="M239" t="n">
        <v>0</v>
      </c>
      <c r="N239" t="n">
        <v>0</v>
      </c>
      <c r="O239" t="n">
        <v>1</v>
      </c>
      <c r="P239" t="n">
        <v>0</v>
      </c>
      <c r="Q239" t="n">
        <v>1</v>
      </c>
      <c r="R239" s="2" t="inlineStr">
        <is>
          <t>Igelkott</t>
        </is>
      </c>
      <c r="S239">
        <f>HYPERLINK("https://klasma.github.io/Logging_1214/artfynd/A 46232-2022 artfynd.xlsx", "A 46232-2022")</f>
        <v/>
      </c>
      <c r="T239">
        <f>HYPERLINK("https://klasma.github.io/Logging_1214/kartor/A 46232-2022 karta.png", "A 46232-2022")</f>
        <v/>
      </c>
      <c r="V239">
        <f>HYPERLINK("https://klasma.github.io/Logging_1214/klagomål/A 46232-2022 FSC-klagomål.docx", "A 46232-2022")</f>
        <v/>
      </c>
      <c r="W239">
        <f>HYPERLINK("https://klasma.github.io/Logging_1214/klagomålsmail/A 46232-2022 FSC-klagomål mail.docx", "A 46232-2022")</f>
        <v/>
      </c>
      <c r="X239">
        <f>HYPERLINK("https://klasma.github.io/Logging_1214/tillsyn/A 46232-2022 tillsynsbegäran.docx", "A 46232-2022")</f>
        <v/>
      </c>
      <c r="Y239">
        <f>HYPERLINK("https://klasma.github.io/Logging_1214/tillsynsmail/A 46232-2022 tillsynsbegäran mail.docx", "A 46232-2022")</f>
        <v/>
      </c>
    </row>
    <row r="240" ht="15" customHeight="1">
      <c r="A240" t="inlineStr">
        <is>
          <t>A 47612-2022</t>
        </is>
      </c>
      <c r="B240" s="1" t="n">
        <v>44852</v>
      </c>
      <c r="C240" s="1" t="n">
        <v>45585</v>
      </c>
      <c r="D240" t="inlineStr">
        <is>
          <t>SKÅNE LÄN</t>
        </is>
      </c>
      <c r="E240" t="inlineStr">
        <is>
          <t>OSBY</t>
        </is>
      </c>
      <c r="F240" t="inlineStr">
        <is>
          <t>Kyrkan</t>
        </is>
      </c>
      <c r="G240" t="n">
        <v>16.4</v>
      </c>
      <c r="H240" t="n">
        <v>1</v>
      </c>
      <c r="I240" t="n">
        <v>0</v>
      </c>
      <c r="J240" t="n">
        <v>1</v>
      </c>
      <c r="K240" t="n">
        <v>0</v>
      </c>
      <c r="L240" t="n">
        <v>0</v>
      </c>
      <c r="M240" t="n">
        <v>0</v>
      </c>
      <c r="N240" t="n">
        <v>0</v>
      </c>
      <c r="O240" t="n">
        <v>1</v>
      </c>
      <c r="P240" t="n">
        <v>0</v>
      </c>
      <c r="Q240" t="n">
        <v>1</v>
      </c>
      <c r="R240" s="2" t="inlineStr">
        <is>
          <t>Ärtsångare</t>
        </is>
      </c>
      <c r="S240">
        <f>HYPERLINK("https://klasma.github.io/Logging_1273/artfynd/A 47612-2022 artfynd.xlsx", "A 47612-2022")</f>
        <v/>
      </c>
      <c r="T240">
        <f>HYPERLINK("https://klasma.github.io/Logging_1273/kartor/A 47612-2022 karta.png", "A 47612-2022")</f>
        <v/>
      </c>
      <c r="V240">
        <f>HYPERLINK("https://klasma.github.io/Logging_1273/klagomål/A 47612-2022 FSC-klagomål.docx", "A 47612-2022")</f>
        <v/>
      </c>
      <c r="W240">
        <f>HYPERLINK("https://klasma.github.io/Logging_1273/klagomålsmail/A 47612-2022 FSC-klagomål mail.docx", "A 47612-2022")</f>
        <v/>
      </c>
      <c r="X240">
        <f>HYPERLINK("https://klasma.github.io/Logging_1273/tillsyn/A 47612-2022 tillsynsbegäran.docx", "A 47612-2022")</f>
        <v/>
      </c>
      <c r="Y240">
        <f>HYPERLINK("https://klasma.github.io/Logging_1273/tillsynsmail/A 47612-2022 tillsynsbegäran mail.docx", "A 47612-2022")</f>
        <v/>
      </c>
      <c r="Z240">
        <f>HYPERLINK("https://klasma.github.io/Logging_1273/fåglar/A 47612-2022 prioriterade fågelarter.docx", "A 47612-2022")</f>
        <v/>
      </c>
    </row>
    <row r="241" ht="15" customHeight="1">
      <c r="A241" t="inlineStr">
        <is>
          <t>A 50118-2022</t>
        </is>
      </c>
      <c r="B241" s="1" t="n">
        <v>44860</v>
      </c>
      <c r="C241" s="1" t="n">
        <v>45585</v>
      </c>
      <c r="D241" t="inlineStr">
        <is>
          <t>SKÅNE LÄN</t>
        </is>
      </c>
      <c r="E241" t="inlineStr">
        <is>
          <t>BROMÖLLA</t>
        </is>
      </c>
      <c r="G241" t="n">
        <v>12.8</v>
      </c>
      <c r="H241" t="n">
        <v>0</v>
      </c>
      <c r="I241" t="n">
        <v>1</v>
      </c>
      <c r="J241" t="n">
        <v>0</v>
      </c>
      <c r="K241" t="n">
        <v>0</v>
      </c>
      <c r="L241" t="n">
        <v>0</v>
      </c>
      <c r="M241" t="n">
        <v>0</v>
      </c>
      <c r="N241" t="n">
        <v>0</v>
      </c>
      <c r="O241" t="n">
        <v>0</v>
      </c>
      <c r="P241" t="n">
        <v>0</v>
      </c>
      <c r="Q241" t="n">
        <v>1</v>
      </c>
      <c r="R241" s="2" t="inlineStr">
        <is>
          <t>Myskmadra</t>
        </is>
      </c>
      <c r="S241">
        <f>HYPERLINK("https://klasma.github.io/Logging_1272/artfynd/A 50118-2022 artfynd.xlsx", "A 50118-2022")</f>
        <v/>
      </c>
      <c r="T241">
        <f>HYPERLINK("https://klasma.github.io/Logging_1272/kartor/A 50118-2022 karta.png", "A 50118-2022")</f>
        <v/>
      </c>
      <c r="V241">
        <f>HYPERLINK("https://klasma.github.io/Logging_1272/klagomål/A 50118-2022 FSC-klagomål.docx", "A 50118-2022")</f>
        <v/>
      </c>
      <c r="W241">
        <f>HYPERLINK("https://klasma.github.io/Logging_1272/klagomålsmail/A 50118-2022 FSC-klagomål mail.docx", "A 50118-2022")</f>
        <v/>
      </c>
      <c r="X241">
        <f>HYPERLINK("https://klasma.github.io/Logging_1272/tillsyn/A 50118-2022 tillsynsbegäran.docx", "A 50118-2022")</f>
        <v/>
      </c>
      <c r="Y241">
        <f>HYPERLINK("https://klasma.github.io/Logging_1272/tillsynsmail/A 50118-2022 tillsynsbegäran mail.docx", "A 50118-2022")</f>
        <v/>
      </c>
    </row>
    <row r="242" ht="15" customHeight="1">
      <c r="A242" t="inlineStr">
        <is>
          <t>A 49572-2022</t>
        </is>
      </c>
      <c r="B242" s="1" t="n">
        <v>44862</v>
      </c>
      <c r="C242" s="1" t="n">
        <v>45585</v>
      </c>
      <c r="D242" t="inlineStr">
        <is>
          <t>SKÅNE LÄN</t>
        </is>
      </c>
      <c r="E242" t="inlineStr">
        <is>
          <t>HÄSSLEHOLM</t>
        </is>
      </c>
      <c r="G242" t="n">
        <v>1.4</v>
      </c>
      <c r="H242" t="n">
        <v>0</v>
      </c>
      <c r="I242" t="n">
        <v>1</v>
      </c>
      <c r="J242" t="n">
        <v>0</v>
      </c>
      <c r="K242" t="n">
        <v>0</v>
      </c>
      <c r="L242" t="n">
        <v>0</v>
      </c>
      <c r="M242" t="n">
        <v>0</v>
      </c>
      <c r="N242" t="n">
        <v>0</v>
      </c>
      <c r="O242" t="n">
        <v>0</v>
      </c>
      <c r="P242" t="n">
        <v>0</v>
      </c>
      <c r="Q242" t="n">
        <v>1</v>
      </c>
      <c r="R242" s="2" t="inlineStr">
        <is>
          <t>Blåmossa</t>
        </is>
      </c>
      <c r="S242">
        <f>HYPERLINK("https://klasma.github.io/Logging_1293/artfynd/A 49572-2022 artfynd.xlsx", "A 49572-2022")</f>
        <v/>
      </c>
      <c r="T242">
        <f>HYPERLINK("https://klasma.github.io/Logging_1293/kartor/A 49572-2022 karta.png", "A 49572-2022")</f>
        <v/>
      </c>
      <c r="V242">
        <f>HYPERLINK("https://klasma.github.io/Logging_1293/klagomål/A 49572-2022 FSC-klagomål.docx", "A 49572-2022")</f>
        <v/>
      </c>
      <c r="W242">
        <f>HYPERLINK("https://klasma.github.io/Logging_1293/klagomålsmail/A 49572-2022 FSC-klagomål mail.docx", "A 49572-2022")</f>
        <v/>
      </c>
      <c r="X242">
        <f>HYPERLINK("https://klasma.github.io/Logging_1293/tillsyn/A 49572-2022 tillsynsbegäran.docx", "A 49572-2022")</f>
        <v/>
      </c>
      <c r="Y242">
        <f>HYPERLINK("https://klasma.github.io/Logging_1293/tillsynsmail/A 49572-2022 tillsynsbegäran mail.docx", "A 49572-2022")</f>
        <v/>
      </c>
    </row>
    <row r="243" ht="15" customHeight="1">
      <c r="A243" t="inlineStr">
        <is>
          <t>A 56294-2022</t>
        </is>
      </c>
      <c r="B243" s="1" t="n">
        <v>44887</v>
      </c>
      <c r="C243" s="1" t="n">
        <v>45585</v>
      </c>
      <c r="D243" t="inlineStr">
        <is>
          <t>SKÅNE LÄN</t>
        </is>
      </c>
      <c r="E243" t="inlineStr">
        <is>
          <t>SJÖBO</t>
        </is>
      </c>
      <c r="G243" t="n">
        <v>4.6</v>
      </c>
      <c r="H243" t="n">
        <v>0</v>
      </c>
      <c r="I243" t="n">
        <v>1</v>
      </c>
      <c r="J243" t="n">
        <v>0</v>
      </c>
      <c r="K243" t="n">
        <v>0</v>
      </c>
      <c r="L243" t="n">
        <v>0</v>
      </c>
      <c r="M243" t="n">
        <v>0</v>
      </c>
      <c r="N243" t="n">
        <v>0</v>
      </c>
      <c r="O243" t="n">
        <v>0</v>
      </c>
      <c r="P243" t="n">
        <v>0</v>
      </c>
      <c r="Q243" t="n">
        <v>1</v>
      </c>
      <c r="R243" s="2" t="inlineStr">
        <is>
          <t>Strävlosta</t>
        </is>
      </c>
      <c r="S243">
        <f>HYPERLINK("https://klasma.github.io/Logging_1265/artfynd/A 56294-2022 artfynd.xlsx", "A 56294-2022")</f>
        <v/>
      </c>
      <c r="T243">
        <f>HYPERLINK("https://klasma.github.io/Logging_1265/kartor/A 56294-2022 karta.png", "A 56294-2022")</f>
        <v/>
      </c>
      <c r="V243">
        <f>HYPERLINK("https://klasma.github.io/Logging_1265/klagomål/A 56294-2022 FSC-klagomål.docx", "A 56294-2022")</f>
        <v/>
      </c>
      <c r="W243">
        <f>HYPERLINK("https://klasma.github.io/Logging_1265/klagomålsmail/A 56294-2022 FSC-klagomål mail.docx", "A 56294-2022")</f>
        <v/>
      </c>
      <c r="X243">
        <f>HYPERLINK("https://klasma.github.io/Logging_1265/tillsyn/A 56294-2022 tillsynsbegäran.docx", "A 56294-2022")</f>
        <v/>
      </c>
      <c r="Y243">
        <f>HYPERLINK("https://klasma.github.io/Logging_1265/tillsynsmail/A 56294-2022 tillsynsbegäran mail.docx", "A 56294-2022")</f>
        <v/>
      </c>
    </row>
    <row r="244" ht="15" customHeight="1">
      <c r="A244" t="inlineStr">
        <is>
          <t>A 57811-2022</t>
        </is>
      </c>
      <c r="B244" s="1" t="n">
        <v>44897</v>
      </c>
      <c r="C244" s="1" t="n">
        <v>45585</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45585</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45585</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45585</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45585</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45585</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45585</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45585</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45585</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45585</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45585</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45585</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45585</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45585</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45585</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45585</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45585</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45585</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45585</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45585</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45585</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45585</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45585</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45585</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45585</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45585</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45585</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45585</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45585</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45585</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45585</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45585</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45585</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45585</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45585</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45585</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45585</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45585</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45585</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45585</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45585</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45585</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45585</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45585</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45585</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45585</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45585</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45585</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45585</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45585</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45585</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45585</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45585</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45585</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45585</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45585</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45585</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45585</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45585</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45585</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45585</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45585</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45585</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45585</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45585</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45585</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45585</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45585</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45585</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45585</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45585</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45585</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45585</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45585</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45585</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45585</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45585</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45585</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45585</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45585</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45585</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45585</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45585</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45585</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45585</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45585</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45585</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45585</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45585</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45585</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45585</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45585</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45585</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45585</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45585</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45585</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45585</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45585</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45585</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45585</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45585</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45585</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45585</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45585</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45585</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45585</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45585</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45585</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45585</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45585</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45585</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45585</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45585</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45585</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45585</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45585</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45585</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45585</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45585</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45585</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45585</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45585</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45585</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45585</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45585</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45585</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45585</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45585</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45585</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45585</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45585</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45585</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45585</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45585</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45585</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45585</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45585</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45585</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45585</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45585</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45585</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45585</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45585</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45585</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45585</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45585</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45585</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45585</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45585</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45585</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45585</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45585</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45585</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45585</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45585</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45585</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45585</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45585</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45585</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45585</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45585</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45585</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45585</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45585</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45585</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45585</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45585</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45585</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45585</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45585</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45585</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45585</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45585</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45585</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45585</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45585</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45585</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45585</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45585</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45585</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45585</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45585</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45585</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45585</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45585</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45585</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45585</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45585</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45585</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45585</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45585</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45585</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45585</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45585</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45585</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45585</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45585</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45585</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45585</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45585</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45585</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45585</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45585</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45585</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45585</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45585</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45585</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45585</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45585</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45585</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45585</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45585</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45585</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45585</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45585</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45585</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45585</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45585</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45585</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45585</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45585</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45585</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45585</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45585</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45585</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45585</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45585</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45585</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45585</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45585</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45585</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45585</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45585</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45585</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45585</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45585</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45585</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45585</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45585</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45585</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45585</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45585</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45585</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45585</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45585</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45585</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45585</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45585</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45585</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45585</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45585</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45585</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45585</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45585</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45585</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45585</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45585</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45585</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45585</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45585</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45585</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45585</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45585</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45585</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45585</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45585</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45585</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45585</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45585</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45585</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45585</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45585</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45585</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45585</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45585</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45585</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45585</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45585</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45585</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45585</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45585</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45585</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45585</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45585</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45585</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45585</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45585</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45585</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45585</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45585</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45585</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45585</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45585</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45585</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45585</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45585</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45585</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45585</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45585</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45585</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45585</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45585</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45585</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45585</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45585</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45585</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45585</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45585</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45585</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45585</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45585</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45585</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45585</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45585</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45585</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45585</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45585</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45585</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45585</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45585</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45585</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45585</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45585</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45585</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45585</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45585</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45585</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45585</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45585</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45585</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45585</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45585</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45585</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45585</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45585</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45585</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45585</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45585</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45585</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45585</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45585</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45585</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45585</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45585</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45585</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45585</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45585</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45585</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45585</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45585</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45585</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45585</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45585</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45585</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45585</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45585</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45585</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45585</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45585</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45585</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45585</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45585</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45585</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45585</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45585</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45585</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45585</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45585</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45585</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45585</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45585</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45585</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45585</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45585</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45585</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45585</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45585</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45585</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45585</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45585</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45585</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45585</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45585</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45585</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45585</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45585</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45585</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45585</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45585</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45585</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45585</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45585</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45585</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45585</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45585</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45585</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45585</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45585</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45585</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45585</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45585</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45585</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45585</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45585</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45585</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45585</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45585</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45585</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45585</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45585</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45585</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45585</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45585</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45585</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45585</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45585</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45585</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45585</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45585</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45585</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45585</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45585</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45585</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45585</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45585</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45585</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45585</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45585</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45585</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45585</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45585</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45585</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45585</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45585</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45585</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45585</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45585</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45585</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45585</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45585</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45585</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45585</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45585</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45585</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45585</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45585</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45585</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45585</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45585</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45585</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45585</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45585</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45585</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45585</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45585</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45585</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45585</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45585</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45585</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45585</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45585</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45585</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45585</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45585</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45585</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45585</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45585</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45585</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45585</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45585</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45585</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45585</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45585</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45585</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45585</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45585</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45585</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45585</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45585</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45585</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45585</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45585</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45585</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45585</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45585</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45585</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45585</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45585</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45585</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45585</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45585</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45585</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45585</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45585</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45585</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45585</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45585</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45585</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45585</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45585</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45585</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45585</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45585</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45585</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45585</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45585</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45585</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45585</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45585</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45585</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45585</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45585</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45585</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45585</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45585</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45585</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45585</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45585</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45585</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45585</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45585</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45585</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45585</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45585</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45585</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45585</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45585</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45585</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45585</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45585</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45585</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45585</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45585</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45585</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45585</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45585</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45585</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45585</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45585</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45585</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45585</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45585</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45585</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45585</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45585</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45585</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45585</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45585</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45585</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45585</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45585</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45585</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45585</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45585</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45585</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45585</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45585</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45585</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45585</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45585</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45585</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45585</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45585</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45585</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45585</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45585</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45585</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45585</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45585</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45585</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45585</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45585</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45585</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45585</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45585</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45585</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45585</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45585</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45585</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45585</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45585</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45585</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45585</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45585</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45585</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45585</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45585</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45585</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45585</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45585</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45585</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45585</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45585</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45585</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45585</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45585</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45585</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45585</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45585</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45585</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45585</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45585</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45585</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45585</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45585</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45585</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45585</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45585</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45585</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45585</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45585</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45585</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45585</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45585</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45585</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45585</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45585</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45585</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45585</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45585</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45585</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45585</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45585</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45585</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45585</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45585</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45585</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45585</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45585</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45585</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45585</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45585</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45585</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45585</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45585</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45585</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45585</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45585</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45585</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45585</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45585</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45585</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45585</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45585</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45585</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45585</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45585</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45585</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45585</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45585</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45585</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45585</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45585</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45585</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45585</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45585</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45585</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45585</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45585</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45585</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45585</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45585</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45585</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45585</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45585</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45585</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45585</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45585</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45585</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45585</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45585</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45585</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45585</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45585</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45585</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45585</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45585</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45585</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45585</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45585</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45585</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45585</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45585</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45585</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45585</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45585</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45585</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45585</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45585</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45585</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45585</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45585</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45585</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45585</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45585</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45585</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45585</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45585</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45585</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45585</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45585</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45585</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45585</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45585</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45585</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45585</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45585</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45585</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45585</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45585</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45585</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45585</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45585</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45585</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45585</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45585</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45585</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45585</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45585</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45585</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45585</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45585</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45585</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45585</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45585</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45585</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45585</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45585</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45585</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45585</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45585</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45585</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45585</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45585</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45585</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45585</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45585</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45585</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45585</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45585</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45585</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45585</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45585</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45585</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45585</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45585</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45585</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45585</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45585</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45585</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45585</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45585</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45585</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45585</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45585</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45585</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45585</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45585</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45585</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45585</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45585</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45585</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45585</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45585</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45585</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45585</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45585</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45585</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45585</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45585</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45585</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45585</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45585</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45585</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45585</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45585</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45585</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45585</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45585</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45585</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45585</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45585</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45585</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45585</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45585</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45585</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45585</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45585</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45585</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45585</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45585</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45585</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45585</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45585</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45585</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45585</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45585</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45585</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45585</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45585</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45585</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45585</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45585</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45585</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45585</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45585</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45585</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45585</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45585</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45585</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45585</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45585</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45585</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45585</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45585</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45585</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45585</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45585</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45585</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45585</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45585</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45585</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45585</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45585</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45585</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45585</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45585</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45585</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45585</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45585</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45585</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45585</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45585</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45585</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45585</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45585</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45585</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45585</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45585</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45585</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45585</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45585</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45585</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45585</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45585</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45585</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45585</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45585</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45585</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45585</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45585</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45585</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45585</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45585</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45585</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45585</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45585</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45585</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45585</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45585</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45585</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45585</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45585</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45585</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45585</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45585</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45585</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45585</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45585</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45585</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45585</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45585</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45585</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45585</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45585</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45585</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45585</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45585</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45585</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45585</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45585</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45585</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45585</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45585</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45585</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45585</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45585</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45585</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45585</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45585</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45585</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45585</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45585</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45585</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45585</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45585</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45585</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45585</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45585</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45585</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45585</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45585</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45585</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45585</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45585</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45585</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45585</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45585</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45585</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45585</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45585</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45585</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45585</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45585</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45585</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45585</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45585</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45585</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45585</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45585</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45585</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45585</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45585</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45585</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45585</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45585</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45585</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45585</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45585</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45585</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45585</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45585</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45585</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45585</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45585</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45585</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45585</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45585</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45585</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45585</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45585</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45585</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45585</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45585</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45585</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45585</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45585</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45585</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45585</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45585</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45585</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45585</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45585</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45585</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45585</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45585</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45585</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45585</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45585</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45585</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45585</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45585</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45585</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45585</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45585</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45585</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45585</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45585</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45585</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45585</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45585</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45585</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45585</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45585</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45585</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45585</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45585</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45585</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45585</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45585</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45585</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45585</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45585</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45585</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45585</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45585</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45585</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45585</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45585</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45585</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45585</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45585</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45585</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45585</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45585</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45585</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45585</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45585</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45585</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45585</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45585</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45585</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45585</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45585</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45585</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45585</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45585</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45585</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45585</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45585</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45585</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45585</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45585</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45585</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45585</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45585</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45585</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45585</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45585</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45585</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45585</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45585</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45585</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45585</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45585</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45585</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45585</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45585</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45585</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45585</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45585</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45585</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45585</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45585</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45585</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45585</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45585</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45585</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45585</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45585</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45585</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45585</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45585</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45585</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45585</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45585</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45585</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45585</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45585</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45585</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45585</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45585</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45585</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45585</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45585</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45585</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45585</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45585</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45585</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45585</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45585</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45585</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45585</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45585</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45585</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45585</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45585</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45585</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45585</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45585</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45585</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45585</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45585</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45585</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45585</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45585</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45585</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45585</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45585</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45585</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45585</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45585</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45585</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45585</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45585</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45585</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45585</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45585</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45585</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45585</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45585</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45585</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45585</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45585</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45585</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45585</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45585</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45585</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45585</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45585</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45585</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45585</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45585</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45585</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45585</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45585</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45585</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45585</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45585</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45585</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45585</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45585</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45585</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45585</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45585</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45585</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45585</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45585</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45585</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45585</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45585</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45585</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45585</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45585</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45585</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45585</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45585</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45585</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45585</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45585</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45585</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45585</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45585</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45585</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45585</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45585</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45585</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45585</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45585</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45585</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45585</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45585</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45585</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45585</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45585</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45585</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45585</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45585</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45585</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45585</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45585</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45585</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45585</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45585</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45585</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45585</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45585</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45585</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45585</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45585</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45585</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45585</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45585</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45585</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45585</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45585</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45585</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45585</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45585</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45585</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45585</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45585</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45585</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45585</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45585</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45585</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45585</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45585</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45585</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45585</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45585</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45585</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45585</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45585</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45585</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45585</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45585</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45585</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45585</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45585</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45585</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45585</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45585</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45585</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45585</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45585</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45585</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45585</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45585</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45585</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45585</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45585</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45585</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45585</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45585</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45585</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45585</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45585</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45585</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45585</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45585</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45585</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45585</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45585</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45585</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45585</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45585</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45585</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45585</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45585</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45585</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45585</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45585</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45585</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45585</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45585</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45585</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45585</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45585</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45585</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45585</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45585</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45585</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45585</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45585</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45585</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45585</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45585</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45585</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45585</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45585</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45585</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45585</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45585</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45585</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45585</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45585</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45585</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45585</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45585</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45585</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45585</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45585</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45585</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45585</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45585</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45585</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45585</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45585</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45585</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45585</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45585</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45585</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45585</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45585</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45585</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45585</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45585</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45585</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45585</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45585</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45585</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45585</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45585</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45585</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45585</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45585</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45585</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45585</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45585</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45585</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45585</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45585</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45585</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45585</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45585</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45585</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45585</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45585</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45585</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45585</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45585</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45585</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45585</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45585</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45585</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45585</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45585</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45585</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45585</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45585</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45585</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45585</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45585</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45585</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45585</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45585</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45585</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45585</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45585</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45585</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45585</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45585</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45585</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45585</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45585</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45585</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45585</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45585</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45585</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45585</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45585</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45585</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45585</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45585</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45585</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45585</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45585</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45585</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45585</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45585</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45585</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45585</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45585</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45585</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45585</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45585</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45585</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45585</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45585</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45585</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45585</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45585</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45585</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45585</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45585</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45585</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45585</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45585</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45585</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45585</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45585</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45585</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45585</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45585</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45585</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45585</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45585</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45585</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45585</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45585</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45585</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45585</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45585</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45585</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45585</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45585</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45585</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45585</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45585</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45585</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45585</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45585</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45585</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45585</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45585</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45585</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45585</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45585</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45585</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45585</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45585</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45585</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45585</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45585</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45585</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45585</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45585</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45585</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45585</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45585</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45585</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45585</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45585</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45585</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45585</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45585</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45585</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45585</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45585</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45585</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45585</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45585</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45585</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45585</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45585</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45585</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45585</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45585</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45585</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45585</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45585</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45585</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45585</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45585</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45585</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45585</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45585</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45585</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45585</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45585</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45585</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45585</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45585</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45585</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45585</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45585</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45585</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45585</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45585</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45585</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45585</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45585</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45585</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45585</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45585</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45585</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45585</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45585</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45585</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45585</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45585</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45585</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45585</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45585</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45585</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45585</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45585</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45585</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45585</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45585</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45585</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45585</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45585</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45585</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45585</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45585</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45585</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45585</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45585</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45585</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45585</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45585</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45585</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45585</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45585</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45585</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45585</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45585</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45585</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45585</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45585</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45585</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45585</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45585</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45585</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45585</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45585</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45585</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45585</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45585</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45585</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45585</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45585</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45585</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45585</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45585</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45585</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45585</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45585</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45585</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45585</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45585</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45585</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45585</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45585</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45585</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45585</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45585</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45585</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45585</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45585</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45585</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45585</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45585</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45585</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45585</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45585</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45585</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45585</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45585</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45585</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45585</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45585</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45585</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45585</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45585</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45585</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45585</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45585</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45585</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45585</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45585</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45585</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45585</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45585</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45585</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45585</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45585</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45585</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45585</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45585</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45585</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45585</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45585</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45585</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45585</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45585</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45585</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45585</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45585</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45585</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45585</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45585</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45585</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45585</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45585</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45585</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45585</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45585</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45585</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45585</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45585</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45585</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45585</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45585</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45585</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45585</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45585</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45585</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45585</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45585</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45585</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45585</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45585</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45585</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45585</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45585</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45585</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45585</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45585</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45585</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45585</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45585</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45585</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45585</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45585</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45585</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45585</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45585</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45585</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45585</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45585</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45585</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45585</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45585</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45585</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45585</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45585</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45585</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45585</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45585</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45585</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45585</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45585</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45585</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45585</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45585</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45585</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45585</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45585</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45585</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45585</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45585</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45585</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45585</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45585</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45585</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45585</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45585</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45585</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45585</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45585</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45585</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45585</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45585</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45585</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45585</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45585</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45585</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45585</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45585</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45585</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45585</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45585</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45585</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45585</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45585</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45585</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45585</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45585</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45585</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45585</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45585</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45585</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45585</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45585</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45585</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45585</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45585</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45585</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45585</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45585</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45585</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45585</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45585</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45585</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45585</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45585</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45585</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45585</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45585</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45585</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45585</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45585</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45585</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45585</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45585</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45585</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45585</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45585</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45585</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45585</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45585</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45585</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45585</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45585</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45585</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45585</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45585</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45585</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45585</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45585</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45585</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45585</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45585</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45585</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45585</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45585</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45585</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45585</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45585</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45585</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45585</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45585</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45585</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45585</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45585</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45585</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45585</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45585</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45585</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45585</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45585</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45585</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45585</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45585</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45585</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45585</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45585</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45585</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45585</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45585</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45585</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45585</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45585</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45585</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45585</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45585</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45585</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45585</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45585</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45585</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45585</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45585</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45585</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45585</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45585</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45585</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45585</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45585</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45585</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45585</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45585</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45585</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45585</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45585</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45585</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45585</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45585</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45585</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45585</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45585</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45585</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45585</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45585</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45585</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45585</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45585</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45585</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45585</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45585</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45585</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45585</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45585</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45585</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45585</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45585</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45585</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45585</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45585</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45585</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45585</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45585</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45585</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45585</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45585</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45585</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45585</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45585</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45585</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45585</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45585</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45585</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45585</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45585</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45585</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45585</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45585</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45585</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45585</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45585</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45585</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45585</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45585</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45585</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45585</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45585</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45585</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45585</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45585</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45585</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45585</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45585</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45585</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45585</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45585</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45585</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45585</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45585</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45585</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45585</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45585</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45585</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45585</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45585</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45585</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45585</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45585</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45585</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45585</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45585</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45585</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45585</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45585</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45585</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45585</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45585</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45585</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45585</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45585</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45585</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45585</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45585</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45585</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45585</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45585</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45585</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45585</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45585</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45585</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45585</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45585</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45585</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45585</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45585</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45585</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45585</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45585</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45585</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45585</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45585</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45585</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45585</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45585</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45585</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45585</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45585</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45585</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45585</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45585</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45585</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45585</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45585</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45585</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45585</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45585</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45585</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45585</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45585</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45585</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45585</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45585</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45585</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45585</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45585</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45585</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45585</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45585</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45585</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45585</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45585</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45585</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45585</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45585</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45585</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45585</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45585</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45585</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45585</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45585</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45585</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45585</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45585</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45585</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45585</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45585</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45585</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45585</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45585</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45585</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45585</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45585</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45585</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45585</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45585</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45585</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45585</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45585</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45585</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45585</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45585</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45585</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45585</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45585</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45585</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45585</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45585</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45585</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45585</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45585</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45585</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45585</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45585</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45585</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45585</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45585</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45585</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45585</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45585</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45585</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45585</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45585</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45585</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45585</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45585</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45585</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45585</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45585</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45585</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45585</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45585</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45585</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45585</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45585</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45585</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45585</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45585</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45585</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45585</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45585</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45585</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45585</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45585</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45585</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45585</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45585</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45585</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45585</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45585</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45585</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45585</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45585</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45585</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45585</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45585</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45585</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45585</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45585</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45585</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45585</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45585</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45585</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45585</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45585</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45585</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45585</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45585</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45585</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45585</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45585</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45585</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45585</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45585</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45585</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45585</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45585</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45585</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45585</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45585</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45585</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45585</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45585</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45585</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45585</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45585</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45585</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45585</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45585</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45585</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45585</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45585</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45585</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45585</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45585</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45585</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45585</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45585</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45585</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45585</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45585</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45585</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45585</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45585</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45585</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45585</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45585</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45585</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45585</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45585</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45585</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45585</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45585</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45585</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45585</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45585</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45585</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45585</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45585</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45585</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45585</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45585</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45585</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45585</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45585</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45585</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45585</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45585</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45585</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45585</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45585</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45585</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45585</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45585</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45585</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45585</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45585</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45585</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45585</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45585</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45585</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45585</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45585</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45585</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45585</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45585</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45585</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45585</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45585</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45585</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45585</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45585</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45585</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45585</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45585</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45585</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45585</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45585</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45585</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45585</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45585</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45585</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45585</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45585</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45585</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45585</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45585</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45585</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45585</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45585</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45585</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45585</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45585</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45585</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45585</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45585</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45585</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45585</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45585</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45585</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45585</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45585</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45585</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45585</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45585</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45585</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45585</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45585</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45585</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45585</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45585</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45585</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45585</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45585</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45585</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45585</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45585</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45585</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45585</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45585</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45585</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45585</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45585</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45585</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45585</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45585</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45585</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45585</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45585</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45585</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45585</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45585</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45585</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45585</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45585</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45585</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45585</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45585</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45585</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45585</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45585</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45585</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45585</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45585</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45585</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45585</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45585</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45585</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45585</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45585</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45585</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45585</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45585</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45585</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45585</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45585</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45585</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45585</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45585</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45585</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45585</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45585</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45585</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45585</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45585</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45585</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45585</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45585</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45585</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45585</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45585</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45585</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45585</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45585</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45585</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45585</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45585</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45585</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45585</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45585</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45585</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45585</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45585</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45585</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45585</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45585</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45585</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45585</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45585</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45585</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45585</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45585</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45585</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45585</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45585</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45585</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45585</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45585</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45585</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45585</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45585</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45585</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45585</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45585</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45585</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45585</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45585</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45585</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45585</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45585</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45585</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45585</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45585</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45585</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45585</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45585</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45585</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45585</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45585</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45585</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45585</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45585</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45585</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45585</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45585</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45585</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45585</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45585</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45585</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45585</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45585</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45585</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45585</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45585</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45585</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45585</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45585</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45585</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45585</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45585</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45585</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45585</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45585</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45585</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45585</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45585</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45585</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45585</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45585</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45585</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45585</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45585</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45585</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45585</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45585</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45585</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45585</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45585</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45585</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45585</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45585</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45585</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45585</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45585</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45585</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45585</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45585</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45585</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45585</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45585</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45585</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45585</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45585</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45585</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45585</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45585</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45585</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45585</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45585</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45585</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45585</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45585</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45585</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45585</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45585</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45585</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45585</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45585</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45585</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45585</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45585</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45585</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45585</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45585</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45585</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45585</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45585</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45585</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45585</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45585</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45585</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45585</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45585</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45585</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45585</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45585</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45585</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45585</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45585</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45585</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45585</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45585</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45585</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45585</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45585</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45585</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45585</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45585</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45585</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45585</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45585</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45585</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45585</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45585</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45585</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45585</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45585</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45585</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45585</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45585</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45585</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45585</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45585</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45585</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45585</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45585</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45585</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45585</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45585</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45585</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45585</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45585</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45585</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45585</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45585</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45585</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45585</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45585</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45585</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45585</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45585</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45585</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45585</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45585</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45585</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45585</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45585</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45585</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45585</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45585</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45585</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45585</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45585</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45585</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45585</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45585</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45585</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45585</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45585</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45585</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45585</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45585</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45585</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45585</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45585</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45585</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45585</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45585</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45585</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45585</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45585</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45585</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45585</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45585</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45585</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45585</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45585</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45585</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45585</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45585</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45585</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45585</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45585</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45585</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45585</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45585</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45585</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45585</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45585</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45585</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45585</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45585</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45585</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45585</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45585</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45585</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45585</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45585</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45585</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45585</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45585</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45585</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45585</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45585</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45585</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45585</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45585</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45585</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45585</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45585</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45585</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45585</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45585</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45585</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45585</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45585</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45585</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45585</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45585</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45585</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45585</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45585</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45585</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45585</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45585</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45585</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45585</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45585</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45585</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45585</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45585</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45585</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45585</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45585</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45585</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45585</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45585</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45585</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45585</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45585</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45585</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45585</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45585</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45585</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45585</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45585</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45585</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45585</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45585</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45585</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45585</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45585</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45585</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45585</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45585</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45585</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45585</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45585</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45585</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45585</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45585</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45585</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45585</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45585</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45585</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45585</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45585</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45585</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45585</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45585</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45585</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45585</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45585</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45585</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45585</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45585</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45585</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45585</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45585</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45585</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45585</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45585</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45585</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45585</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45585</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45585</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45585</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45585</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45585</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45585</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45585</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45585</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45585</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45585</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45585</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45585</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45585</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45585</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45585</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45585</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45585</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45585</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45585</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45585</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45585</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45585</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45585</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45585</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45585</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45585</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45585</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45585</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45585</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45585</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45585</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45585</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45585</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45585</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45585</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45585</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45585</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45585</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45585</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45585</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45585</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45585</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45585</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45585</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45585</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45585</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45585</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45585</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45585</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45585</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45585</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45585</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45585</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45585</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45585</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45585</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45585</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45585</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45585</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45585</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45585</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45585</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45585</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45585</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45585</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45585</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45585</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45585</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45585</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45585</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45585</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45585</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45585</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45585</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45585</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45585</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45585</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45585</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45585</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45585</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45585</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45585</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45585</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45585</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45585</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45585</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45585</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45585</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45585</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45585</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45585</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45585</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45585</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45585</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45585</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45585</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45585</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45585</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45585</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45585</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45585</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45585</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45585</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45585</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45585</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45585</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45585</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45585</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45585</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45585</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45585</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45585</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45585</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45585</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45585</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45585</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45585</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45585</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45585</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45585</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45585</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45585</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45585</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45585</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45585</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45585</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45585</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45585</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45585</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45585</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45585</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45585</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45585</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45585</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45585</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45585</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45585</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45585</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45585</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45585</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45585</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45585</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45585</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45585</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45585</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45585</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45585</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45585</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45585</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45585</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45585</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45585</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45585</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45585</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45585</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45585</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45585</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45585</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45585</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45585</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45585</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45585</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45585</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45585</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45585</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45585</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45585</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45585</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45585</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45585</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45585</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45585</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45585</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45585</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45585</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45585</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45585</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45585</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45585</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45585</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45585</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45585</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45585</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45585</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45585</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45585</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45585</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45585</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45585</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45585</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45585</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45585</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45585</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45585</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45585</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45585</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45585</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45585</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45585</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45585</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45585</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45585</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45585</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45585</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45585</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45585</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45585</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45585</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45585</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45585</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45585</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45585</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45585</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45585</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45585</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45585</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45585</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45585</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45585</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45585</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45585</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45585</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45585</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45585</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45585</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45585</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45585</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45585</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45585</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45585</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45585</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45585</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45585</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45585</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45585</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45585</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45585</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45585</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45585</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45585</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45585</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45585</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45585</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45585</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45585</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45585</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45585</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45585</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45585</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45585</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45585</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45585</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45585</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45585</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45585</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45585</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45585</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45585</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45585</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45585</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45585</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45585</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45585</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45585</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45585</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45585</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45585</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45585</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45585</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45585</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45585</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45585</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45585</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45585</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45585</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45585</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45585</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45585</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45585</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45585</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45585</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45585</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45585</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45585</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45585</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45585</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45585</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45585</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45585</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45585</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45585</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45585</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45585</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45585</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45585</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45585</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45585</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45585</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45585</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45585</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45585</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45585</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45585</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45585</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45585</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45585</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45585</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45585</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45585</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45585</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45585</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45585</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45585</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45585</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45585</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45585</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45585</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45585</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45585</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45585</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45585</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45585</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45585</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45585</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45585</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45585</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45585</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45585</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45585</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45585</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45585</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45585</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45585</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45585</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45585</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45585</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45585</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45585</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45585</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45585</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45585</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45585</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45585</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45585</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45585</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45585</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45585</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45585</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45585</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45585</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45585</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45585</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45585</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45585</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45585</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45585</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45585</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45585</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45585</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45585</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45585</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45585</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45585</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45585</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45585</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45585</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45585</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45585</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45585</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45585</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45585</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45585</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45585</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45585</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45585</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45585</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45585</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45585</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45585</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45585</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45585</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45585</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45585</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45585</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45585</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45585</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45585</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45585</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45585</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45585</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45585</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45585</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45585</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45585</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45585</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45585</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45585</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45585</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45585</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45585</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45585</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45585</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45585</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45585</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45585</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45585</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45585</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45585</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45585</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45585</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45585</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45585</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45585</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45585</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45585</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45585</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45585</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45585</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45585</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45585</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45585</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45585</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45585</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45585</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45585</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45585</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45585</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45585</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45585</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45585</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45585</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45585</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45585</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45585</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45585</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45585</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45585</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45585</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45585</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45585</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45585</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45585</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45585</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45585</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45585</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45585</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45585</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45585</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45585</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45585</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45585</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45585</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45585</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45585</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45585</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45585</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45585</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45585</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45585</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45585</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45585</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45585</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45585</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45585</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45585</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45585</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45585</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45585</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45585</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45585</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45585</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45585</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45585</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45585</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45585</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45585</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45585</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45585</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45585</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45585</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45585</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45585</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45585</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45585</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45585</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45585</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45585</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45585</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45585</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45585</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45585</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45585</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45585</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45585</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45585</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45585</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45585</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45585</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45585</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45585</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45585</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45585</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45585</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45585</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45585</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45585</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45585</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45585</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45585</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45585</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45585</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45585</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45585</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45585</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45585</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45585</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45585</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45585</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45585</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45585</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45585</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45585</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45585</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45585</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45585</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45585</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45585</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45585</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45585</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45585</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45585</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45585</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45585</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45585</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45585</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45585</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45585</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45585</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45585</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45585</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45585</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45585</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45585</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45585</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45585</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45585</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45585</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45585</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45585</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45585</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45585</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45585</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45585</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45585</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45585</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45585</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45585</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45585</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45585</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45585</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45585</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45585</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45585</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45585</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45585</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45585</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45585</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45585</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45585</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45585</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45585</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45585</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45585</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45585</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45585</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45585</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45585</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45585</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45585</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45585</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45585</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45585</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45585</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45585</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45585</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45585</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45585</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45585</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45585</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45585</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45585</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45585</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45585</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45585</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45585</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45585</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45585</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45585</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45585</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45585</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45585</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45585</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45585</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45585</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45585</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45585</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45585</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45585</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45585</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45585</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45585</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45585</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45585</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45585</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45585</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45585</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45585</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45585</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45585</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45585</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45585</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45585</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45585</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45585</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45585</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45585</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45585</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45585</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45585</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45585</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45585</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45585</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45585</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45585</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45585</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45585</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45585</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45585</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45585</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45585</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45585</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45585</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45585</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45585</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45585</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45585</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45585</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45585</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45585</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45585</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45585</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45585</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45585</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45585</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45585</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45585</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45585</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45585</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45585</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45585</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45585</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45585</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45585</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45585</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45585</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45585</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45585</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45585</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45585</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45585</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45585</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45585</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45585</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45585</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45585</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45585</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45585</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45585</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45585</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45585</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45585</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45585</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45585</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45585</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45585</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45585</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45585</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45585</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45585</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45585</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45585</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45585</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45585</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45585</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45585</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45585</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45585</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45585</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45585</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45585</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45585</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45585</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45585</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45585</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45585</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45585</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45585</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45585</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45585</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45585</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45585</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45585</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45585</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45585</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45585</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45585</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45585</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45585</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45585</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45585</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45585</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45585</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45585</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45585</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45585</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45585</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45585</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45585</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45585</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45585</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45585</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45585</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45585</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45585</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45585</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45585</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45585</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45585</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45585</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45585</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45585</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45585</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45585</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45585</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45585</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45585</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45585</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45585</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45585</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45585</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45585</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45585</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45585</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45585</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45585</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45585</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45585</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45585</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45585</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45585</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45585</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45585</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45585</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45585</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45585</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45585</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45585</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45585</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45585</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45585</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45585</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45585</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45585</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45585</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45585</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45585</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45585</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45585</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45585</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45585</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45585</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45585</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45585</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45585</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45585</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45585</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45585</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45585</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45585</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45585</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45585</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45585</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45585</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45585</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45585</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45585</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45585</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45585</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45585</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45585</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45585</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45585</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45585</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45585</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45585</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45585</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45585</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45585</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45585</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45585</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45585</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45585</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45585</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45585</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45585</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45585</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45585</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45585</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45585</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45585</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45585</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45585</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45585</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45585</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45585</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45585</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45585</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45585</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45585</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45585</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45585</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45585</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45585</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45585</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45585</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45585</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45585</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45585</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45585</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45585</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45585</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45585</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45585</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45585</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45585</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45585</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45585</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45585</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45585</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45585</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45585</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45585</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45585</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45585</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45585</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45585</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45585</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45585</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45585</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45585</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45585</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45585</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45585</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45585</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45585</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45585</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45585</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45585</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45585</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45585</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45585</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45585</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45585</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45585</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45585</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45585</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45585</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45585</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45585</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45585</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45585</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45585</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45585</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45585</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45585</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45585</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45585</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45585</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45585</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45585</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45585</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45585</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45585</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45585</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45585</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45585</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45585</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45585</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45585</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45585</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45585</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45585</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45585</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45585</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45585</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45585</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45585</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45585</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45585</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45585</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45585</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45585</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45585</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45585</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45585</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45585</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45585</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45585</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45585</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45585</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45585</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45585</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45585</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45585</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45585</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45585</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45585</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45585</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45585</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45585</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45585</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45585</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45585</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45585</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45585</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45585</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45585</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45585</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45585</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45585</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45585</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45585</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45585</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45585</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45585</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45585</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45585</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45585</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45585</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45585</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45585</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45585</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45585</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45585</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45585</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45585</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45585</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45585</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45585</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45585</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45585</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45585</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45585</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45585</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45585</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45585</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45585</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45585</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45585</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45585</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45585</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45585</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45585</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45585</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45585</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45585</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45585</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45585</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45585</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45585</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45585</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45585</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45585</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45585</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45585</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45585</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45585</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45585</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45585</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45585</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45585</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45585</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45585</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45585</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45585</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45585</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45585</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45585</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45585</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45585</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45585</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45585</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45585</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45585</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45585</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45585</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45585</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45585</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45585</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45585</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45585</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45585</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45585</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45585</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45585</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45585</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45585</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45585</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45585</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45585</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45585</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45585</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45585</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45585</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45585</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45585</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45585</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45585</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45585</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45585</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45585</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45585</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45585</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45585</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45585</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45585</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45585</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45585</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45585</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45585</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45585</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45585</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45585</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45585</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45585</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45585</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45585</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45585</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45585</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45585</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45585</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45585</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45585</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45585</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45585</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45585</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45585</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45585</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45585</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45585</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45585</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45585</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45585</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45585</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45585</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45585</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45585</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45585</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45585</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45585</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45585</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45585</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45585</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45585</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45585</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45585</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45585</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45585</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45585</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45585</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45585</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45585</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45585</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45585</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45585</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45585</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45585</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45585</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45585</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45585</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45585</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45585</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45585</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45585</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45585</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45585</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45585</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45585</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45585</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45585</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45585</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45585</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45585</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45585</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45585</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45585</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45585</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45585</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45585</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45585</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45585</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45585</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45585</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45585</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45585</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45585</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45585</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45585</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45585</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45585</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45585</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45585</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45585</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45585</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45585</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45585</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45585</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45585</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45585</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45585</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45585</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45585</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45585</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45585</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45585</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45585</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45585</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45585</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45585</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45585</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45585</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45585</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45585</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45585</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45585</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45585</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45585</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45585</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45585</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45585</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45585</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45585</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45585</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45585</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45585</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45585</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45585</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45585</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45585</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45585</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45585</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45585</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45585</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45585</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45585</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45585</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45585</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45585</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45585</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45585</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45585</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45585</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45585</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45585</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45585</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45585</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45585</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45585</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45585</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45585</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45585</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45585</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45585</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45585</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45585</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45585</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45585</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45585</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45585</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45585</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45585</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45585</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45585</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45585</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45585</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45585</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45585</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45585</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45585</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45585</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45585</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45585</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45585</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45585</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45585</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45585</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45585</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45585</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45585</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45585</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45585</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45585</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45585</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45585</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45585</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45585</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45585</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45585</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45585</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45585</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45585</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45585</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45585</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45585</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45585</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45585</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45585</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45585</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45585</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45585</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45585</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45585</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45585</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45585</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45585</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45585</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45585</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45585</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45585</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45585</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45585</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45585</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45585</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45585</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45585</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45585</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45585</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45585</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45585</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45585</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45585</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45585</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45585</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45585</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45585</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45585</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45585</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45585</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45585</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45585</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45585</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45585</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45585</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45585</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45585</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45585</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45585</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45585</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45585</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45585</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45585</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45585</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45585</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45585</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45585</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45585</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45585</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45585</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45585</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45585</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45585</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45585</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45585</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45585</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45585</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45585</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45585</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45585</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45585</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45585</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45585</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45585</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45585</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45585</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45585</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45585</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45585</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45585</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45585</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45585</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45585</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45585</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45585</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45585</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45585</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45585</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45585</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45585</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45585</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45585</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45585</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45585</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45585</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45585</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45585</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45585</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45585</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45585</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45585</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45585</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45585</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45585</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45585</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45585</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45585</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45585</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45585</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45585</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45585</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45585</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45585</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45585</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45585</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45585</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45585</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45585</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45585</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45585</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45585</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45585</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45585</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45585</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45585</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45585</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45585</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45585</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45585</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45585</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45585</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45585</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45585</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45585</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45585</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45585</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45585</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45585</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45585</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45585</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45585</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45585</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45585</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45585</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45585</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45585</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45585</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45585</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45585</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45585</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45585</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45585</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45585</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45585</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45585</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45585</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45585</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45585</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45585</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45585</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45585</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45585</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45585</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45585</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45585</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45585</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45585</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45585</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45585</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45585</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45585</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45585</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45585</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45585</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45585</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45585</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45585</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45585</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45585</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45585</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45585</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45585</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45585</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45585</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45585</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45585</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45585</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45585</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45585</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45585</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45585</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45585</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45585</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45585</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45585</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45585</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45585</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45585</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45585</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45585</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45585</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45585</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45585</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45585</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45585</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45585</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45585</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45585</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45585</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45585</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45585</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45585</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45585</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45585</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45585</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45585</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45585</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45585</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45585</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45585</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45585</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45585</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45585</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45585</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45585</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45585</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45585</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45585</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45585</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45585</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45585</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45585</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45585</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45585</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45585</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45585</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45585</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45585</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45585</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45585</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45585</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45585</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45585</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45585</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45585</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45585</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45585</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45585</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45585</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45585</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45585</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45585</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45585</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45585</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45585</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45585</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45585</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45585</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45585</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45585</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45585</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45585</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45585</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45585</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45585</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45585</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45585</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45585</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45585</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45585</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45585</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45585</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45585</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45585</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45585</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45585</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45585</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45585</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45585</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45585</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45585</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45585</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45585</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45585</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45585</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45585</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45585</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45585</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45585</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45585</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45585</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45585</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45585</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45585</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45585</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45585</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45585</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45585</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45585</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45585</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45585</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45585</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45585</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45585</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45585</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45585</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45585</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45585</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45585</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45585</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45585</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45585</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45585</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45585</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45585</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45585</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45585</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45585</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45585</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45585</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45585</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45585</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45585</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45585</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45585</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45585</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45585</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45585</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45585</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45585</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45585</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45585</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45585</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45585</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45585</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45585</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45585</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45585</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45585</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45585</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45585</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45585</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45585</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45585</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45585</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45585</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45585</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45585</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45585</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45585</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45585</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45585</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45585</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45585</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45585</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45585</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45585</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45585</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45585</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45585</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45585</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45585</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45585</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45585</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45585</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45585</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45585</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45585</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45585</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45585</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45585</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45585</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45585</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45585</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45585</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45585</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45585</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45585</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45585</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45585</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45585</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45585</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45585</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45585</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45585</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45585</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45585</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45585</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45585</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45585</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45585</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45585</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45585</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45585</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45585</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45585</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45585</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45585</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45585</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45585</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45585</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45585</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45585</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45585</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45585</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45585</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45585</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45585</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45585</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45585</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45585</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45585</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45585</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45585</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45585</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45585</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45585</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45585</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45585</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45585</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45585</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45585</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45585</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45585</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45585</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45585</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45585</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45585</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45585</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45585</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45585</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45585</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45585</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45585</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45585</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45585</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45585</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45585</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45585</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45585</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45585</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45585</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45585</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45585</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45585</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45585</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45585</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45585</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45585</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45585</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45585</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45585</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45585</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45585</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45585</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45585</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45585</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45585</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45585</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45585</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45585</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45585</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45585</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45585</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45585</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45585</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45585</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45585</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45585</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45585</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45585</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45585</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45585</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45585</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45585</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45585</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45585</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45585</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45585</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45585</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45585</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45585</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45585</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45585</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45585</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45585</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45585</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45585</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45585</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45585</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45585</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45585</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45585</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45585</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45585</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45585</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45585</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45585</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45585</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45585</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45585</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45585</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45585</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45585</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45585</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45585</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45585</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45585</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45585</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45585</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45585</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45585</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45585</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45585</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45585</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45585</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45585</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45585</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45585</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45585</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45585</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45585</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45585</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45585</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45585</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45585</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45585</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45585</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45585</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45585</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45585</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45585</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45585</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45585</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45585</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45585</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45585</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45585</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45585</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45585</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45585</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45585</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45585</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45585</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45585</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45585</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45585</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45585</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45585</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45585</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45585</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45585</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45585</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45585</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45585</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45585</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45585</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45585</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45585</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45585</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45585</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45585</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45585</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45585</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45585</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45585</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45585</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45585</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45585</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45585</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45585</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45585</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45585</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45585</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45585</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45585</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45585</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45585</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45585</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45585</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45585</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45585</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45585</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45585</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45585</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45585</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45585</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45585</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45585</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45585</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45585</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45585</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45585</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45585</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45585</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45585</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45585</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45585</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45585</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45585</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45585</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45585</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45585</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45585</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45585</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45585</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45585</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45585</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45585</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45585</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45585</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45585</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45585</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45585</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45585</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45585</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45585</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45585</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45585</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45585</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45585</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45585</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45585</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45585</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45585</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45585</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45585</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45585</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45585</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45585</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45585</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45585</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45585</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45585</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45585</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45585</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45585</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45585</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45585</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45585</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45585</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45585</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45585</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45585</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45585</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45585</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45585</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45585</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45585</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45585</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45585</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45585</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45585</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45585</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45585</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45585</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45585</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45585</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45585</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45585</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45585</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45585</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45585</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45585</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45585</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45585</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45585</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45585</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45585</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45585</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45585</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45585</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45585</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45585</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45585</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45585</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45585</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45585</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45585</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45585</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45585</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45585</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45585</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45585</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45585</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45585</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45585</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45585</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45585</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45585</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45585</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45585</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45585</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45585</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45585</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45585</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45585</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45585</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45585</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45585</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45585</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45585</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45585</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45585</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45585</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45585</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45585</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45585</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45585</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45585</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45585</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45585</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45585</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45585</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45585</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45585</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45585</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45585</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45585</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45585</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45585</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45585</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45585</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45585</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45585</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45585</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45585</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45585</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45585</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45585</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45585</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45585</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45585</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45585</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45585</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45585</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45585</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45585</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45585</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45585</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45585</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45585</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45585</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45585</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45585</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45585</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45585</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45585</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45585</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45585</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45585</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45585</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45585</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45585</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45585</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45585</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45585</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45585</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45585</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45585</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45585</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45585</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45585</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45585</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45585</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45585</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45585</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45585</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45585</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45585</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45585</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45585</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45585</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45585</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45585</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45585</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45585</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45585</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45585</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45585</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45585</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45585</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45585</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45585</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45585</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45585</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45585</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45585</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45585</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45585</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45585</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45585</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45585</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45585</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45585</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45585</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45585</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45585</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45585</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45585</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45585</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45585</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45585</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45585</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45585</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45585</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45585</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45585</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45585</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45585</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45585</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45585</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45585</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45585</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45585</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45585</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45585</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45585</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45585</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45585</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45585</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45585</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45585</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45585</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45585</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45585</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45585</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45585</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45585</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45585</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45585</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45585</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45585</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45585</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45585</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45585</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45585</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45585</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45585</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45585</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45585</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45585</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45585</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45585</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45585</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45585</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45585</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45585</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45585</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45585</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45585</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45585</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45585</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45585</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45585</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45585</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45585</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45585</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45585</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45585</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45585</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45585</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45585</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45585</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45585</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45585</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45585</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45585</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45585</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45585</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45585</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45585</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45585</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45585</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45585</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45585</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45585</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45585</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45585</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45585</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45585</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45585</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45585</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45585</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45585</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45585</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45585</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45585</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45585</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45585</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45585</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45585</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45585</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45585</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45585</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45585</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45585</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45585</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45585</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45585</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45585</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45585</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45585</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45585</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45585</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45585</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45585</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45585</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45585</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45585</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45585</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45585</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45585</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45585</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45585</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45585</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45585</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45585</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45585</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45585</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45585</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45585</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45585</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45585</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45585</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45585</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45585</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45585</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45585</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45585</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45585</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45585</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45585</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45585</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45585</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45585</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45585</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45585</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45585</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45585</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45585</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45585</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45585</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45585</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45585</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45585</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45585</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45585</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45585</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45585</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45585</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45585</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45585</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45585</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45585</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45585</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45585</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45585</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45585</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45585</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45585</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45585</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45585</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45585</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45585</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45585</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45585</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45585</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45585</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45585</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45585</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45585</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45585</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45585</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45585</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45585</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45585</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45585</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45585</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45585</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45585</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45585</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45585</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45585</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45585</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45585</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45585</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45585</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45585</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45585</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45585</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45585</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45585</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45585</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45585</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45585</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45585</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45585</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45585</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45585</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45585</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45585</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45585</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45585</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45585</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45585</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45585</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45585</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45585</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45585</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45585</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45585</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45585</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45585</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45585</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45585</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45585</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45585</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45585</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45585</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45585</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45585</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45585</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45585</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45585</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45585</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45585</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45585</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45585</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45585</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45585</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45585</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45585</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45585</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45585</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45585</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45585</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45585</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45585</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45585</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45585</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45585</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45585</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45585</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45585</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45585</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45585</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45585</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45585</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45585</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45585</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45585</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45585</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45585</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45585</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45585</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45585</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45585</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45585</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45585</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45585</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45585</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45585</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45585</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45585</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45585</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45585</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45585</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45585</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45585</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45585</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45585</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45585</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45585</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45585</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45585</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45585</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45585</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45585</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45585</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45585</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45585</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45585</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45585</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45585</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45585</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45585</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45585</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45585</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45585</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45585</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45585</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45585</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45585</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45585</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45585</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45585</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45585</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45585</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45585</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45585</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45585</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45585</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45585</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45585</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45585</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45585</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45585</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45585</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45585</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45585</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45585</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45585</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45585</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45585</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45585</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45585</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45585</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45585</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45585</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45585</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45585</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45585</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45585</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45585</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45585</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45585</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45585</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45585</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45585</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45585</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45585</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45585</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45585</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45585</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45585</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45585</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45585</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45585</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45585</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45585</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45585</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45585</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45585</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45585</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45585</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45585</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45585</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45585</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45585</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45585</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45585</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45585</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45585</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45585</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45585</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45585</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45585</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45585</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45585</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45585</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45585</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45585</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45585</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45585</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45585</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45585</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45585</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45585</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45585</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45585</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45585</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45585</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45585</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45585</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45585</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45585</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45585</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45585</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45585</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45585</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45585</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45585</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45585</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45585</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45585</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45585</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45585</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45585</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45585</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45585</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45585</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45585</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45585</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45585</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45585</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45585</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45585</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45585</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45585</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45585</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45585</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45585</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45585</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45585</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45585</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45585</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45585</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45585</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45585</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45585</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45585</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45585</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45585</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45585</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45585</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45585</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45585</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45585</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45585</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45585</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45585</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45585</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45585</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45585</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45585</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45585</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45585</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45585</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45585</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45585</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45585</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45585</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45585</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45585</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45585</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45585</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45585</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45585</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45585</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45585</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45585</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45585</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45585</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45585</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45585</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45585</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45585</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45585</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45585</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45585</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45585</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45585</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45585</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45585</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45585</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45585</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45585</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45585</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45585</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45585</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45585</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45585</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45585</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45585</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45585</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45585</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45585</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45585</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45585</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45585</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45585</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45585</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45585</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45585</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45585</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45585</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45585</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45585</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45585</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45585</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45585</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45585</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45585</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45585</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45585</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45585</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45585</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45585</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45585</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45585</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45585</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45585</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45585</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45585</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45585</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45585</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45585</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45585</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45585</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45585</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45585</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45585</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45585</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45585</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45585</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45585</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45585</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45585</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45585</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45585</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45585</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45585</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45585</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45585</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45585</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45585</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45585</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45585</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45585</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45585</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45585</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45585</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45585</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45585</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45585</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45585</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45585</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45585</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45585</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45585</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45585</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45585</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45585</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45585</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45585</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45585</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45585</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45585</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45585</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45585</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45585</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45585</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45585</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45585</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45585</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45585</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45585</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45585</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45585</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45585</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45585</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45585</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45585</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45585</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45585</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45585</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45585</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45585</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45585</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45585</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45585</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45585</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45585</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45585</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45585</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45585</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45585</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45585</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45585</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45585</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45585</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45585</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45585</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45585</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45585</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45585</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45585</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45585</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45585</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45585</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45585</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45585</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45585</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45585</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45585</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45585</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45585</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45585</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45585</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45585</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45585</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45585</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45585</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45585</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45585</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45585</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45585</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45585</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45585</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45585</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45585</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45585</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45585</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45585</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45585</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45585</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45585</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45585</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45585</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45585</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45585</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45585</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45585</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45585</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45585</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45585</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45585</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45585</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45585</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45585</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45585</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45585</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45585</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45585</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45585</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45585</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45585</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45585</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45585</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45585</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45585</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45585</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45585</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45585</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45585</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45585</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45585</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45585</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45585</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45585</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45585</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45585</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45585</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45585</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45585</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45585</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45585</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45585</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45585</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45585</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45585</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45585</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45585</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45585</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45585</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45585</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45585</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45585</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45585</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45585</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45585</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45585</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45585</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45585</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45585</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45585</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45585</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45585</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45585</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45585</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45585</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45585</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45585</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45585</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45585</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45585</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45585</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45585</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45585</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45585</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45585</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45585</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45585</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45585</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45585</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45585</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45585</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45585</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45585</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45585</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45585</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45585</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45585</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45585</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45585</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45585</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45585</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45585</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45585</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45585</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45585</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45585</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45585</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45585</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45585</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45585</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45585</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45585</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45585</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45585</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45585</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45585</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45585</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45585</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45585</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45585</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45585</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45585</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45585</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45585</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45585</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45585</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45585</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45585</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45585</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45585</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45585</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45585</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45585</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45585</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45585</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45585</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45585</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45585</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45585</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45585</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45585</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45585</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45585</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45585</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45585</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45585</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45585</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45585</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45585</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45585</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45585</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45585</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45585</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45585</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45585</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45585</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45585</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45585</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45585</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45585</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45585</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45585</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45585</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45585</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45585</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45585</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45585</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45585</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45585</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45585</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45585</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45585</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45585</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45585</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45585</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45585</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45585</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45585</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45585</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45585</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45585</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45585</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45585</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45585</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45585</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45585</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45585</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45585</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45585</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45585</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45585</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45585</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45585</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45585</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45585</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45585</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45585</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45585</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45585</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45585</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45585</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45585</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45585</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45585</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45585</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45585</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45585</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45585</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45585</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45585</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45585</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45585</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45585</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45585</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45585</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45585</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45585</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45585</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45585</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45585</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45585</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45585</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45585</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45585</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45585</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45585</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45585</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45585</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45585</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45585</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45585</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45585</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45585</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45585</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45585</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45585</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45585</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45585</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45585</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45585</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45585</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45585</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45585</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45585</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45585</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45585</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45585</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45585</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45585</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45585</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45585</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45585</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45585</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45585</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45585</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45585</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45585</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45585</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45585</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45585</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45585</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45585</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45585</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45585</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45585</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45585</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45585</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45585</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45585</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45585</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45585</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45585</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45585</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45585</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45585</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45585</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45585</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45585</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45585</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45585</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45585</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45585</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45585</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45585</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45585</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45585</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45585</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45585</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45585</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45585</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45585</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45585</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45585</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45585</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45585</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45585</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45585</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45585</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45585</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45585</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45585</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45585</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45585</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45585</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45585</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45585</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45585</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45585</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45585</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45585</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45585</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45585</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45585</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45585</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45585</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45585</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45585</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45585</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45585</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45585</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45585</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45585</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45585</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45585</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45585</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45585</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45585</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45585</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45585</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45585</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45585</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45585</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45585</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45585</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45585</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45585</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45585</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45585</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45585</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45585</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45585</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45585</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45585</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45585</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45585</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45585</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45585</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45585</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45585</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45585</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45585</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45585</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45585</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45585</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45585</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45585</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45585</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45585</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45585</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45585</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45585</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45585</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45585</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45585</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45585</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45585</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45585</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45585</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45585</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45585</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45585</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45585</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45585</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45585</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45585</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45585</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45585</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45585</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45585</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45585</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45585</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45585</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45585</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45585</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45585</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45585</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45585</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45585</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45585</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45585</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45585</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45585</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45585</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45585</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45585</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45585</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45585</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45585</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45585</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45585</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45585</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45585</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45585</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45585</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45585</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45585</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45585</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45585</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45585</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45585</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45585</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45585</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45585</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45585</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45585</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45585</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45585</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45585</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45585</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45585</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45585</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45585</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45585</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45585</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45585</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45585</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45585</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45585</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45585</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45585</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45585</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45585</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45585</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45585</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45585</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45585</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45585</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45585</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45585</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45585</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45585</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45585</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45585</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45585</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45585</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45585</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45585</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45585</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45585</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45585</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45585</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45585</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45585</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45585</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45585</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45585</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45585</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45585</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45585</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45585</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45585</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45585</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45585</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45585</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45585</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45585</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45585</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45585</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45585</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45585</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45585</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45585</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45585</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45585</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45585</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45585</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45585</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45585</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45585</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45585</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45585</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45585</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45585</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45585</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45585</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45585</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45585</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45585</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45585</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45585</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45585</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45585</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45585</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45585</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45585</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45585</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45585</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45585</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45585</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45585</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45585</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45585</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45585</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45585</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45585</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45585</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45585</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45585</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45585</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45585</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45585</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45585</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45585</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45585</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45585</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45585</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45585</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45585</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45585</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45585</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45585</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45585</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45585</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45585</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45585</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45585</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45585</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45585</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45585</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45585</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45585</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45585</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45585</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45585</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45585</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45585</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45585</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45585</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45585</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45585</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45585</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45585</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45585</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45585</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45585</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45585</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45585</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45585</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45585</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45585</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45585</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45585</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45585</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45585</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45585</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45585</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45585</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45585</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45585</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45585</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45585</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45585</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45585</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45585</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45585</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45585</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45585</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45585</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45585</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45585</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45585</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45585</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45585</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45585</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45585</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45585</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45585</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45585</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45585</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45585</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45585</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45585</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45585</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45585</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45585</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45585</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45585</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45585</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45585</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45585</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45585</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45585</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45585</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45585</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45585</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45585</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45585</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45585</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45585</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45585</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45585</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45585</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45585</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45585</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45585</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45585</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45585</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45585</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45585</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45585</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45585</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45585</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45585</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45585</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45585</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45585</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45585</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45585</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45585</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45585</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45585</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45585</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45585</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45585</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45585</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45585</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45585</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45585</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45585</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45585</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45585</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45585</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45585</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45585</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45585</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45585</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45585</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45585</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45585</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45585</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45585</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45585</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45585</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45585</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45585</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45585</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45585</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45585</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45585</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45585</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45585</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45585</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45585</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45585</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45585</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45585</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45585</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45585</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45585</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45585</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45585</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45585</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45585</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45585</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45585</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45585</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45585</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45585</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45585</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45585</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45585</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45585</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45585</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45585</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45585</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45585</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45585</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45585</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45585</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45585</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45585</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45585</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45585</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45585</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45585</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45585</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45585</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45585</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45585</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45585</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45585</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45585</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45585</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45585</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45585</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45585</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45585</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45585</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45585</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45585</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45585</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45585</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45585</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45585</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45585</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45585</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45585</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45585</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45585</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45585</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45585</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45585</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45585</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45585</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45585</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45585</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45585</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45585</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45585</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45585</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45585</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45585</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45585</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45585</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45585</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45585</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45585</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45585</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45585</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45585</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45585</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45585</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45585</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45585</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45585</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45585</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45585</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45585</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45585</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45585</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45585</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45585</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45585</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45585</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45585</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45585</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45585</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45585</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45585</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45585</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45585</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45585</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45585</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45585</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45585</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45585</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45585</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45585</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45585</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45585</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45585</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45585</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45585</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45585</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45585</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45585</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45585</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45585</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45585</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45585</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45585</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45585</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45585</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45585</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45585</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45585</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45585</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45585</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45585</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45585</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45585</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45585</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45585</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45585</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45585</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45585</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45585</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45585</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45585</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45585</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45585</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45585</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45585</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45585</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45585</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45585</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45585</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45585</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45585</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45585</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45585</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45585</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45585</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45585</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45585</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45585</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45585</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45585</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45585</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45585</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45585</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45585</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45585</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45585</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45585</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45585</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45585</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45585</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45585</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45585</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45585</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45585</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45585</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45585</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45585</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45585</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45585</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45585</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45585</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45585</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45585</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45585</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45585</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45585</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45585</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45585</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45585</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45585</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45585</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45585</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45585</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45585</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45585</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45585</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45585</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45585</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45585</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45585</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45585</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45585</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45585</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45585</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45585</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45585</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45585</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45585</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45585</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45585</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45585</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45585</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45585</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45585</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45585</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45585</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45585</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45585</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45585</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45585</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45585</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45585</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45585</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45585</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45585</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45585</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45585</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45585</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45585</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45585</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45585</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45585</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45585</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45585</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45585</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45585</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45585</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45585</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45585</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45585</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45585</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45585</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45585</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45585</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45585</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45585</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45585</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45585</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45585</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45585</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45585</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45585</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45585</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45585</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45585</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45585</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45585</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45585</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45585</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45585</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45585</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45585</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45585</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45585</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45585</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45585</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45585</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45585</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45585</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45585</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45585</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45585</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45585</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45585</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45585</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45585</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45585</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45585</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45585</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45585</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45585</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45585</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45585</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45585</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45585</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45585</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45585</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45585</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45585</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45585</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45585</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45585</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45585</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45585</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45585</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45585</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45585</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45585</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45585</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45585</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45585</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45585</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45585</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45585</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45585</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45585</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45585</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45585</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45585</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45585</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45585</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45585</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45585</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45585</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45585</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45585</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45585</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45585</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45585</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45585</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45585</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45585</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45585</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45585</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45585</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45585</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45585</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45585</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45585</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45585</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45585</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45585</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45585</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45585</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45585</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45585</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45585</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45585</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45585</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45585</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45585</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45585</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45585</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45585</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45585</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45585</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45585</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45585</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45585</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45585</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45585</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45585</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45585</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45585</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45585</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45585</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45585</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45585</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45585</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45585</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45585</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45585</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45585</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45585</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45585</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45585</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45585</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45585</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45585</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45585</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45585</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45585</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45585</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45585</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45585</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45585</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45585</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45585</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45585</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45585</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45585</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45585</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45585</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45585</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45585</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45585</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45585</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45585</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45585</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45585</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45585</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45585</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45585</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45585</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45585</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45585</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45585</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45585</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45585</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45585</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45585</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45585</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45585</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45585</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45585</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45585</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45585</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45585</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45585</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45585</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45585</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45585</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45585</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45585</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45585</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45585</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45585</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45585</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45585</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45585</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45585</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45585</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45585</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45585</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45585</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45585</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45585</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45585</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45585</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45585</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45585</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45585</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45585</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45585</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45585</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45585</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45585</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45585</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45585</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45585</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45585</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45585</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45585</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45585</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45585</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45585</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45585</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45585</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45585</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45585</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45585</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45585</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45585</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45585</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45585</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45585</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45585</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45585</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45585</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45585</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45585</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45585</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45585</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45585</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45585</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45585</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45585</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45585</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45585</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45585</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45585</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45585</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45585</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45585</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45585</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45585</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45585</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45585</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45585</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45585</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45585</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45585</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45585</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45585</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45585</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45585</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45585</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45585</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45585</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45585</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45585</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45585</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45585</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45585</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45585</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45585</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45585</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45585</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45585</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45585</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45585</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45585</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45585</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45585</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45585</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45585</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45585</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45585</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45585</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45585</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45585</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45585</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45585</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45585</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45585</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45585</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45585</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45585</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45585</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45585</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45585</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45585</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45585</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45585</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45585</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45585</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45585</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45585</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45585</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45585</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45585</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45585</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45585</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45585</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45585</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45585</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45585</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45585</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45585</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45585</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45585</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45585</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45585</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45585</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45585</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45585</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45585</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45585</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45585</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45585</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45585</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45585</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45585</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45585</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45585</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45585</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45585</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45585</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45585</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45585</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45585</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45585</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45585</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45585</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45585</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45585</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45585</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45585</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45585</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45585</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45585</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45585</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45585</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45585</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45585</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45585</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45585</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45585</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45585</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45585</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45585</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45585</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45585</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45585</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45585</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45585</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45585</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45585</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45585</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45585</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45585</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45585</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45585</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45585</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45585</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45585</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45585</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45585</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45585</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45585</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45585</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45585</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45585</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45585</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45585</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45585</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45585</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45585</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45585</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45585</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45585</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45585</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45585</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45585</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45585</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45585</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45585</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45585</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45585</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45585</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45585</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45585</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45585</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45585</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45585</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45585</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45585</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45585</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45585</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45585</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45585</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45585</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45585</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45585</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45585</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45585</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45585</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45585</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45585</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45585</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45585</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45585</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45585</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45585</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45585</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45585</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45585</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45585</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45585</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45585</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45585</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45585</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45585</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45585</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45585</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45585</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45585</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45585</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45585</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45585</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45585</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45585</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45585</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45585</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45585</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45585</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45585</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45585</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45585</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45585</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45585</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45585</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45585</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45585</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45585</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45585</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45585</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45585</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45585</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45585</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45585</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45585</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45585</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45585</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45585</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45585</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45585</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45585</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45585</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45585</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45585</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45585</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45585</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45585</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45585</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45585</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45585</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45585</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45585</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45585</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45585</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45585</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45585</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45585</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45585</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45585</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45585</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45585</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45585</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45585</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45585</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45585</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45585</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45585</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45585</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45585</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45585</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45585</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45585</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45585</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45585</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40395-2024</t>
        </is>
      </c>
      <c r="B6697" s="1" t="n">
        <v>45555</v>
      </c>
      <c r="C6697" s="1" t="n">
        <v>45585</v>
      </c>
      <c r="D6697" t="inlineStr">
        <is>
          <t>SKÅNE LÄN</t>
        </is>
      </c>
      <c r="E6697" t="inlineStr">
        <is>
          <t>OSBY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40536-2024</t>
        </is>
      </c>
      <c r="B6698" s="1" t="n">
        <v>45555</v>
      </c>
      <c r="C6698" s="1" t="n">
        <v>45585</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40540-2024</t>
        </is>
      </c>
      <c r="B6699" s="1" t="n">
        <v>45555</v>
      </c>
      <c r="C6699" s="1" t="n">
        <v>45585</v>
      </c>
      <c r="D6699" t="inlineStr">
        <is>
          <t>SKÅNE LÄN</t>
        </is>
      </c>
      <c r="E6699" t="inlineStr">
        <is>
          <t>KRISTIANSTAD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45585</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40419-2024</t>
        </is>
      </c>
      <c r="B6701" s="1" t="n">
        <v>45555</v>
      </c>
      <c r="C6701" s="1" t="n">
        <v>45585</v>
      </c>
      <c r="D6701" t="inlineStr">
        <is>
          <t>SKÅNE LÄN</t>
        </is>
      </c>
      <c r="E6701" t="inlineStr">
        <is>
          <t>KRISTIANSTAD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40423-2024</t>
        </is>
      </c>
      <c r="B6702" s="1" t="n">
        <v>45555</v>
      </c>
      <c r="C6702" s="1" t="n">
        <v>45585</v>
      </c>
      <c r="D6702" t="inlineStr">
        <is>
          <t>SKÅNE LÄN</t>
        </is>
      </c>
      <c r="E6702" t="inlineStr">
        <is>
          <t>KRISTIANSTAD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40668-2024</t>
        </is>
      </c>
      <c r="B6703" s="1" t="n">
        <v>45558</v>
      </c>
      <c r="C6703" s="1" t="n">
        <v>45585</v>
      </c>
      <c r="D6703" t="inlineStr">
        <is>
          <t>SKÅNE LÄN</t>
        </is>
      </c>
      <c r="E6703" t="inlineStr">
        <is>
          <t>KRISTIANSTAD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40739-2024</t>
        </is>
      </c>
      <c r="B6704" s="1" t="n">
        <v>45558</v>
      </c>
      <c r="C6704" s="1" t="n">
        <v>45585</v>
      </c>
      <c r="D6704" t="inlineStr">
        <is>
          <t>SKÅNE LÄN</t>
        </is>
      </c>
      <c r="E6704" t="inlineStr">
        <is>
          <t>HÄSSLEHOLM</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40747-2024</t>
        </is>
      </c>
      <c r="B6705" s="1" t="n">
        <v>45558</v>
      </c>
      <c r="C6705" s="1" t="n">
        <v>45585</v>
      </c>
      <c r="D6705" t="inlineStr">
        <is>
          <t>SKÅNE LÄN</t>
        </is>
      </c>
      <c r="E6705" t="inlineStr">
        <is>
          <t>KRISTIANSTAD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40866-2024</t>
        </is>
      </c>
      <c r="B6706" s="1" t="n">
        <v>45558</v>
      </c>
      <c r="C6706" s="1" t="n">
        <v>45585</v>
      </c>
      <c r="D6706" t="inlineStr">
        <is>
          <t>SKÅNE LÄN</t>
        </is>
      </c>
      <c r="E6706" t="inlineStr">
        <is>
          <t>KRISTIANSTAD</t>
        </is>
      </c>
      <c r="F6706" t="inlineStr">
        <is>
          <t>Övriga Aktiebolag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40882-2024</t>
        </is>
      </c>
      <c r="B6707" s="1" t="n">
        <v>45558</v>
      </c>
      <c r="C6707" s="1" t="n">
        <v>45585</v>
      </c>
      <c r="D6707" t="inlineStr">
        <is>
          <t>SKÅNE LÄN</t>
        </is>
      </c>
      <c r="E6707" t="inlineStr">
        <is>
          <t>OSBY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40903-2024</t>
        </is>
      </c>
      <c r="B6708" s="1" t="n">
        <v>45558</v>
      </c>
      <c r="C6708" s="1" t="n">
        <v>45585</v>
      </c>
      <c r="D6708" t="inlineStr">
        <is>
          <t>SKÅNE LÄN</t>
        </is>
      </c>
      <c r="E6708" t="inlineStr">
        <is>
          <t>KRISTIANSTAD</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40734-2024</t>
        </is>
      </c>
      <c r="B6709" s="1" t="n">
        <v>45558</v>
      </c>
      <c r="C6709" s="1" t="n">
        <v>45585</v>
      </c>
      <c r="D6709" t="inlineStr">
        <is>
          <t>SKÅNE LÄN</t>
        </is>
      </c>
      <c r="E6709" t="inlineStr">
        <is>
          <t>HÄSSLEHOLM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40738-2024</t>
        </is>
      </c>
      <c r="B6710" s="1" t="n">
        <v>45558</v>
      </c>
      <c r="C6710" s="1" t="n">
        <v>45585</v>
      </c>
      <c r="D6710" t="inlineStr">
        <is>
          <t>SKÅNE LÄN</t>
        </is>
      </c>
      <c r="E6710" t="inlineStr">
        <is>
          <t>HÄSSLEHOLM</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40938-2024</t>
        </is>
      </c>
      <c r="B6711" s="1" t="n">
        <v>45558</v>
      </c>
      <c r="C6711" s="1" t="n">
        <v>45585</v>
      </c>
      <c r="D6711" t="inlineStr">
        <is>
          <t>SKÅNE LÄN</t>
        </is>
      </c>
      <c r="E6711" t="inlineStr">
        <is>
          <t>ÖSTRA GÖINGE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40884-2024</t>
        </is>
      </c>
      <c r="B6712" s="1" t="n">
        <v>45558</v>
      </c>
      <c r="C6712" s="1" t="n">
        <v>45585</v>
      </c>
      <c r="D6712" t="inlineStr">
        <is>
          <t>SKÅNE LÄN</t>
        </is>
      </c>
      <c r="E6712" t="inlineStr">
        <is>
          <t>KRISTIANSTAD</t>
        </is>
      </c>
      <c r="F6712" t="inlineStr">
        <is>
          <t>Övriga Aktiebolag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40975-2024</t>
        </is>
      </c>
      <c r="B6713" s="1" t="n">
        <v>45558</v>
      </c>
      <c r="C6713" s="1" t="n">
        <v>45585</v>
      </c>
      <c r="D6713" t="inlineStr">
        <is>
          <t>SKÅNE LÄN</t>
        </is>
      </c>
      <c r="E6713" t="inlineStr">
        <is>
          <t>KRISTIANSTAD</t>
        </is>
      </c>
      <c r="F6713" t="inlineStr">
        <is>
          <t>Övriga Aktiebolag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40962-2024</t>
        </is>
      </c>
      <c r="B6714" s="1" t="n">
        <v>45558</v>
      </c>
      <c r="C6714" s="1" t="n">
        <v>45585</v>
      </c>
      <c r="D6714" t="inlineStr">
        <is>
          <t>SKÅNE LÄN</t>
        </is>
      </c>
      <c r="E6714" t="inlineStr">
        <is>
          <t>KRISTIANSTAD</t>
        </is>
      </c>
      <c r="F6714" t="inlineStr">
        <is>
          <t>Övriga Aktiebolag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40896-2024</t>
        </is>
      </c>
      <c r="B6715" s="1" t="n">
        <v>45558</v>
      </c>
      <c r="C6715" s="1" t="n">
        <v>45585</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40900-2024</t>
        </is>
      </c>
      <c r="B6716" s="1" t="n">
        <v>45558</v>
      </c>
      <c r="C6716" s="1" t="n">
        <v>45585</v>
      </c>
      <c r="D6716" t="inlineStr">
        <is>
          <t>SKÅNE LÄN</t>
        </is>
      </c>
      <c r="E6716" t="inlineStr">
        <is>
          <t>ÖSTRA GÖINGE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41005-2024</t>
        </is>
      </c>
      <c r="B6717" s="1" t="n">
        <v>45559</v>
      </c>
      <c r="C6717" s="1" t="n">
        <v>45585</v>
      </c>
      <c r="D6717" t="inlineStr">
        <is>
          <t>SKÅNE LÄN</t>
        </is>
      </c>
      <c r="E6717" t="inlineStr">
        <is>
          <t>OSBY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40916-2024</t>
        </is>
      </c>
      <c r="B6718" s="1" t="n">
        <v>45558</v>
      </c>
      <c r="C6718" s="1" t="n">
        <v>45585</v>
      </c>
      <c r="D6718" t="inlineStr">
        <is>
          <t>SKÅNE LÄN</t>
        </is>
      </c>
      <c r="E6718" t="inlineStr">
        <is>
          <t>KRISTIANSTAD</t>
        </is>
      </c>
      <c r="F6718" t="inlineStr">
        <is>
          <t>Övriga Aktiebolag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40973-2024</t>
        </is>
      </c>
      <c r="B6719" s="1" t="n">
        <v>45558</v>
      </c>
      <c r="C6719" s="1" t="n">
        <v>45585</v>
      </c>
      <c r="D6719" t="inlineStr">
        <is>
          <t>SKÅNE LÄN</t>
        </is>
      </c>
      <c r="E6719" t="inlineStr">
        <is>
          <t>KRISTIANSTAD</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45585</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45585</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45585</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41680-2024</t>
        </is>
      </c>
      <c r="B6723" s="1" t="n">
        <v>45560</v>
      </c>
      <c r="C6723" s="1" t="n">
        <v>45585</v>
      </c>
      <c r="D6723" t="inlineStr">
        <is>
          <t>SKÅNE LÄN</t>
        </is>
      </c>
      <c r="E6723" t="inlineStr">
        <is>
          <t>HÄSSLEHOLM</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41694-2024</t>
        </is>
      </c>
      <c r="B6724" s="1" t="n">
        <v>45560</v>
      </c>
      <c r="C6724" s="1" t="n">
        <v>45585</v>
      </c>
      <c r="D6724" t="inlineStr">
        <is>
          <t>SKÅNE LÄN</t>
        </is>
      </c>
      <c r="E6724" t="inlineStr">
        <is>
          <t>HÄSSLEHOLM</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45585</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45585</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41809-2024</t>
        </is>
      </c>
      <c r="B6727" s="1" t="n">
        <v>45561</v>
      </c>
      <c r="C6727" s="1" t="n">
        <v>45585</v>
      </c>
      <c r="D6727" t="inlineStr">
        <is>
          <t>SKÅNE LÄN</t>
        </is>
      </c>
      <c r="E6727" t="inlineStr">
        <is>
          <t>KRISTIANSTAD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41874-2024</t>
        </is>
      </c>
      <c r="B6728" s="1" t="n">
        <v>45561</v>
      </c>
      <c r="C6728" s="1" t="n">
        <v>45585</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45585</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42145-2024</t>
        </is>
      </c>
      <c r="B6730" s="1" t="n">
        <v>45562</v>
      </c>
      <c r="C6730" s="1" t="n">
        <v>45585</v>
      </c>
      <c r="D6730" t="inlineStr">
        <is>
          <t>SKÅNE LÄN</t>
        </is>
      </c>
      <c r="E6730" t="inlineStr">
        <is>
          <t>SVALÖV</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42281-2024</t>
        </is>
      </c>
      <c r="B6731" s="1" t="n">
        <v>45562</v>
      </c>
      <c r="C6731" s="1" t="n">
        <v>45585</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42284-2024</t>
        </is>
      </c>
      <c r="B6732" s="1" t="n">
        <v>45562</v>
      </c>
      <c r="C6732" s="1" t="n">
        <v>45585</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42305-2024</t>
        </is>
      </c>
      <c r="B6733" s="1" t="n">
        <v>45562</v>
      </c>
      <c r="C6733" s="1" t="n">
        <v>45585</v>
      </c>
      <c r="D6733" t="inlineStr">
        <is>
          <t>SKÅNE LÄN</t>
        </is>
      </c>
      <c r="E6733" t="inlineStr">
        <is>
          <t>KLIPPAN</t>
        </is>
      </c>
      <c r="F6733" t="inlineStr">
        <is>
          <t>Sveaskog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42303-2024</t>
        </is>
      </c>
      <c r="B6734" s="1" t="n">
        <v>45562</v>
      </c>
      <c r="C6734" s="1" t="n">
        <v>45585</v>
      </c>
      <c r="D6734" t="inlineStr">
        <is>
          <t>SKÅNE LÄN</t>
        </is>
      </c>
      <c r="E6734" t="inlineStr">
        <is>
          <t>KLIPPAN</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42311-2024</t>
        </is>
      </c>
      <c r="B6735" s="1" t="n">
        <v>45562</v>
      </c>
      <c r="C6735" s="1" t="n">
        <v>45585</v>
      </c>
      <c r="D6735" t="inlineStr">
        <is>
          <t>SKÅNE LÄN</t>
        </is>
      </c>
      <c r="E6735" t="inlineStr">
        <is>
          <t>KLIPPAN</t>
        </is>
      </c>
      <c r="F6735" t="inlineStr">
        <is>
          <t>Sveaskog</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42261-2024</t>
        </is>
      </c>
      <c r="B6736" s="1" t="n">
        <v>45562</v>
      </c>
      <c r="C6736" s="1" t="n">
        <v>45585</v>
      </c>
      <c r="D6736" t="inlineStr">
        <is>
          <t>SKÅNE LÄN</t>
        </is>
      </c>
      <c r="E6736" t="inlineStr">
        <is>
          <t>TOMELILLA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42275-2024</t>
        </is>
      </c>
      <c r="B6737" s="1" t="n">
        <v>45562</v>
      </c>
      <c r="C6737" s="1" t="n">
        <v>45585</v>
      </c>
      <c r="D6737" t="inlineStr">
        <is>
          <t>SKÅNE LÄN</t>
        </is>
      </c>
      <c r="E6737" t="inlineStr">
        <is>
          <t>KLIPPAN</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45585</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45585</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45585</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42308-2024</t>
        </is>
      </c>
      <c r="B6741" s="1" t="n">
        <v>45562</v>
      </c>
      <c r="C6741" s="1" t="n">
        <v>45585</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45585</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42373-2024</t>
        </is>
      </c>
      <c r="B6743" s="1" t="n">
        <v>45564</v>
      </c>
      <c r="C6743" s="1" t="n">
        <v>45585</v>
      </c>
      <c r="D6743" t="inlineStr">
        <is>
          <t>SKÅNE LÄN</t>
        </is>
      </c>
      <c r="E6743" t="inlineStr">
        <is>
          <t>ÖSTRA GÖINGE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42372-2024</t>
        </is>
      </c>
      <c r="B6744" s="1" t="n">
        <v>45564</v>
      </c>
      <c r="C6744" s="1" t="n">
        <v>45585</v>
      </c>
      <c r="D6744" t="inlineStr">
        <is>
          <t>SKÅNE LÄN</t>
        </is>
      </c>
      <c r="E6744" t="inlineStr">
        <is>
          <t>HÄSSLEHOLM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45585</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45585</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42433-2024</t>
        </is>
      </c>
      <c r="B6747" s="1" t="n">
        <v>45565</v>
      </c>
      <c r="C6747" s="1" t="n">
        <v>45585</v>
      </c>
      <c r="D6747" t="inlineStr">
        <is>
          <t>SKÅNE LÄN</t>
        </is>
      </c>
      <c r="E6747" t="inlineStr">
        <is>
          <t>PERSTORP</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42454-2024</t>
        </is>
      </c>
      <c r="B6748" s="1" t="n">
        <v>45565</v>
      </c>
      <c r="C6748" s="1" t="n">
        <v>45585</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42472-2024</t>
        </is>
      </c>
      <c r="B6749" s="1" t="n">
        <v>45565</v>
      </c>
      <c r="C6749" s="1" t="n">
        <v>45585</v>
      </c>
      <c r="D6749" t="inlineStr">
        <is>
          <t>SKÅNE LÄN</t>
        </is>
      </c>
      <c r="E6749" t="inlineStr">
        <is>
          <t>KRISTIANSTAD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42790-2024</t>
        </is>
      </c>
      <c r="B6750" s="1" t="n">
        <v>45566</v>
      </c>
      <c r="C6750" s="1" t="n">
        <v>45585</v>
      </c>
      <c r="D6750" t="inlineStr">
        <is>
          <t>SKÅNE LÄN</t>
        </is>
      </c>
      <c r="E6750" t="inlineStr">
        <is>
          <t>KRISTIANSTAD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42794-2024</t>
        </is>
      </c>
      <c r="B6751" s="1" t="n">
        <v>45566</v>
      </c>
      <c r="C6751" s="1" t="n">
        <v>45585</v>
      </c>
      <c r="D6751" t="inlineStr">
        <is>
          <t>SKÅNE LÄN</t>
        </is>
      </c>
      <c r="E6751" t="inlineStr">
        <is>
          <t>TOMELILLA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42735-2024</t>
        </is>
      </c>
      <c r="B6752" s="1" t="n">
        <v>45566</v>
      </c>
      <c r="C6752" s="1" t="n">
        <v>45585</v>
      </c>
      <c r="D6752" t="inlineStr">
        <is>
          <t>SKÅNE LÄN</t>
        </is>
      </c>
      <c r="E6752" t="inlineStr">
        <is>
          <t>HÄSSLEHOLM</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42797-2024</t>
        </is>
      </c>
      <c r="B6753" s="1" t="n">
        <v>45566</v>
      </c>
      <c r="C6753" s="1" t="n">
        <v>45585</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42653-2024</t>
        </is>
      </c>
      <c r="B6754" s="1" t="n">
        <v>45566</v>
      </c>
      <c r="C6754" s="1" t="n">
        <v>45585</v>
      </c>
      <c r="D6754" t="inlineStr">
        <is>
          <t>SKÅNE LÄN</t>
        </is>
      </c>
      <c r="E6754" t="inlineStr">
        <is>
          <t>ÖRKELLJUNGA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45585</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45585</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45585</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45585</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42909-2024</t>
        </is>
      </c>
      <c r="B6759" s="1" t="n">
        <v>45566</v>
      </c>
      <c r="C6759" s="1" t="n">
        <v>45585</v>
      </c>
      <c r="D6759" t="inlineStr">
        <is>
          <t>SKÅNE LÄN</t>
        </is>
      </c>
      <c r="E6759" t="inlineStr">
        <is>
          <t>BROMÖLLA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45585</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45585</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45585</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43314-2024</t>
        </is>
      </c>
      <c r="B6763" s="1" t="n">
        <v>45568</v>
      </c>
      <c r="C6763" s="1" t="n">
        <v>45585</v>
      </c>
      <c r="D6763" t="inlineStr">
        <is>
          <t>SKÅNE LÄN</t>
        </is>
      </c>
      <c r="E6763" t="inlineStr">
        <is>
          <t>KRISTIANSTAD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43338-2024</t>
        </is>
      </c>
      <c r="B6764" s="1" t="n">
        <v>45568</v>
      </c>
      <c r="C6764" s="1" t="n">
        <v>45585</v>
      </c>
      <c r="D6764" t="inlineStr">
        <is>
          <t>SKÅNE LÄN</t>
        </is>
      </c>
      <c r="E6764" t="inlineStr">
        <is>
          <t>OSBY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43312-2024</t>
        </is>
      </c>
      <c r="B6765" s="1" t="n">
        <v>45568</v>
      </c>
      <c r="C6765" s="1" t="n">
        <v>45585</v>
      </c>
      <c r="D6765" t="inlineStr">
        <is>
          <t>SKÅNE LÄN</t>
        </is>
      </c>
      <c r="E6765" t="inlineStr">
        <is>
          <t>KRISTIANSTAD</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43348-2024</t>
        </is>
      </c>
      <c r="B6766" s="1" t="n">
        <v>45568</v>
      </c>
      <c r="C6766" s="1" t="n">
        <v>45585</v>
      </c>
      <c r="D6766" t="inlineStr">
        <is>
          <t>SKÅNE LÄN</t>
        </is>
      </c>
      <c r="E6766" t="inlineStr">
        <is>
          <t>KRISTIANSTAD</t>
        </is>
      </c>
      <c r="F6766" t="inlineStr">
        <is>
          <t>Kyrkan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45585</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45585</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45585</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43347-2024</t>
        </is>
      </c>
      <c r="B6770" s="1" t="n">
        <v>45568</v>
      </c>
      <c r="C6770" s="1" t="n">
        <v>45585</v>
      </c>
      <c r="D6770" t="inlineStr">
        <is>
          <t>SKÅNE LÄN</t>
        </is>
      </c>
      <c r="E6770" t="inlineStr">
        <is>
          <t>KRISTIANSTAD</t>
        </is>
      </c>
      <c r="F6770" t="inlineStr">
        <is>
          <t>Kyrkan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43401-2024</t>
        </is>
      </c>
      <c r="B6771" s="1" t="n">
        <v>45568</v>
      </c>
      <c r="C6771" s="1" t="n">
        <v>45585</v>
      </c>
      <c r="D6771" t="inlineStr">
        <is>
          <t>SKÅNE LÄN</t>
        </is>
      </c>
      <c r="E6771" t="inlineStr">
        <is>
          <t>ÖSTRA GÖINGE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43469-2024</t>
        </is>
      </c>
      <c r="B6772" s="1" t="n">
        <v>45568</v>
      </c>
      <c r="C6772" s="1" t="n">
        <v>45585</v>
      </c>
      <c r="D6772" t="inlineStr">
        <is>
          <t>SKÅNE LÄN</t>
        </is>
      </c>
      <c r="E6772" t="inlineStr">
        <is>
          <t>HÖÖR</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45585</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43656-2024</t>
        </is>
      </c>
      <c r="B6774" s="1" t="n">
        <v>45569</v>
      </c>
      <c r="C6774" s="1" t="n">
        <v>45585</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43660-2024</t>
        </is>
      </c>
      <c r="B6775" s="1" t="n">
        <v>45569</v>
      </c>
      <c r="C6775" s="1" t="n">
        <v>45585</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43657-2024</t>
        </is>
      </c>
      <c r="B6776" s="1" t="n">
        <v>45569</v>
      </c>
      <c r="C6776" s="1" t="n">
        <v>45585</v>
      </c>
      <c r="D6776" t="inlineStr">
        <is>
          <t>SKÅNE LÄN</t>
        </is>
      </c>
      <c r="E6776" t="inlineStr">
        <is>
          <t>HÄSSLEHOLM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43687-2024</t>
        </is>
      </c>
      <c r="B6777" s="1" t="n">
        <v>45569</v>
      </c>
      <c r="C6777" s="1" t="n">
        <v>45585</v>
      </c>
      <c r="D6777" t="inlineStr">
        <is>
          <t>SKÅNE LÄN</t>
        </is>
      </c>
      <c r="E6777" t="inlineStr">
        <is>
          <t>KRISTIANSTAD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43711-2024</t>
        </is>
      </c>
      <c r="B6778" s="1" t="n">
        <v>45569</v>
      </c>
      <c r="C6778" s="1" t="n">
        <v>45585</v>
      </c>
      <c r="D6778" t="inlineStr">
        <is>
          <t>SKÅNE LÄN</t>
        </is>
      </c>
      <c r="E6778" t="inlineStr">
        <is>
          <t>HÖRBY</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45585</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43724-2024</t>
        </is>
      </c>
      <c r="B6780" s="1" t="n">
        <v>45569</v>
      </c>
      <c r="C6780" s="1" t="n">
        <v>45585</v>
      </c>
      <c r="D6780" t="inlineStr">
        <is>
          <t>SKÅNE LÄN</t>
        </is>
      </c>
      <c r="E6780" t="inlineStr">
        <is>
          <t>SIMRISHAMN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45585</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45585</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45585</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43895-2024</t>
        </is>
      </c>
      <c r="B6784" s="1" t="n">
        <v>45572</v>
      </c>
      <c r="C6784" s="1" t="n">
        <v>45585</v>
      </c>
      <c r="D6784" t="inlineStr">
        <is>
          <t>SKÅNE LÄN</t>
        </is>
      </c>
      <c r="E6784" t="inlineStr">
        <is>
          <t>PERSTORP</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44163-2024</t>
        </is>
      </c>
      <c r="B6785" s="1" t="n">
        <v>45572</v>
      </c>
      <c r="C6785" s="1" t="n">
        <v>45585</v>
      </c>
      <c r="D6785" t="inlineStr">
        <is>
          <t>SKÅNE LÄN</t>
        </is>
      </c>
      <c r="E6785" t="inlineStr">
        <is>
          <t>HÖÖR</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43947-2024</t>
        </is>
      </c>
      <c r="B6786" s="1" t="n">
        <v>45572</v>
      </c>
      <c r="C6786" s="1" t="n">
        <v>45585</v>
      </c>
      <c r="D6786" t="inlineStr">
        <is>
          <t>SKÅNE LÄN</t>
        </is>
      </c>
      <c r="E6786" t="inlineStr">
        <is>
          <t>OSBY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44003-2024</t>
        </is>
      </c>
      <c r="B6787" s="1" t="n">
        <v>45572</v>
      </c>
      <c r="C6787" s="1" t="n">
        <v>45585</v>
      </c>
      <c r="D6787" t="inlineStr">
        <is>
          <t>SKÅNE LÄN</t>
        </is>
      </c>
      <c r="E6787" t="inlineStr">
        <is>
          <t>ÖSTRA GÖINGE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44065-2024</t>
        </is>
      </c>
      <c r="B6788" s="1" t="n">
        <v>45572</v>
      </c>
      <c r="C6788" s="1" t="n">
        <v>45585</v>
      </c>
      <c r="D6788" t="inlineStr">
        <is>
          <t>SKÅNE LÄN</t>
        </is>
      </c>
      <c r="E6788" t="inlineStr">
        <is>
          <t>TOMELILLA</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44073-2024</t>
        </is>
      </c>
      <c r="B6789" s="1" t="n">
        <v>45572</v>
      </c>
      <c r="C6789" s="1" t="n">
        <v>45585</v>
      </c>
      <c r="D6789" t="inlineStr">
        <is>
          <t>SKÅNE LÄN</t>
        </is>
      </c>
      <c r="E6789" t="inlineStr">
        <is>
          <t>HÖRBY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44135-2024</t>
        </is>
      </c>
      <c r="B6790" s="1" t="n">
        <v>45572</v>
      </c>
      <c r="C6790" s="1" t="n">
        <v>45585</v>
      </c>
      <c r="D6790" t="inlineStr">
        <is>
          <t>SKÅNE LÄN</t>
        </is>
      </c>
      <c r="E6790" t="inlineStr">
        <is>
          <t>HÖRBY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44157-2024</t>
        </is>
      </c>
      <c r="B6791" s="1" t="n">
        <v>45572</v>
      </c>
      <c r="C6791" s="1" t="n">
        <v>45585</v>
      </c>
      <c r="D6791" t="inlineStr">
        <is>
          <t>SKÅNE LÄN</t>
        </is>
      </c>
      <c r="E6791" t="inlineStr">
        <is>
          <t>HÖÖR</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45585</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45585</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44228-2024</t>
        </is>
      </c>
      <c r="B6794" s="1" t="n">
        <v>45573</v>
      </c>
      <c r="C6794" s="1" t="n">
        <v>45585</v>
      </c>
      <c r="D6794" t="inlineStr">
        <is>
          <t>SKÅNE LÄN</t>
        </is>
      </c>
      <c r="E6794" t="inlineStr">
        <is>
          <t>KLIPPAN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44378-2024</t>
        </is>
      </c>
      <c r="B6795" s="1" t="n">
        <v>45573</v>
      </c>
      <c r="C6795" s="1" t="n">
        <v>45585</v>
      </c>
      <c r="D6795" t="inlineStr">
        <is>
          <t>SKÅNE LÄN</t>
        </is>
      </c>
      <c r="E6795" t="inlineStr">
        <is>
          <t>KRISTIANSTAD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44196-2024</t>
        </is>
      </c>
      <c r="B6796" s="1" t="n">
        <v>45573</v>
      </c>
      <c r="C6796" s="1" t="n">
        <v>45585</v>
      </c>
      <c r="D6796" t="inlineStr">
        <is>
          <t>SKÅNE LÄN</t>
        </is>
      </c>
      <c r="E6796" t="inlineStr">
        <is>
          <t>SVALÖV</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44363-2024</t>
        </is>
      </c>
      <c r="B6797" s="1" t="n">
        <v>45573</v>
      </c>
      <c r="C6797" s="1" t="n">
        <v>45585</v>
      </c>
      <c r="D6797" t="inlineStr">
        <is>
          <t>SKÅNE LÄN</t>
        </is>
      </c>
      <c r="E6797" t="inlineStr">
        <is>
          <t>KRISTIANSTAD</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44429-2024</t>
        </is>
      </c>
      <c r="B6798" s="1" t="n">
        <v>45574</v>
      </c>
      <c r="C6798" s="1" t="n">
        <v>45585</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44428-2024</t>
        </is>
      </c>
      <c r="B6799" s="1" t="n">
        <v>45574</v>
      </c>
      <c r="C6799" s="1" t="n">
        <v>45585</v>
      </c>
      <c r="D6799" t="inlineStr">
        <is>
          <t>SKÅNE LÄN</t>
        </is>
      </c>
      <c r="E6799" t="inlineStr">
        <is>
          <t>OSBY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44430-2024</t>
        </is>
      </c>
      <c r="B6800" s="1" t="n">
        <v>45574</v>
      </c>
      <c r="C6800" s="1" t="n">
        <v>45585</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44676-2024</t>
        </is>
      </c>
      <c r="B6801" s="1" t="n">
        <v>45574</v>
      </c>
      <c r="C6801" s="1" t="n">
        <v>45585</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45585</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44538-2024</t>
        </is>
      </c>
      <c r="B6803" s="1" t="n">
        <v>45574</v>
      </c>
      <c r="C6803" s="1" t="n">
        <v>45585</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44675-2024</t>
        </is>
      </c>
      <c r="B6804" s="1" t="n">
        <v>45574</v>
      </c>
      <c r="C6804" s="1" t="n">
        <v>45585</v>
      </c>
      <c r="D6804" t="inlineStr">
        <is>
          <t>SKÅNE LÄN</t>
        </is>
      </c>
      <c r="E6804" t="inlineStr">
        <is>
          <t>TOMELILLA</t>
        </is>
      </c>
      <c r="F6804" t="inlineStr">
        <is>
          <t>Sveaskog</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44728-2024</t>
        </is>
      </c>
      <c r="B6805" s="1" t="n">
        <v>45574</v>
      </c>
      <c r="C6805" s="1" t="n">
        <v>45585</v>
      </c>
      <c r="D6805" t="inlineStr">
        <is>
          <t>SKÅNE LÄN</t>
        </is>
      </c>
      <c r="E6805" t="inlineStr">
        <is>
          <t>HÖÖR</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44817-2024</t>
        </is>
      </c>
      <c r="B6806" s="1" t="n">
        <v>45574</v>
      </c>
      <c r="C6806" s="1" t="n">
        <v>45585</v>
      </c>
      <c r="D6806" t="inlineStr">
        <is>
          <t>SKÅNE LÄN</t>
        </is>
      </c>
      <c r="E6806" t="inlineStr">
        <is>
          <t>KRISTIANSTAD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44842-2024</t>
        </is>
      </c>
      <c r="B6807" s="1" t="n">
        <v>45574</v>
      </c>
      <c r="C6807" s="1" t="n">
        <v>45585</v>
      </c>
      <c r="D6807" t="inlineStr">
        <is>
          <t>SKÅNE LÄN</t>
        </is>
      </c>
      <c r="E6807" t="inlineStr">
        <is>
          <t>ÖSTRA GÖINGE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45585</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44853-2024</t>
        </is>
      </c>
      <c r="B6809" s="1" t="n">
        <v>45574</v>
      </c>
      <c r="C6809" s="1" t="n">
        <v>45585</v>
      </c>
      <c r="D6809" t="inlineStr">
        <is>
          <t>SKÅNE LÄN</t>
        </is>
      </c>
      <c r="E6809" t="inlineStr">
        <is>
          <t>ÖSTRA GÖINGE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45003-2024</t>
        </is>
      </c>
      <c r="B6810" s="1" t="n">
        <v>45575</v>
      </c>
      <c r="C6810" s="1" t="n">
        <v>45585</v>
      </c>
      <c r="D6810" t="inlineStr">
        <is>
          <t>SKÅNE LÄN</t>
        </is>
      </c>
      <c r="E6810" t="inlineStr">
        <is>
          <t>KLIPPAN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45169-2024</t>
        </is>
      </c>
      <c r="B6811" s="1" t="n">
        <v>45575</v>
      </c>
      <c r="C6811" s="1" t="n">
        <v>45585</v>
      </c>
      <c r="D6811" t="inlineStr">
        <is>
          <t>SKÅNE LÄN</t>
        </is>
      </c>
      <c r="E6811" t="inlineStr">
        <is>
          <t>KRISTIANSTAD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45128-2024</t>
        </is>
      </c>
      <c r="B6812" s="1" t="n">
        <v>45575</v>
      </c>
      <c r="C6812" s="1" t="n">
        <v>45585</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44893-2024</t>
        </is>
      </c>
      <c r="B6813" s="1" t="n">
        <v>45575</v>
      </c>
      <c r="C6813" s="1" t="n">
        <v>45585</v>
      </c>
      <c r="D6813" t="inlineStr">
        <is>
          <t>SKÅNE LÄN</t>
        </is>
      </c>
      <c r="E6813" t="inlineStr">
        <is>
          <t>SJÖBO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45092-2024</t>
        </is>
      </c>
      <c r="B6814" s="1" t="n">
        <v>45575</v>
      </c>
      <c r="C6814" s="1" t="n">
        <v>45585</v>
      </c>
      <c r="D6814" t="inlineStr">
        <is>
          <t>SKÅNE LÄN</t>
        </is>
      </c>
      <c r="E6814" t="inlineStr">
        <is>
          <t>HÖÖR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45191-2024</t>
        </is>
      </c>
      <c r="B6815" s="1" t="n">
        <v>45575</v>
      </c>
      <c r="C6815" s="1" t="n">
        <v>45585</v>
      </c>
      <c r="D6815" t="inlineStr">
        <is>
          <t>SKÅNE LÄN</t>
        </is>
      </c>
      <c r="E6815" t="inlineStr">
        <is>
          <t>OSBY</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45299-2024</t>
        </is>
      </c>
      <c r="B6816" s="1" t="n">
        <v>45576</v>
      </c>
      <c r="C6816" s="1" t="n">
        <v>45585</v>
      </c>
      <c r="D6816" t="inlineStr">
        <is>
          <t>SKÅNE LÄN</t>
        </is>
      </c>
      <c r="E6816" t="inlineStr">
        <is>
          <t>HÄSSLEHOLM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45585</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45585</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45398-2024</t>
        </is>
      </c>
      <c r="B6819" s="1" t="n">
        <v>45576</v>
      </c>
      <c r="C6819" s="1" t="n">
        <v>45585</v>
      </c>
      <c r="D6819" t="inlineStr">
        <is>
          <t>SKÅNE LÄN</t>
        </is>
      </c>
      <c r="E6819" t="inlineStr">
        <is>
          <t>HÄSSLEHOLM</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45392-2024</t>
        </is>
      </c>
      <c r="B6820" s="1" t="n">
        <v>45576</v>
      </c>
      <c r="C6820" s="1" t="n">
        <v>45585</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45495-2024</t>
        </is>
      </c>
      <c r="B6821" s="1" t="n">
        <v>45577</v>
      </c>
      <c r="C6821" s="1" t="n">
        <v>45585</v>
      </c>
      <c r="D6821" t="inlineStr">
        <is>
          <t>SKÅNE LÄN</t>
        </is>
      </c>
      <c r="E6821" t="inlineStr">
        <is>
          <t>KRISTIANSTAD</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45496-2024</t>
        </is>
      </c>
      <c r="B6822" s="1" t="n">
        <v>45577</v>
      </c>
      <c r="C6822" s="1" t="n">
        <v>45585</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45493-2024</t>
        </is>
      </c>
      <c r="B6823" s="1" t="n">
        <v>45577</v>
      </c>
      <c r="C6823" s="1" t="n">
        <v>45585</v>
      </c>
      <c r="D6823" t="inlineStr">
        <is>
          <t>SKÅNE LÄN</t>
        </is>
      </c>
      <c r="E6823" t="inlineStr">
        <is>
          <t>KRISTIANSTAD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45494-2024</t>
        </is>
      </c>
      <c r="B6824" s="1" t="n">
        <v>45577</v>
      </c>
      <c r="C6824" s="1" t="n">
        <v>45585</v>
      </c>
      <c r="D6824" t="inlineStr">
        <is>
          <t>SKÅNE LÄN</t>
        </is>
      </c>
      <c r="E6824" t="inlineStr">
        <is>
          <t>KRISTIANSTAD</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45661-2024</t>
        </is>
      </c>
      <c r="B6825" s="1" t="n">
        <v>45579</v>
      </c>
      <c r="C6825" s="1" t="n">
        <v>45585</v>
      </c>
      <c r="D6825" t="inlineStr">
        <is>
          <t>SKÅNE LÄN</t>
        </is>
      </c>
      <c r="E6825" t="inlineStr">
        <is>
          <t>ÄNGELHOLM</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45596-2024</t>
        </is>
      </c>
      <c r="B6826" s="1" t="n">
        <v>45579</v>
      </c>
      <c r="C6826" s="1" t="n">
        <v>45585</v>
      </c>
      <c r="D6826" t="inlineStr">
        <is>
          <t>SKÅNE LÄN</t>
        </is>
      </c>
      <c r="E6826" t="inlineStr">
        <is>
          <t>KLIPPAN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45729-2024</t>
        </is>
      </c>
      <c r="B6827" s="1" t="n">
        <v>45579</v>
      </c>
      <c r="C6827" s="1" t="n">
        <v>45585</v>
      </c>
      <c r="D6827" t="inlineStr">
        <is>
          <t>SKÅNE LÄN</t>
        </is>
      </c>
      <c r="E6827" t="inlineStr">
        <is>
          <t>TOMELILLA</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45653-2024</t>
        </is>
      </c>
      <c r="B6828" s="1" t="n">
        <v>45579</v>
      </c>
      <c r="C6828" s="1" t="n">
        <v>45585</v>
      </c>
      <c r="D6828" t="inlineStr">
        <is>
          <t>SKÅNE LÄN</t>
        </is>
      </c>
      <c r="E6828" t="inlineStr">
        <is>
          <t>HÄSSLEHOLM</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45658-2024</t>
        </is>
      </c>
      <c r="B6829" s="1" t="n">
        <v>45579</v>
      </c>
      <c r="C6829" s="1" t="n">
        <v>45585</v>
      </c>
      <c r="D6829" t="inlineStr">
        <is>
          <t>SKÅNE LÄN</t>
        </is>
      </c>
      <c r="E6829" t="inlineStr">
        <is>
          <t>KRISTIANSTAD</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45585</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45585</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46069-2024</t>
        </is>
      </c>
      <c r="B6832" s="1" t="n">
        <v>45580</v>
      </c>
      <c r="C6832" s="1" t="n">
        <v>45585</v>
      </c>
      <c r="D6832" t="inlineStr">
        <is>
          <t>SKÅNE LÄN</t>
        </is>
      </c>
      <c r="E6832" t="inlineStr">
        <is>
          <t>KRISTIANSTAD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46068-2024</t>
        </is>
      </c>
      <c r="B6833" s="1" t="n">
        <v>45580</v>
      </c>
      <c r="C6833" s="1" t="n">
        <v>45585</v>
      </c>
      <c r="D6833" t="inlineStr">
        <is>
          <t>SKÅNE LÄN</t>
        </is>
      </c>
      <c r="E6833" t="inlineStr">
        <is>
          <t>KRISTIANSTAD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45908-2024</t>
        </is>
      </c>
      <c r="B6834" s="1" t="n">
        <v>45580</v>
      </c>
      <c r="C6834" s="1" t="n">
        <v>45585</v>
      </c>
      <c r="D6834" t="inlineStr">
        <is>
          <t>SKÅNE LÄN</t>
        </is>
      </c>
      <c r="E6834" t="inlineStr">
        <is>
          <t>KRISTIANSTAD</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46070-2024</t>
        </is>
      </c>
      <c r="B6835" s="1" t="n">
        <v>45580</v>
      </c>
      <c r="C6835" s="1" t="n">
        <v>45585</v>
      </c>
      <c r="D6835" t="inlineStr">
        <is>
          <t>SKÅNE LÄN</t>
        </is>
      </c>
      <c r="E6835" t="inlineStr">
        <is>
          <t>KRISTIANSTAD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46123-2024</t>
        </is>
      </c>
      <c r="B6836" s="1" t="n">
        <v>45581</v>
      </c>
      <c r="C6836" s="1" t="n">
        <v>45585</v>
      </c>
      <c r="D6836" t="inlineStr">
        <is>
          <t>SKÅNE LÄN</t>
        </is>
      </c>
      <c r="E6836" t="inlineStr">
        <is>
          <t>KRISTIANSTAD</t>
        </is>
      </c>
      <c r="F6836" t="inlineStr">
        <is>
          <t>Övriga Aktiebolag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46179-2024</t>
        </is>
      </c>
      <c r="B6837" s="1" t="n">
        <v>45581</v>
      </c>
      <c r="C6837" s="1" t="n">
        <v>45585</v>
      </c>
      <c r="D6837" t="inlineStr">
        <is>
          <t>SKÅNE LÄN</t>
        </is>
      </c>
      <c r="E6837" t="inlineStr">
        <is>
          <t>TOMELILLA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46182-2024</t>
        </is>
      </c>
      <c r="B6838" s="1" t="n">
        <v>45581</v>
      </c>
      <c r="C6838" s="1" t="n">
        <v>45585</v>
      </c>
      <c r="D6838" t="inlineStr">
        <is>
          <t>SKÅNE LÄN</t>
        </is>
      </c>
      <c r="E6838" t="inlineStr">
        <is>
          <t>KRISTIANSTAD</t>
        </is>
      </c>
      <c r="F6838" t="inlineStr">
        <is>
          <t>Övriga Aktiebolag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46194-2024</t>
        </is>
      </c>
      <c r="B6839" s="1" t="n">
        <v>45581</v>
      </c>
      <c r="C6839" s="1" t="n">
        <v>45585</v>
      </c>
      <c r="D6839" t="inlineStr">
        <is>
          <t>SKÅNE LÄN</t>
        </is>
      </c>
      <c r="E6839" t="inlineStr">
        <is>
          <t>KRISTIANSTAD</t>
        </is>
      </c>
      <c r="F6839" t="inlineStr">
        <is>
          <t>Övriga Aktiebolag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46256-2024</t>
        </is>
      </c>
      <c r="B6840" s="1" t="n">
        <v>45581</v>
      </c>
      <c r="C6840" s="1" t="n">
        <v>45585</v>
      </c>
      <c r="D6840" t="inlineStr">
        <is>
          <t>SKÅNE LÄN</t>
        </is>
      </c>
      <c r="E6840" t="inlineStr">
        <is>
          <t>KLIPPAN</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46260-2024</t>
        </is>
      </c>
      <c r="B6841" s="1" t="n">
        <v>45581</v>
      </c>
      <c r="C6841" s="1" t="n">
        <v>45585</v>
      </c>
      <c r="D6841" t="inlineStr">
        <is>
          <t>SKÅNE LÄN</t>
        </is>
      </c>
      <c r="E6841" t="inlineStr">
        <is>
          <t>KLIPPAN</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46279-2024</t>
        </is>
      </c>
      <c r="B6842" s="1" t="n">
        <v>45581</v>
      </c>
      <c r="C6842" s="1" t="n">
        <v>45585</v>
      </c>
      <c r="D6842" t="inlineStr">
        <is>
          <t>SKÅNE LÄN</t>
        </is>
      </c>
      <c r="E6842" t="inlineStr">
        <is>
          <t>ÖSTRA GÖINGE</t>
        </is>
      </c>
      <c r="F6842" t="inlineStr">
        <is>
          <t>Sveaskog</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46253-2024</t>
        </is>
      </c>
      <c r="B6843" s="1" t="n">
        <v>45581</v>
      </c>
      <c r="C6843" s="1" t="n">
        <v>45585</v>
      </c>
      <c r="D6843" t="inlineStr">
        <is>
          <t>SKÅNE LÄN</t>
        </is>
      </c>
      <c r="E6843" t="inlineStr">
        <is>
          <t>KLIPPAN</t>
        </is>
      </c>
      <c r="F6843" t="inlineStr">
        <is>
          <t>Sveaskog</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46257-2024</t>
        </is>
      </c>
      <c r="B6844" s="1" t="n">
        <v>45581</v>
      </c>
      <c r="C6844" s="1" t="n">
        <v>45585</v>
      </c>
      <c r="D6844" t="inlineStr">
        <is>
          <t>SKÅNE LÄN</t>
        </is>
      </c>
      <c r="E6844" t="inlineStr">
        <is>
          <t>KLIPPAN</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46286-2024</t>
        </is>
      </c>
      <c r="B6845" s="1" t="n">
        <v>45581</v>
      </c>
      <c r="C6845" s="1" t="n">
        <v>45585</v>
      </c>
      <c r="D6845" t="inlineStr">
        <is>
          <t>SKÅNE LÄN</t>
        </is>
      </c>
      <c r="E6845" t="inlineStr">
        <is>
          <t>ÄNGELHOLM</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46348-2024</t>
        </is>
      </c>
      <c r="B6846" s="1" t="n">
        <v>45582</v>
      </c>
      <c r="C6846" s="1" t="n">
        <v>45585</v>
      </c>
      <c r="D6846" t="inlineStr">
        <is>
          <t>SKÅNE LÄN</t>
        </is>
      </c>
      <c r="E6846" t="inlineStr">
        <is>
          <t>HÄSSLEHOLM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46469-2024</t>
        </is>
      </c>
      <c r="B6847" s="1" t="n">
        <v>45582</v>
      </c>
      <c r="C6847" s="1" t="n">
        <v>45585</v>
      </c>
      <c r="D6847" t="inlineStr">
        <is>
          <t>SKÅNE LÄN</t>
        </is>
      </c>
      <c r="E6847" t="inlineStr">
        <is>
          <t>KRISTIANSTAD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46613-2024</t>
        </is>
      </c>
      <c r="B6848" s="1" t="n">
        <v>45583</v>
      </c>
      <c r="C6848" s="1" t="n">
        <v>45585</v>
      </c>
      <c r="D6848" t="inlineStr">
        <is>
          <t>SKÅNE LÄN</t>
        </is>
      </c>
      <c r="E6848" t="inlineStr">
        <is>
          <t>ÄNGELHOLM</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46709-2024</t>
        </is>
      </c>
      <c r="B6849" s="1" t="n">
        <v>45583</v>
      </c>
      <c r="C6849" s="1" t="n">
        <v>45585</v>
      </c>
      <c r="D6849" t="inlineStr">
        <is>
          <t>SKÅNE LÄN</t>
        </is>
      </c>
      <c r="E6849" t="inlineStr">
        <is>
          <t>ÖSTRA GÖINGE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46734-2024</t>
        </is>
      </c>
      <c r="B6850" s="1" t="n">
        <v>45583</v>
      </c>
      <c r="C6850" s="1" t="n">
        <v>45585</v>
      </c>
      <c r="D6850" t="inlineStr">
        <is>
          <t>SKÅNE LÄN</t>
        </is>
      </c>
      <c r="E6850" t="inlineStr">
        <is>
          <t>PERSTORP</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46615-2024</t>
        </is>
      </c>
      <c r="B6851" s="1" t="n">
        <v>45583</v>
      </c>
      <c r="C6851" s="1" t="n">
        <v>45585</v>
      </c>
      <c r="D6851" t="inlineStr">
        <is>
          <t>SKÅNE LÄN</t>
        </is>
      </c>
      <c r="E6851" t="inlineStr">
        <is>
          <t>KLIPPAN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46619-2024</t>
        </is>
      </c>
      <c r="B6852" s="1" t="n">
        <v>45583</v>
      </c>
      <c r="C6852" s="1" t="n">
        <v>45585</v>
      </c>
      <c r="D6852" t="inlineStr">
        <is>
          <t>SKÅNE LÄN</t>
        </is>
      </c>
      <c r="E6852" t="inlineStr">
        <is>
          <t>KLIPPAN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46627-2024</t>
        </is>
      </c>
      <c r="B6853" s="1" t="n">
        <v>45583</v>
      </c>
      <c r="C6853" s="1" t="n">
        <v>45585</v>
      </c>
      <c r="D6853" t="inlineStr">
        <is>
          <t>SKÅNE LÄN</t>
        </is>
      </c>
      <c r="E6853" t="inlineStr">
        <is>
          <t>KRISTIANSTAD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46737-2024</t>
        </is>
      </c>
      <c r="B6854" s="1" t="n">
        <v>45583</v>
      </c>
      <c r="C6854" s="1" t="n">
        <v>45585</v>
      </c>
      <c r="D6854" t="inlineStr">
        <is>
          <t>SKÅNE LÄN</t>
        </is>
      </c>
      <c r="E6854" t="inlineStr">
        <is>
          <t>PERSTORP</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46813-2024</t>
        </is>
      </c>
      <c r="B6855" s="1" t="n">
        <v>45583</v>
      </c>
      <c r="C6855" s="1" t="n">
        <v>45585</v>
      </c>
      <c r="D6855" t="inlineStr">
        <is>
          <t>SKÅNE LÄN</t>
        </is>
      </c>
      <c r="E6855" t="inlineStr">
        <is>
          <t>HÄSSLEHOLM</t>
        </is>
      </c>
      <c r="G6855" t="n">
        <v>14.9</v>
      </c>
      <c r="H6855" t="n">
        <v>0</v>
      </c>
      <c r="I6855" t="n">
        <v>0</v>
      </c>
      <c r="J6855" t="n">
        <v>0</v>
      </c>
      <c r="K6855" t="n">
        <v>0</v>
      </c>
      <c r="L6855" t="n">
        <v>0</v>
      </c>
      <c r="M6855" t="n">
        <v>0</v>
      </c>
      <c r="N6855" t="n">
        <v>0</v>
      </c>
      <c r="O6855" t="n">
        <v>0</v>
      </c>
      <c r="P6855" t="n">
        <v>0</v>
      </c>
      <c r="Q6855" t="n">
        <v>0</v>
      </c>
      <c r="R6855" s="2" t="inlineStr"/>
    </row>
    <row r="6856" ht="15" customHeight="1">
      <c r="A6856" t="inlineStr">
        <is>
          <t>A 46702-2024</t>
        </is>
      </c>
      <c r="B6856" s="1" t="n">
        <v>45583</v>
      </c>
      <c r="C6856" s="1" t="n">
        <v>45585</v>
      </c>
      <c r="D6856" t="inlineStr">
        <is>
          <t>SKÅNE LÄN</t>
        </is>
      </c>
      <c r="E6856" t="inlineStr">
        <is>
          <t>ÄNGELHOLM</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46706-2024</t>
        </is>
      </c>
      <c r="B6857" s="1" t="n">
        <v>45583</v>
      </c>
      <c r="C6857" s="1" t="n">
        <v>45585</v>
      </c>
      <c r="D6857" t="inlineStr">
        <is>
          <t>SKÅNE LÄN</t>
        </is>
      </c>
      <c r="E6857" t="inlineStr">
        <is>
          <t>ÖSTRA GÖINGE</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45585</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46777-2024</t>
        </is>
      </c>
      <c r="B6859" s="1" t="n">
        <v>45583</v>
      </c>
      <c r="C6859" s="1" t="n">
        <v>45585</v>
      </c>
      <c r="D6859" t="inlineStr">
        <is>
          <t>SKÅNE LÄN</t>
        </is>
      </c>
      <c r="E6859" t="inlineStr">
        <is>
          <t>HÖÖR</t>
        </is>
      </c>
      <c r="G6859" t="n">
        <v>4.9</v>
      </c>
      <c r="H6859" t="n">
        <v>0</v>
      </c>
      <c r="I6859" t="n">
        <v>0</v>
      </c>
      <c r="J6859" t="n">
        <v>0</v>
      </c>
      <c r="K6859" t="n">
        <v>0</v>
      </c>
      <c r="L6859" t="n">
        <v>0</v>
      </c>
      <c r="M6859" t="n">
        <v>0</v>
      </c>
      <c r="N6859" t="n">
        <v>0</v>
      </c>
      <c r="O6859" t="n">
        <v>0</v>
      </c>
      <c r="P6859" t="n">
        <v>0</v>
      </c>
      <c r="Q6859" t="n">
        <v>0</v>
      </c>
      <c r="R6859" s="2" t="inlineStr"/>
    </row>
    <row r="6860">
      <c r="A6860" t="inlineStr">
        <is>
          <t>A 46840-2024</t>
        </is>
      </c>
      <c r="B6860" s="1" t="n">
        <v>45583</v>
      </c>
      <c r="C6860" s="1" t="n">
        <v>45585</v>
      </c>
      <c r="D6860" t="inlineStr">
        <is>
          <t>SKÅNE LÄN</t>
        </is>
      </c>
      <c r="E6860" t="inlineStr">
        <is>
          <t>HÄSSLEHOLM</t>
        </is>
      </c>
      <c r="G6860" t="n">
        <v>2.7</v>
      </c>
      <c r="H6860" t="n">
        <v>0</v>
      </c>
      <c r="I6860" t="n">
        <v>0</v>
      </c>
      <c r="J6860" t="n">
        <v>0</v>
      </c>
      <c r="K6860" t="n">
        <v>0</v>
      </c>
      <c r="L6860" t="n">
        <v>0</v>
      </c>
      <c r="M6860" t="n">
        <v>0</v>
      </c>
      <c r="N6860" t="n">
        <v>0</v>
      </c>
      <c r="O6860" t="n">
        <v>0</v>
      </c>
      <c r="P6860" t="n">
        <v>0</v>
      </c>
      <c r="Q6860" t="n">
        <v>0</v>
      </c>
      <c r="R6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2024-10-20T12:15:39Z</dcterms:created>
  <dcterms:modified xmlns:dcterms="http://purl.org/dc/terms/" xmlns:xsi="http://www.w3.org/2001/XMLSchema-instance" xsi:type="dcterms:W3CDTF">2024-10-20T12:15:45Z</dcterms:modified>
</cp:coreProperties>
</file>