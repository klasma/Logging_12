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45828</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45828</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45828</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45828</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45828</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45828</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45828</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45828</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45828</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45828</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45828</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45828</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45828</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45828</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45828</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45828</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45828</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45828</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45828</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45828</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45828</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45828</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45828</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45828</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45828</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45828</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45828</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45828</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45828</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45828</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45828</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45828</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45828</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45828</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45828</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45828</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45828</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45828</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45828</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45828</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45828</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45828</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45828</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45828</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45828</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45828</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45828</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45828</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45828</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45828</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45828</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45828</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45828</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45828</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45828</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45828</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45828</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45828</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45828</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45828</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45828</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45828</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45828</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45828</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45828</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45828</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45828</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45828</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45828</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45828</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45828</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45828</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45828</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45828</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45828</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45828</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45828</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45828</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45828</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45828</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45828</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45828</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45828</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45828</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45828</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45828</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45828</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45828</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45828</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45828</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45828</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45828</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45828</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45828</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45828</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45828</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45828</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45828</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45828</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45828</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45828</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45828</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45828</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45828</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45828</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45828</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45828</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45828</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45828</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45828</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45828</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45828</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45828</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45828</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45828</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45828</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45828</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45828</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45828</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45828</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45828</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45828</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45828</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45828</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45828</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45828</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45828</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45828</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45828</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45828</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45828</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45828</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45828</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45828</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45828</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45828</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45828</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45828</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45828</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45828</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45828</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45828</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45828</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45828</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45828</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45828</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45828</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45828</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45828</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45828</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45828</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45828</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45828</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45828</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45828</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45828</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45828</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45828</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45828</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45828</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45828</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45828</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45828</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45828</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45828</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45828</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45828</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45828</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45828</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45828</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45828</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45828</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45828</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45828</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45828</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45828</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45828</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45828</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45828</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45828</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45828</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45828</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45828</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45828</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45828</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45828</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45828</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45828</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45828</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45828</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45828</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45828</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45828</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45828</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45828</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45828</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45828</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45828</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45828</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45828</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45828</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45828</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45828</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45828</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45828</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45828</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45828</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45828</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45828</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45828</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45828</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45828</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45828</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45828</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45828</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45828</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45828</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45828</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45828</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45828</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45828</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45828</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45828</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45828</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45828</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45828</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45828</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45828</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45828</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45828</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45828</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45828</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45828</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45828</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45828</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45828</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45828</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45828</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45828</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45828</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45828</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45828</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45828</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45828</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45828</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45828</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45828</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45828</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45828</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45828</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45828</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45828</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45828</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45828</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45828</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45828</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45828</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45828</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45828</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45828</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45828</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45828</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45828</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45828</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45828</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45828</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45828</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45828</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45828</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45828</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45828</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45828</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45828</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45828</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45828</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45828</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45828</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45828</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45828</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45828</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45828</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45828</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45828</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45828</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45828</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45828</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45828</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45828</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45828</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45828</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45828</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45828</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45828</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45828</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45828</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45828</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45828</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45828</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45828</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45828</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45828</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45828</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45828</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45828</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45828</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45828</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45828</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45828</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45828</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45828</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45828</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45828</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45828</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45828</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45828</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45828</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45828</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45828</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45828</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45828</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45828</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45828</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45828</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45828</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45828</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45828</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45828</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45828</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45828</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45828</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45828</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45828</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45828</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45828</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45828</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45828</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45828</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45828</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45828</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45828</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45828</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45828</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45828</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45828</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45828</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45828</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45828</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45828</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45828</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45828</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45828</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45828</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45828</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45828</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45828</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45828</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45828</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45828</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45828</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45828</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45828</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45828</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45828</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45828</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45828</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45828</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45828</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45828</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45828</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45828</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45828</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45828</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45828</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45828</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45828</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45828</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45828</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45828</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45828</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45828</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45828</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45828</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45828</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45828</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45828</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45828</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45828</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45828</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45828</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45828</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45828</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45828</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45828</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45828</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45828</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45828</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45828</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45828</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45828</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45828</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45828</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45828</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45828</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45828</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45828</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45828</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45828</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45828</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45828</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45828</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45828</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45828</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45828</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45828</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45828</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45828</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45828</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45828</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45828</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45828</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45828</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45828</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45828</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45828</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45828</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25479-2025</t>
        </is>
      </c>
      <c r="B440" s="1" t="n">
        <v>45802</v>
      </c>
      <c r="C440" s="1" t="n">
        <v>45828</v>
      </c>
      <c r="D440" t="inlineStr">
        <is>
          <t>SKÅNE LÄN</t>
        </is>
      </c>
      <c r="E440" t="inlineStr">
        <is>
          <t>HÖRBY</t>
        </is>
      </c>
      <c r="G440" t="n">
        <v>0.7</v>
      </c>
      <c r="H440" t="n">
        <v>0</v>
      </c>
      <c r="I440" t="n">
        <v>1</v>
      </c>
      <c r="J440" t="n">
        <v>0</v>
      </c>
      <c r="K440" t="n">
        <v>0</v>
      </c>
      <c r="L440" t="n">
        <v>0</v>
      </c>
      <c r="M440" t="n">
        <v>0</v>
      </c>
      <c r="N440" t="n">
        <v>0</v>
      </c>
      <c r="O440" t="n">
        <v>0</v>
      </c>
      <c r="P440" t="n">
        <v>0</v>
      </c>
      <c r="Q440" t="n">
        <v>1</v>
      </c>
      <c r="R440" s="2" t="inlineStr">
        <is>
          <t>Lundvårlök</t>
        </is>
      </c>
      <c r="S440">
        <f>HYPERLINK("https://klasma.github.io/Logging_121266/artfynd/A 25479-2025 artfynd.xlsx", "A 25479-2025")</f>
        <v/>
      </c>
      <c r="T440">
        <f>HYPERLINK("https://klasma.github.io/Logging_121266/kartor/A 25479-2025 karta.png", "A 25479-2025")</f>
        <v/>
      </c>
      <c r="V440">
        <f>HYPERLINK("https://klasma.github.io/Logging_121266/klagomål/A 25479-2025 FSC-klagomål.docx", "A 25479-2025")</f>
        <v/>
      </c>
      <c r="W440">
        <f>HYPERLINK("https://klasma.github.io/Logging_121266/klagomålsmail/A 25479-2025 FSC-klagomål mail.docx", "A 25479-2025")</f>
        <v/>
      </c>
      <c r="X440">
        <f>HYPERLINK("https://klasma.github.io/Logging_121266/tillsyn/A 25479-2025 tillsynsbegäran.docx", "A 25479-2025")</f>
        <v/>
      </c>
      <c r="Y440">
        <f>HYPERLINK("https://klasma.github.io/Logging_121266/tillsynsmail/A 25479-2025 tillsynsbegäran mail.docx", "A 25479-2025")</f>
        <v/>
      </c>
    </row>
    <row r="441" ht="15" customHeight="1">
      <c r="A441" t="inlineStr">
        <is>
          <t>A 25480-2025</t>
        </is>
      </c>
      <c r="B441" s="1" t="n">
        <v>45802</v>
      </c>
      <c r="C441" s="1" t="n">
        <v>45828</v>
      </c>
      <c r="D441" t="inlineStr">
        <is>
          <t>SKÅNE LÄN</t>
        </is>
      </c>
      <c r="E441" t="inlineStr">
        <is>
          <t>HÖÖR</t>
        </is>
      </c>
      <c r="G441" t="n">
        <v>0.5</v>
      </c>
      <c r="H441" t="n">
        <v>0</v>
      </c>
      <c r="I441" t="n">
        <v>0</v>
      </c>
      <c r="J441" t="n">
        <v>1</v>
      </c>
      <c r="K441" t="n">
        <v>0</v>
      </c>
      <c r="L441" t="n">
        <v>0</v>
      </c>
      <c r="M441" t="n">
        <v>0</v>
      </c>
      <c r="N441" t="n">
        <v>0</v>
      </c>
      <c r="O441" t="n">
        <v>1</v>
      </c>
      <c r="P441" t="n">
        <v>0</v>
      </c>
      <c r="Q441" t="n">
        <v>1</v>
      </c>
      <c r="R441" s="2" t="inlineStr">
        <is>
          <t>Hålnunneört</t>
        </is>
      </c>
      <c r="S441">
        <f>HYPERLINK("https://klasma.github.io/Logging_121267/artfynd/A 25480-2025 artfynd.xlsx", "A 25480-2025")</f>
        <v/>
      </c>
      <c r="T441">
        <f>HYPERLINK("https://klasma.github.io/Logging_121267/kartor/A 25480-2025 karta.png", "A 25480-2025")</f>
        <v/>
      </c>
      <c r="V441">
        <f>HYPERLINK("https://klasma.github.io/Logging_121267/klagomål/A 25480-2025 FSC-klagomål.docx", "A 25480-2025")</f>
        <v/>
      </c>
      <c r="W441">
        <f>HYPERLINK("https://klasma.github.io/Logging_121267/klagomålsmail/A 25480-2025 FSC-klagomål mail.docx", "A 25480-2025")</f>
        <v/>
      </c>
      <c r="X441">
        <f>HYPERLINK("https://klasma.github.io/Logging_121267/tillsyn/A 25480-2025 tillsynsbegäran.docx", "A 25480-2025")</f>
        <v/>
      </c>
      <c r="Y441">
        <f>HYPERLINK("https://klasma.github.io/Logging_121267/tillsynsmail/A 25480-2025 tillsynsbegäran mail.docx", "A 25480-2025")</f>
        <v/>
      </c>
    </row>
    <row r="442" ht="15" customHeight="1">
      <c r="A442" t="inlineStr">
        <is>
          <t>A 26958-2025</t>
        </is>
      </c>
      <c r="B442" s="1" t="n">
        <v>45811</v>
      </c>
      <c r="C442" s="1" t="n">
        <v>45828</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45828</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45828</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45828</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45828</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45828</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45828</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45828</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45828</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45828</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45828</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45828</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45828</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45828</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45828</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45828</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45828</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45828</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45828</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45828</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45828</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45828</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45828</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45828</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45828</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45828</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45828</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45828</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45828</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45828</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45828</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45828</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45828</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45828</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45828</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45828</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45828</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45828</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45828</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45828</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45828</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45828</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45828</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45828</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45828</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45828</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45828</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45828</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45828</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45828</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45828</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45828</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45828</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45828</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45828</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45828</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45828</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45828</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45828</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45828</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45828</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45828</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45828</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45828</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45828</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45828</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45828</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45828</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45828</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45828</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45828</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45828</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45828</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45828</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45828</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45828</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45828</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45828</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45828</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45828</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45828</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45828</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45828</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45828</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45828</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45828</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45828</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45828</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45828</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45828</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45828</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45828</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45828</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45828</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45828</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45828</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45828</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45828</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45828</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45828</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45828</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45828</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45828</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45828</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45828</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45828</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45828</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45828</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45828</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45828</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45828</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45828</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45828</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45828</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45828</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45828</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45828</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45828</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45828</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45828</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45828</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45828</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45828</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45828</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45828</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45828</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45828</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45828</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45828</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45828</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45828</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45828</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45828</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45828</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45828</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45828</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45828</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45828</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45828</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45828</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45828</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45828</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45828</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45828</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45828</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45828</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45828</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45828</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45828</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45828</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45828</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45828</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45828</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45828</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45828</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45828</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45828</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45828</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45828</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45828</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45828</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45828</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45828</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45828</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45828</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45828</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45828</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45828</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45828</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45828</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45828</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45828</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45828</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45828</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45828</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45828</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45828</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45828</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45828</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45828</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45828</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45828</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45828</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45828</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45828</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45828</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45828</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45828</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45828</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45828</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45828</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45828</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45828</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45828</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45828</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45828</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45828</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45828</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45828</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45828</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45828</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45828</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45828</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45828</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45828</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45828</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45828</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45828</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45828</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45828</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45828</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45828</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45828</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45828</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45828</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45828</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45828</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45828</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45828</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45828</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45828</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45828</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45828</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45828</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45828</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45828</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45828</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45828</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45828</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45828</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45828</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45828</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45828</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45828</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45828</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45828</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45828</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45828</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45828</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45828</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45828</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45828</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45828</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45828</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45828</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45828</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45828</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45828</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45828</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45828</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45828</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45828</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45828</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45828</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45828</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45828</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45828</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45828</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45828</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45828</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45828</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45828</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45828</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45828</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45828</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45828</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45828</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45828</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45828</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45828</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45828</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45828</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45828</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45828</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45828</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45828</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45828</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45828</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45828</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45828</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45828</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45828</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45828</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45828</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45828</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45828</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45828</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45828</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45828</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45828</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45828</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45828</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45828</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45828</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45828</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45828</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45828</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45828</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45828</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45828</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45828</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45828</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45828</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45828</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45828</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45828</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45828</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45828</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45828</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45828</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45828</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45828</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45828</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45828</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45828</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45828</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45828</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45828</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45828</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45828</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45828</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45828</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45828</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45828</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45828</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45828</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45828</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45828</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45828</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45828</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45828</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45828</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45828</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45828</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45828</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45828</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45828</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45828</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45828</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45828</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45828</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45828</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45828</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45828</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45828</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45828</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45828</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45828</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45828</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45828</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45828</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45828</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45828</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45828</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45828</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45828</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45828</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45828</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45828</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45828</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45828</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45828</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45828</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45828</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45828</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45828</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45828</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45828</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45828</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45828</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45828</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45828</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45828</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45828</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45828</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45828</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45828</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45828</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45828</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45828</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45828</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45828</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45828</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45828</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45828</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45828</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45828</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45828</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45828</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45828</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45828</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45828</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45828</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45828</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45828</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45828</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45828</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45828</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45828</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45828</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45828</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45828</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45828</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45828</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45828</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45828</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45828</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45828</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45828</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45828</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45828</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45828</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45828</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45828</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45828</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45828</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45828</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45828</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45828</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45828</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45828</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45828</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45828</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45828</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45828</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45828</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45828</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45828</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45828</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45828</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45828</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45828</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45828</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45828</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45828</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45828</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45828</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45828</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45828</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45828</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45828</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45828</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45828</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45828</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45828</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45828</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45828</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45828</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45828</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45828</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45828</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45828</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45828</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45828</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45828</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45828</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45828</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45828</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45828</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45828</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45828</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45828</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45828</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45828</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45828</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45828</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45828</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45828</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45828</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45828</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45828</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45828</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45828</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45828</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45828</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45828</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45828</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45828</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45828</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45828</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45828</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45828</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45828</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45828</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45828</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45828</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45828</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45828</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45828</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45828</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45828</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45828</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45828</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45828</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45828</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45828</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45828</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45828</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45828</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45828</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45828</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45828</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45828</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45828</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45828</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45828</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45828</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45828</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45828</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45828</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45828</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45828</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45828</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45828</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45828</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45828</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45828</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45828</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45828</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45828</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45828</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45828</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45828</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45828</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45828</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45828</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45828</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45828</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45828</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45828</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45828</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45828</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45828</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45828</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45828</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45828</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45828</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45828</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45828</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45828</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45828</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45828</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45828</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45828</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45828</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45828</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45828</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45828</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45828</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45828</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45828</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45828</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45828</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45828</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45828</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45828</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45828</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45828</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45828</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45828</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45828</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45828</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45828</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45828</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45828</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45828</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45828</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45828</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45828</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45828</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45828</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45828</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45828</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45828</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45828</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45828</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45828</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45828</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45828</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45828</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45828</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45828</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45828</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45828</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45828</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45828</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45828</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45828</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45828</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45828</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45828</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45828</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45828</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45828</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45828</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45828</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45828</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45828</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45828</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45828</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45828</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45828</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45828</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45828</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45828</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45828</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45828</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45828</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45828</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45828</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45828</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45828</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45828</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45828</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45828</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45828</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45828</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45828</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45828</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45828</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45828</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45828</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45828</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45828</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45828</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45828</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45828</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45828</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45828</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45828</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45828</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45828</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45828</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45828</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45828</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45828</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45828</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45828</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45828</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45828</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45828</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45828</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45828</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45828</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45828</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45828</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45828</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45828</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45828</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45828</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45828</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45828</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45828</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45828</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45828</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45828</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45828</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45828</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45828</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45828</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45828</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45828</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45828</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45828</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45828</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45828</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45828</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45828</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45828</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45828</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45828</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45828</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45828</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45828</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45828</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45828</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45828</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45828</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45828</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45828</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45828</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45828</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45828</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45828</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45828</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45828</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45828</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45828</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45828</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45828</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45828</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45828</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45828</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45828</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45828</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45828</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45828</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45828</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45828</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45828</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45828</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45828</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45828</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45828</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45828</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45828</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45828</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45828</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45828</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45828</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45828</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45828</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45828</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45828</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45828</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45828</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45828</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45828</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45828</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45828</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45828</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45828</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45828</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45828</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45828</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45828</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45828</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45828</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45828</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45828</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45828</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45828</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45828</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45828</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45828</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45828</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45828</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45828</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45828</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45828</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45828</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45828</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45828</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45828</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45828</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45828</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45828</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45828</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45828</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45828</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45828</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45828</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45828</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45828</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45828</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45828</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45828</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45828</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45828</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45828</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45828</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45828</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45828</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45828</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45828</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45828</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45828</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45828</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45828</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45828</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45828</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45828</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45828</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45828</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45828</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45828</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45828</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45828</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45828</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45828</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45828</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45828</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45828</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45828</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45828</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45828</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45828</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45828</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45828</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45828</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45828</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45828</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45828</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45828</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45828</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45828</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45828</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45828</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45828</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45828</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45828</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45828</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45828</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45828</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45828</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45828</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45828</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45828</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45828</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45828</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45828</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45828</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45828</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45828</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45828</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45828</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45828</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45828</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45828</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45828</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45828</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45828</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45828</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45828</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45828</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45828</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45828</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45828</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45828</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45828</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45828</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45828</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45828</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45828</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45828</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45828</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45828</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45828</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45828</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45828</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45828</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45828</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45828</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45828</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45828</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45828</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45828</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45828</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45828</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45828</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45828</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45828</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45828</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45828</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45828</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45828</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45828</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45828</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45828</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45828</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45828</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45828</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45828</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45828</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45828</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45828</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45828</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45828</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45828</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45828</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45828</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45828</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45828</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45828</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45828</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45828</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45828</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45828</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45828</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45828</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45828</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45828</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45828</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45828</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45828</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45828</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45828</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45828</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45828</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45828</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45828</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45828</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45828</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45828</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45828</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45828</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45828</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45828</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45828</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45828</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45828</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45828</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45828</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45828</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45828</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45828</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45828</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45828</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45828</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45828</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45828</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45828</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45828</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45828</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45828</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45828</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45828</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45828</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45828</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45828</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45828</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45828</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45828</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45828</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45828</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45828</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45828</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45828</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45828</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45828</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45828</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45828</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45828</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45828</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45828</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45828</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45828</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45828</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45828</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45828</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45828</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45828</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45828</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45828</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45828</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45828</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45828</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45828</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45828</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45828</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45828</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45828</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45828</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45828</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45828</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45828</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45828</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45828</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45828</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45828</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45828</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45828</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45828</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45828</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45828</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45828</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45828</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45828</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45828</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45828</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45828</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45828</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45828</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45828</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45828</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45828</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45828</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45828</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45828</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45828</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45828</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45828</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45828</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45828</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45828</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45828</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45828</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45828</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45828</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45828</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45828</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45828</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45828</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45828</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45828</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45828</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45828</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45828</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45828</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45828</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45828</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45828</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45828</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45828</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45828</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45828</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45828</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45828</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45828</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45828</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45828</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45828</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45828</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45828</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45828</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45828</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45828</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45828</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45828</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45828</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45828</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45828</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45828</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45828</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45828</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45828</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45828</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45828</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45828</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45828</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45828</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45828</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45828</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45828</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45828</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45828</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45828</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45828</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45828</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45828</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45828</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45828</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45828</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45828</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45828</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45828</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45828</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45828</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45828</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45828</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45828</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45828</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45828</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45828</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45828</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45828</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45828</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45828</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45828</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45828</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45828</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45828</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45828</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45828</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45828</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45828</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45828</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45828</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45828</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45828</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45828</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45828</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45828</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45828</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45828</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45828</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45828</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45828</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45828</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45828</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45828</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45828</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45828</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45828</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45828</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45828</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45828</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45828</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45828</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45828</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45828</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45828</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45828</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45828</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45828</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45828</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45828</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45828</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45828</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45828</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45828</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45828</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45828</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45828</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45828</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45828</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45828</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45828</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45828</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45828</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45828</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45828</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45828</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45828</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45828</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45828</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45828</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45828</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45828</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45828</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45828</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45828</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45828</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45828</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45828</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45828</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45828</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45828</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45828</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45828</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45828</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45828</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45828</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45828</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45828</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45828</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45828</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45828</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45828</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45828</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45828</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45828</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45828</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45828</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45828</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45828</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45828</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45828</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45828</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45828</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45828</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45828</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45828</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45828</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45828</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45828</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45828</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45828</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45828</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45828</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45828</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45828</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45828</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45828</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45828</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45828</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45828</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45828</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45828</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45828</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45828</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45828</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45828</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45828</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45828</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45828</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45828</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45828</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45828</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45828</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45828</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45828</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45828</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45828</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45828</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45828</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45828</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45828</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45828</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45828</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45828</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45828</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45828</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45828</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45828</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45828</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45828</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45828</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45828</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45828</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45828</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45828</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45828</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45828</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45828</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45828</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45828</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45828</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45828</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45828</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45828</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45828</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45828</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45828</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45828</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45828</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45828</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45828</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45828</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45828</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45828</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45828</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45828</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45828</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45828</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45828</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45828</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45828</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45828</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45828</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45828</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45828</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45828</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45828</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45828</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45828</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45828</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45828</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45828</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45828</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45828</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45828</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45828</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45828</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45828</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45828</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45828</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45828</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45828</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45828</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45828</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45828</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45828</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45828</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45828</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45828</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45828</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45828</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45828</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45828</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45828</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45828</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45828</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45828</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45828</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45828</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45828</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45828</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45828</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45828</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45828</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45828</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45828</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45828</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45828</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45828</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45828</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45828</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45828</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45828</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45828</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45828</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45828</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45828</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45828</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45828</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45828</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45828</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45828</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45828</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45828</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45828</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45828</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45828</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45828</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45828</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45828</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45828</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45828</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45828</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45828</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45828</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45828</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45828</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45828</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45828</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45828</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45828</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45828</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45828</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45828</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45828</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45828</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45828</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45828</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45828</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45828</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45828</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45828</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45828</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45828</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45828</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45828</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45828</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45828</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45828</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45828</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45828</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45828</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45828</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45828</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45828</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45828</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45828</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45828</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45828</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45828</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45828</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45828</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45828</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45828</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45828</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45828</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45828</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45828</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45828</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45828</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45828</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45828</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45828</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45828</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45828</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45828</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45828</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45828</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45828</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45828</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45828</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45828</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45828</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45828</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45828</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45828</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45828</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45828</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45828</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45828</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45828</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45828</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45828</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45828</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45828</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45828</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45828</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45828</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45828</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45828</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45828</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45828</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45828</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45828</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45828</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45828</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45828</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45828</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45828</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45828</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45828</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45828</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45828</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45828</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45828</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45828</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45828</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45828</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45828</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45828</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45828</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45828</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45828</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45828</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45828</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45828</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45828</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45828</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45828</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45828</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45828</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45828</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45828</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45828</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45828</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45828</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45828</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45828</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45828</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45828</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45828</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45828</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45828</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45828</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45828</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45828</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45828</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45828</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45828</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45828</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45828</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45828</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45828</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45828</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45828</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45828</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45828</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45828</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45828</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45828</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45828</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45828</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45828</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45828</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45828</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45828</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45828</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45828</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45828</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45828</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45828</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45828</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45828</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45828</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45828</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45828</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45828</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45828</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45828</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45828</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45828</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45828</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45828</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45828</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45828</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45828</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45828</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45828</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45828</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45828</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45828</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45828</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45828</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45828</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45828</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45828</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45828</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45828</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45828</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45828</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45828</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45828</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45828</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45828</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45828</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45828</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45828</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45828</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45828</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45828</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45828</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45828</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45828</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45828</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45828</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45828</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45828</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45828</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45828</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45828</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45828</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45828</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45828</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45828</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45828</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45828</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45828</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45828</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45828</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45828</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45828</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45828</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45828</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45828</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45828</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45828</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45828</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45828</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45828</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45828</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45828</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45828</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45828</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45828</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45828</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45828</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45828</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45828</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45828</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45828</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45828</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45828</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45828</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45828</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45828</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45828</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45828</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45828</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45828</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45828</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45828</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45828</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45828</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45828</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45828</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45828</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45828</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45828</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45828</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45828</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45828</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45828</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45828</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45828</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45828</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45828</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45828</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45828</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45828</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45828</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45828</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45828</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45828</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45828</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45828</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45828</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45828</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45828</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45828</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45828</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45828</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45828</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45828</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45828</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45828</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45828</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45828</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45828</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45828</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45828</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45828</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45828</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45828</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45828</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45828</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45828</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45828</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45828</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45828</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45828</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45828</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45828</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45828</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45828</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45828</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45828</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45828</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45828</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45828</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45828</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45828</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45828</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45828</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45828</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45828</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45828</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45828</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45828</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45828</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45828</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45828</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45828</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45828</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45828</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45828</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45828</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45828</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45828</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45828</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45828</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45828</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45828</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45828</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45828</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45828</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45828</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45828</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45828</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45828</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45828</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45828</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45828</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45828</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45828</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45828</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45828</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45828</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45828</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45828</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45828</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45828</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45828</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45828</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45828</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45828</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45828</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45828</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45828</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45828</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45828</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45828</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45828</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45828</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45828</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45828</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45828</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45828</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45828</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45828</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45828</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45828</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45828</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45828</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45828</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45828</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45828</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45828</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45828</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45828</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45828</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45828</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45828</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45828</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45828</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45828</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45828</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45828</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45828</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45828</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45828</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45828</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45828</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45828</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45828</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45828</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45828</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45828</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45828</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45828</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45828</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45828</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45828</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45828</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45828</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45828</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45828</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45828</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45828</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45828</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45828</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45828</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45828</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45828</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45828</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45828</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45828</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45828</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45828</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45828</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45828</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45828</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45828</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45828</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45828</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45828</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45828</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45828</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45828</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45828</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45828</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45828</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45828</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45828</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45828</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45828</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45828</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45828</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45828</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45828</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45828</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45828</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45828</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45828</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45828</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45828</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45828</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45828</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45828</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45828</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45828</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45828</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45828</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45828</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45828</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45828</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45828</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45828</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45828</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45828</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45828</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45828</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45828</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45828</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45828</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45828</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45828</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45828</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45828</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45828</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45828</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45828</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45828</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45828</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45828</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45828</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45828</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45828</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45828</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45828</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45828</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45828</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45828</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45828</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45828</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45828</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45828</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45828</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45828</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45828</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45828</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45828</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45828</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45828</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45828</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45828</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45828</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45828</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45828</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45828</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45828</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45828</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45828</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45828</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45828</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45828</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45828</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45828</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45828</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45828</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45828</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45828</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45828</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45828</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45828</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45828</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45828</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45828</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45828</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45828</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45828</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45828</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45828</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45828</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45828</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45828</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45828</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45828</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45828</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45828</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45828</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45828</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45828</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45828</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45828</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45828</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45828</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45828</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45828</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45828</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45828</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45828</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45828</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45828</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45828</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45828</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45828</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45828</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45828</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45828</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45828</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45828</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45828</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45828</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45828</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45828</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45828</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45828</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45828</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45828</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45828</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45828</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45828</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45828</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45828</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45828</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45828</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45828</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45828</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45828</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45828</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45828</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45828</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45828</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45828</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45828</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45828</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45828</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45828</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45828</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45828</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45828</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45828</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45828</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45828</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45828</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45828</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45828</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45828</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45828</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45828</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45828</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45828</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45828</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45828</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45828</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45828</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45828</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45828</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45828</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45828</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45828</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45828</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45828</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45828</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45828</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45828</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45828</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45828</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45828</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45828</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45828</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45828</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45828</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45828</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45828</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45828</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45828</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45828</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45828</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45828</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45828</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45828</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45828</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45828</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45828</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45828</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45828</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45828</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45828</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45828</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45828</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45828</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45828</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45828</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45828</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45828</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45828</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45828</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45828</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45828</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45828</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45828</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45828</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45828</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45828</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45828</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45828</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45828</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45828</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45828</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45828</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45828</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45828</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45828</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45828</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45828</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45828</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45828</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45828</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45828</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45828</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45828</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45828</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45828</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45828</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45828</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45828</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45828</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45828</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45828</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45828</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45828</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45828</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45828</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45828</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45828</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45828</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45828</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45828</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45828</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45828</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45828</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45828</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45828</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45828</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45828</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45828</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45828</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45828</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45828</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45828</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45828</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45828</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45828</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45828</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45828</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45828</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45828</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45828</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45828</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45828</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45828</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45828</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45828</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45828</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45828</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45828</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45828</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45828</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45828</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45828</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45828</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45828</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45828</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45828</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45828</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45828</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45828</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45828</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45828</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45828</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45828</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45828</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45828</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45828</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45828</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45828</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45828</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45828</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45828</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45828</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45828</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45828</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45828</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45828</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45828</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45828</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45828</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45828</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45828</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45828</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45828</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45828</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45828</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45828</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45828</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45828</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45828</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45828</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45828</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45828</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45828</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45828</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45828</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45828</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45828</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45828</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45828</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45828</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45828</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45828</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45828</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45828</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45828</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45828</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45828</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45828</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45828</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45828</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45828</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45828</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45828</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45828</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45828</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45828</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45828</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45828</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45828</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45828</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45828</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45828</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45828</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45828</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45828</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45828</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45828</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45828</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45828</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45828</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45828</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45828</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45828</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45828</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45828</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45828</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45828</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45828</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45828</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45828</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45828</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45828</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45828</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45828</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45828</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45828</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45828</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45828</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45828</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45828</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45828</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45828</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45828</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45828</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45828</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45828</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45828</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45828</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45828</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45828</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45828</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45828</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45828</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45828</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45828</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45828</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45828</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45828</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45828</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45828</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45828</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45828</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45828</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45828</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45828</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45828</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45828</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45828</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45828</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45828</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45828</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45828</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45828</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45828</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45828</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45828</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45828</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45828</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45828</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45828</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45828</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45828</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45828</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45828</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45828</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45828</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45828</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45828</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45828</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45828</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45828</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45828</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45828</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45828</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45828</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45828</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45828</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45828</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45828</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45828</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45828</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45828</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45828</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45828</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45828</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45828</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45828</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45828</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45828</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45828</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45828</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45828</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45828</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45828</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45828</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45828</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45828</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45828</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45828</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45828</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45828</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45828</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45828</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45828</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45828</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45828</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45828</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45828</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45828</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45828</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45828</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45828</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45828</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45828</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45828</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45828</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45828</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45828</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45828</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45828</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45828</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45828</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45828</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45828</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45828</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45828</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45828</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45828</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45828</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45828</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45828</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45828</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45828</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45828</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45828</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45828</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45828</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45828</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45828</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45828</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45828</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45828</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45828</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45828</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45828</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45828</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45828</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45828</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45828</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45828</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45828</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45828</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45828</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45828</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45828</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45828</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45828</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45828</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45828</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45828</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45828</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45828</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45828</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45828</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45828</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45828</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45828</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45828</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45828</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45828</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45828</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45828</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45828</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45828</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45828</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45828</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45828</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45828</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45828</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45828</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45828</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45828</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45828</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45828</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45828</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45828</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45828</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45828</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45828</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45828</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45828</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45828</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45828</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45828</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45828</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45828</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45828</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45828</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45828</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45828</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45828</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45828</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45828</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45828</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45828</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45828</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45828</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45828</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45828</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45828</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45828</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45828</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45828</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45828</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45828</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45828</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45828</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45828</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45828</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45828</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45828</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45828</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45828</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45828</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45828</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45828</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45828</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45828</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45828</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45828</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45828</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45828</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45828</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45828</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45828</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45828</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45828</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45828</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45828</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45828</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45828</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45828</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45828</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45828</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45828</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45828</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45828</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45828</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45828</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45828</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45828</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45828</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45828</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45828</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45828</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45828</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45828</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45828</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45828</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45828</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45828</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45828</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45828</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45828</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45828</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45828</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45828</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45828</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45828</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45828</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45828</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45828</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45828</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45828</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45828</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45828</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45828</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45828</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45828</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45828</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45828</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45828</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45828</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45828</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45828</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45828</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45828</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45828</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45828</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45828</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45828</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45828</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45828</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45828</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45828</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45828</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45828</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45828</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45828</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45828</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45828</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45828</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45828</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45828</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45828</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45828</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45828</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45828</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45828</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45828</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45828</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45828</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45828</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45828</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45828</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45828</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45828</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45828</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45828</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45828</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45828</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45828</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45828</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45828</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45828</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45828</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45828</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45828</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45828</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45828</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45828</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45828</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45828</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45828</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45828</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45828</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45828</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45828</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45828</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45828</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45828</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45828</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45828</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45828</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45828</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45828</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45828</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45828</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45828</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45828</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45828</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45828</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45828</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45828</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45828</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45828</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45828</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45828</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45828</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45828</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45828</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45828</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45828</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45828</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45828</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45828</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45828</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45828</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45828</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45828</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45828</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45828</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45828</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45828</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45828</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45828</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45828</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45828</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45828</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45828</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45828</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45828</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45828</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45828</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45828</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45828</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45828</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45828</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45828</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45828</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45828</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45828</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45828</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45828</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45828</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45828</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45828</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45828</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45828</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45828</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45828</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45828</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45828</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45828</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45828</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45828</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45828</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45828</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45828</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45828</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45828</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45828</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45828</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45828</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45828</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45828</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45828</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45828</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45828</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45828</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45828</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45828</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45828</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45828</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45828</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45828</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45828</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45828</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45828</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45828</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45828</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45828</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45828</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45828</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45828</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45828</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45828</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45828</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45828</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45828</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45828</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45828</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45828</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45828</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45828</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45828</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45828</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45828</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45828</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45828</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45828</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45828</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45828</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45828</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45828</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45828</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45828</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45828</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45828</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45828</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45828</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45828</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45828</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45828</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45828</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45828</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45828</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45828</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45828</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45828</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45828</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45828</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45828</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45828</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45828</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45828</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45828</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45828</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45828</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45828</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45828</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45828</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45828</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45828</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45828</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45828</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45828</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45828</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45828</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45828</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45828</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45828</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45828</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45828</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45828</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45828</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45828</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45828</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45828</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45828</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45828</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45828</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45828</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45828</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45828</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45828</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45828</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45828</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45828</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45828</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45828</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45828</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45828</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45828</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45828</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45828</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45828</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45828</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45828</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45828</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45828</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45828</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45828</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45828</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45828</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45828</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45828</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45828</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45828</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45828</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45828</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45828</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45828</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45828</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45828</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45828</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45828</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45828</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45828</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45828</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45828</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45828</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45828</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45828</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45828</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45828</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45828</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45828</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45828</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45828</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45828</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45828</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45828</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45828</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45828</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45828</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45828</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45828</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45828</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45828</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45828</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45828</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45828</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45828</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45828</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45828</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45828</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45828</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45828</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45828</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45828</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45828</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45828</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45828</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45828</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45828</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45828</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45828</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45828</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45828</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45828</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45828</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45828</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45828</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45828</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45828</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45828</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45828</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45828</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45828</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45828</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45828</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45828</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45828</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45828</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45828</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45828</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45828</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45828</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45828</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45828</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45828</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45828</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45828</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45828</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45828</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45828</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45828</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45828</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45828</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45828</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45828</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45828</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45828</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45828</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45828</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45828</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45828</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45828</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45828</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45828</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45828</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45828</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45828</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45828</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45828</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45828</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45828</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45828</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45828</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45828</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45828</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45828</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45828</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45828</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45828</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45828</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45828</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45828</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45828</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45828</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45828</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45828</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45828</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45828</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45828</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45828</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45828</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45828</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45828</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45828</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45828</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45828</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45828</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45828</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45828</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45828</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45828</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45828</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45828</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45828</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45828</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45828</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45828</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45828</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45828</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45828</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45828</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45828</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45828</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45828</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45828</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45828</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45828</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45828</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45828</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45828</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45828</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45828</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45828</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45828</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45828</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45828</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45828</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45828</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45828</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45828</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45828</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45828</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45828</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45828</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45828</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45828</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45828</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45828</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45828</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45828</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45828</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45828</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45828</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45828</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45828</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45828</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45828</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45828</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45828</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45828</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45828</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45828</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45828</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45828</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45828</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45828</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45828</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45828</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45828</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45828</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45828</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45828</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45828</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45828</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45828</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45828</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45828</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45828</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45828</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45828</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45828</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45828</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45828</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45828</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45828</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45828</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45828</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45828</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45828</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45828</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45828</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45828</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45828</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45828</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45828</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45828</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45828</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45828</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45828</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45828</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45828</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45828</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45828</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45828</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45828</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45828</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45828</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45828</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45828</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45828</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45828</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45828</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45828</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45828</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45828</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45828</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45828</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45828</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45828</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45828</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45828</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45828</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45828</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45828</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45828</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45828</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45828</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45828</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45828</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45828</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45828</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45828</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45828</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45828</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45828</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45828</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45828</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45828</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45828</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45828</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45828</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45828</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45828</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45828</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45828</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45828</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45828</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45828</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45828</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45828</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45828</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45828</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45828</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45828</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45828</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45828</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45828</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45828</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45828</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45828</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45828</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45828</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45828</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45828</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45828</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45828</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45828</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45828</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45828</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45828</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45828</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45828</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45828</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45828</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45828</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45828</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45828</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45828</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45828</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45828</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45828</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45828</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45828</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45828</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45828</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45828</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45828</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45828</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45828</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45828</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45828</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45828</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45828</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45828</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45828</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45828</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45828</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45828</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45828</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45828</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45828</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45828</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45828</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45828</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45828</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45828</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45828</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45828</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45828</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45828</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45828</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45828</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45828</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45828</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45828</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45828</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45828</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45828</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45828</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45828</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45828</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45828</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45828</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45828</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45828</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45828</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45828</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45828</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45828</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45828</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45828</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45828</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45828</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45828</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45828</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45828</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45828</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45828</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45828</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45828</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45828</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45828</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45828</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45828</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45828</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45828</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45828</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45828</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45828</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45828</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45828</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45828</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45828</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45828</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45828</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45828</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45828</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45828</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45828</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45828</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45828</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45828</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45828</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45828</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45828</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45828</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45828</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45828</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45828</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45828</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45828</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45828</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45828</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45828</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45828</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45828</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45828</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45828</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45828</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45828</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45828</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45828</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45828</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45828</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45828</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45828</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45828</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45828</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45828</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45828</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45828</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45828</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45828</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45828</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45828</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45828</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45828</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45828</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45828</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45828</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45828</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45828</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45828</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45828</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45828</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45828</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45828</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45828</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45828</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45828</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45828</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45828</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45828</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45828</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45828</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45828</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45828</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45828</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45828</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45828</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45828</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45828</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45828</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45828</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45828</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45828</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45828</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45828</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45828</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45828</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45828</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45828</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45828</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45828</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45828</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45828</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45828</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45828</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45828</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45828</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45828</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45828</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45828</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45828</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45828</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45828</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45828</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45828</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45828</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45828</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45828</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45828</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45828</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45828</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45828</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45828</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45828</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45828</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45828</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45828</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45828</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45828</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45828</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45828</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45828</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45828</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45828</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45828</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45828</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45828</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45828</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45828</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45828</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45828</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45828</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45828</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45828</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45828</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45828</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45828</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45828</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45828</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45828</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45828</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45828</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45828</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45828</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45828</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45828</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45828</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45828</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45828</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45828</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45828</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45828</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45828</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45828</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45828</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45828</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45828</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45828</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45828</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45828</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45828</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45828</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45828</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45828</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45828</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45828</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45828</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45828</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45828</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45828</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45828</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45828</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45828</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45828</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45828</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45828</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45828</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45828</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45828</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45828</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45828</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45828</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45828</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45828</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45828</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45828</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45828</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45828</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45828</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45828</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45828</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45828</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45828</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45828</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45828</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45828</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45828</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45828</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45828</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45828</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45828</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45828</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45828</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45828</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45828</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45828</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45828</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45828</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45828</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45828</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45828</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45828</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45828</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45828</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45828</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45828</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45828</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45828</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45828</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45828</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45828</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45828</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45828</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45828</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45828</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45828</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45828</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45828</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45828</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45828</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45828</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45828</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45828</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45828</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45828</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45828</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45828</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45828</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45828</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45828</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45828</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45828</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45828</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45828</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45828</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45828</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45828</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45828</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45828</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45828</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45828</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45828</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45828</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45828</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45828</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45828</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45828</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45828</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45828</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45828</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45828</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45828</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45828</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45828</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45828</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45828</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45828</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45828</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45828</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45828</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45828</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45828</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45828</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45828</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45828</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45828</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45828</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45828</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45828</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45828</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45828</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45828</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45828</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45828</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45828</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45828</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45828</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45828</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45828</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45828</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45828</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45828</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45828</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45828</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45828</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45828</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45828</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45828</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45828</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45828</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45828</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45828</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45828</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45828</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45828</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45828</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45828</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45828</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45828</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45828</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45828</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45828</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45828</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45828</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45828</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45828</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45828</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45828</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45828</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45828</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45828</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45828</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45828</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45828</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45828</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45828</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45828</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45828</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45828</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45828</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45828</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45828</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45828</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45828</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45828</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45828</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45828</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45828</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45828</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45828</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45828</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45828</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45828</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45828</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45828</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45828</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45828</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45828</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45828</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45828</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45828</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45828</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45828</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45828</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45828</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45828</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45828</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45828</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45828</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45828</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45828</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45828</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45828</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45828</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45828</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45828</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45828</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45828</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45828</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45828</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45828</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45828</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45828</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45828</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45828</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45828</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45828</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45828</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45828</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45828</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45828</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45828</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45828</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45828</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45828</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45828</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45828</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45828</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45828</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45828</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45828</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45828</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45828</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45828</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45828</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45828</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45828</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45828</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45828</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45828</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45828</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45828</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45828</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45828</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45828</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45828</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45828</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45828</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45828</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45828</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45828</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45828</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45828</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45828</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45828</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45828</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45828</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45828</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45828</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45828</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45828</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45828</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45828</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45828</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45828</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45828</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45828</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45828</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45828</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45828</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45828</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45828</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45828</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45828</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45828</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45828</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45828</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45828</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45828</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45828</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45828</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45828</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45828</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45828</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45828</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45828</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45828</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45828</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45828</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45828</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45828</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45828</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45828</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45828</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45828</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45828</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45828</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45828</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45828</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45828</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45828</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45828</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45828</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45828</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45828</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45828</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45828</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45828</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45828</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45828</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45828</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45828</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45828</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45828</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45828</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45828</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45828</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45828</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45828</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45828</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45828</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45828</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45828</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45828</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45828</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45828</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45828</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45828</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45828</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45828</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45828</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45828</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45828</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45828</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45828</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45828</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45828</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45828</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45828</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45828</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45828</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45828</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45828</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45828</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45828</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45828</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45828</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45828</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45828</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45828</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45828</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45828</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45828</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45828</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45828</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45828</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45828</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45828</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45828</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45828</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45828</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45828</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45828</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45828</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45828</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45828</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45828</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45828</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45828</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45828</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45828</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45828</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45828</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45828</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45828</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45828</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45828</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45828</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45828</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45828</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45828</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45828</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45828</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45828</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45828</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45828</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45828</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45828</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45828</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45828</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45828</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45828</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45828</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45828</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45828</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45828</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45828</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45828</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45828</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45828</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45828</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45828</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45828</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45828</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45828</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45828</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45828</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45828</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45828</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45828</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45828</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45828</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45828</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45828</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45828</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45828</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45828</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45828</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45828</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45828</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45828</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45828</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45828</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45828</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45828</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45828</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45828</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45828</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45828</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45828</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45828</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45828</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45828</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45828</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45828</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45828</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45828</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45828</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45828</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45828</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45828</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45828</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45828</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45828</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45828</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45828</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45828</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45828</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45828</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45828</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45828</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45828</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45828</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45828</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45828</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45828</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45828</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45828</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45828</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45828</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45828</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45828</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45828</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45828</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45828</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45828</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45828</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45828</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45828</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45828</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45828</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45828</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45828</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45828</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45828</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45828</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45828</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45828</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45828</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45828</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45828</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45828</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45828</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45828</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45828</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45828</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45828</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45828</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45828</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45828</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45828</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45828</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45828</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45828</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45828</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45828</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45828</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45828</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45828</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45828</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45828</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45828</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45828</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45828</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45828</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45828</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45828</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45828</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45828</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45828</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45828</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45828</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45828</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45828</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45828</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45828</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45828</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45828</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45828</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45828</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45828</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45828</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45828</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45828</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45828</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45828</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45828</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45828</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45828</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45828</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45828</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45828</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45828</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45828</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45828</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45828</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45828</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45828</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45828</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45828</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45828</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45828</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45828</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45828</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45828</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45828</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45828</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45828</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45828</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45828</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45828</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45828</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45828</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45828</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45828</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45828</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45828</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45828</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45828</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45828</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45828</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45828</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45828</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45828</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45828</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45828</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45828</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45828</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45828</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45828</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45828</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45828</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45828</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45828</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45828</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45828</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45828</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45828</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45828</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45828</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45828</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45828</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45828</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45828</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45828</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45828</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45828</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45828</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45828</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45828</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45828</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45828</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45828</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45828</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45828</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45828</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45828</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45828</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45828</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45828</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45828</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45828</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45828</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45828</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45828</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45828</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45828</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45828</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45828</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45828</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45828</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45828</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45828</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45828</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45828</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45828</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45828</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45828</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45828</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45828</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45828</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45828</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45828</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45828</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45828</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45828</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45828</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45828</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45828</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45828</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45828</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45828</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45828</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45828</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45828</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45828</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45828</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45828</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45828</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45828</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45828</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45828</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45828</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45828</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45828</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45828</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45828</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45828</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45828</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45828</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45828</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45828</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45828</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45828</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45828</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45828</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45828</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45828</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45828</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45828</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45828</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45828</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45828</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45828</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45828</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45828</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45828</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45828</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45828</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45828</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45828</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45828</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45828</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45828</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45828</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45828</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45828</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45828</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45828</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45828</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45828</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45828</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45828</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45828</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45828</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45828</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45828</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45828</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45828</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45828</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45828</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45828</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45828</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45828</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45828</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45828</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45828</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45828</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45828</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45828</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45828</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45828</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45828</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45828</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45828</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45828</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45828</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45828</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45828</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45828</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45828</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45828</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45828</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45828</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45828</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45828</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45828</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45828</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45828</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45828</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45828</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45828</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45828</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45828</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45828</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45828</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45828</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45828</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45828</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45828</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45828</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45828</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45828</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45828</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45828</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45828</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45828</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45828</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45828</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45828</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45828</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45828</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45828</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45828</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45828</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45828</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45828</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45828</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45828</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45828</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45828</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45828</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45828</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45828</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45828</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45828</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45828</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45828</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45828</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45828</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45828</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45828</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45828</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45828</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45828</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45828</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45828</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45828</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45828</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45828</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45828</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45828</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45828</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45828</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45828</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45828</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45828</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45828</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45828</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45828</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45828</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45828</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45828</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45828</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45828</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45828</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45828</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45828</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45828</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45828</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45828</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45828</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45828</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45828</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45828</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45828</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45828</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45828</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45828</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45828</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45828</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45828</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45828</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45828</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45828</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45828</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45828</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45828</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45828</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45828</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45828</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45828</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45828</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45828</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45828</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45828</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45828</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45828</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45828</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45828</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45828</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45828</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45828</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45828</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45828</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45828</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45828</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45828</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45828</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45828</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45828</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45828</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45828</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45828</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45828</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45828</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45828</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45828</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45828</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45828</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45828</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45828</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45828</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45828</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45828</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45828</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45828</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45828</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45828</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45828</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45828</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45828</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45828</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45828</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45828</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45828</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45828</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45828</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45828</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45828</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45828</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45828</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45828</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45828</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45828</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45828</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45828</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45828</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45828</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45828</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45828</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45828</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45828</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45828</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45828</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45828</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45828</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45828</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45828</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45828</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45828</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45828</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45828</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45828</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45828</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45828</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45828</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45828</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45828</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45828</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45828</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45828</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45828</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45828</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45828</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45828</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45828</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45828</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45828</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45828</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45828</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45828</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45828</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45828</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45828</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45828</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45828</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45828</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45828</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45828</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45828</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45828</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45828</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45828</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45828</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45828</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45828</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45828</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45828</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45828</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45828</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45828</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45828</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45828</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45828</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45828</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45828</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45828</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45828</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45828</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45828</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45828</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45828</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45828</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45828</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45828</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45828</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45828</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45828</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45828</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45828</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45828</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45828</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45828</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45828</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45828</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45828</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45828</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45828</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45828</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45828</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45828</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45828</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45828</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45828</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45828</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45828</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45828</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45828</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45828</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45828</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45828</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45828</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45828</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45828</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45828</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45828</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45828</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45828</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45828</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45828</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45828</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45828</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45828</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45828</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45828</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45828</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45828</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45828</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45828</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45828</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45828</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45828</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45828</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45828</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45828</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45828</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45828</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45828</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45828</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45828</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45828</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45828</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45828</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45828</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45828</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45828</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45828</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45828</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45828</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45828</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45828</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45828</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45828</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45828</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45828</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45828</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45828</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45828</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45828</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45828</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45828</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45828</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45828</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45828</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45828</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45828</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45828</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45828</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45828</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45828</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45828</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45828</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45828</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45828</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45828</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45828</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45828</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45828</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45828</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45828</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45828</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45828</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45828</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45828</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45828</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45828</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45828</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45828</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45828</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45828</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45828</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45828</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45828</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45828</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45828</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45828</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45828</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45828</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45828</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45828</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45828</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45828</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45828</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45828</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45828</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45828</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45828</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45828</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45828</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45828</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45828</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45828</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45828</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45828</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45828</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45828</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45828</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45828</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45828</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45828</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45828</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45828</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45828</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45828</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45828</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45828</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45828</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45828</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45828</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45828</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45828</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45828</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45828</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45828</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45828</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45828</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45828</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45828</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45828</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45828</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45828</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45828</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45828</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45828</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45828</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45828</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45828</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45828</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45828</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45828</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45828</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45828</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45828</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45828</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45828</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45828</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45828</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45828</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45828</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45828</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45828</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45828</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45828</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45828</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45828</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45828</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45828</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45828</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45828</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45828</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45828</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45828</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45828</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45828</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45828</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45828</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45828</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45828</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45828</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45828</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45828</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45828</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45828</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45828</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45828</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45828</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45828</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45828</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45828</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45828</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45828</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45828</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45828</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45828</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45828</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45828</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45828</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45828</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45828</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45828</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45828</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45828</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45828</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45828</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45828</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45828</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45828</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45828</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45828</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45828</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45828</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45828</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45828</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45828</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45828</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45828</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45828</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45828</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45828</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45828</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45828</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45828</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45828</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45828</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45828</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45828</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45828</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45828</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45828</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45828</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45828</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45828</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45828</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45828</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45828</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45828</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45828</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45828</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45828</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45828</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45828</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45828</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45828</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45828</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45828</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45828</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45828</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45828</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45828</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45828</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45828</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45828</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45828</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45828</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45828</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45828</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45828</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45828</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45828</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45828</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45828</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45828</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45828</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45828</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45828</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45828</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45828</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45828</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45828</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45828</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45828</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45828</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45828</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45828</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45828</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45828</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45828</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45828</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45828</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45828</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45828</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45828</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45828</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45828</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45828</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45828</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45828</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45828</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45828</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45828</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45828</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45828</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45828</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45828</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45828</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45828</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45828</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45828</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45828</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45828</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45828</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45828</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45828</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45828</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45828</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45828</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45828</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45828</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45828</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45828</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45828</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45828</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45828</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45828</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45828</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45828</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45828</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45828</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45828</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45828</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45828</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45828</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45828</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45828</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45828</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45828</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45828</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45828</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45828</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45828</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45828</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45828</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45828</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45828</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45828</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45828</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45828</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45828</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45828</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45828</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45828</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45828</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45828</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45828</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45828</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45828</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45828</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45828</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45828</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45828</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45828</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45828</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45828</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45828</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45828</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45828</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45828</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45828</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45828</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45828</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45828</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45828</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45828</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45828</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45828</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45828</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45828</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45828</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45828</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45828</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45828</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45828</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45828</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45828</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45828</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45828</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45828</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45828</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45828</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45828</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45828</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45828</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45828</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45828</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45828</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45828</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45828</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45828</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45828</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45828</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45828</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45828</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45828</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45828</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45828</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45828</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45828</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45828</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45828</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45828</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45828</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45828</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45828</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45828</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45828</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45828</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45828</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45828</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45828</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45828</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45828</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45828</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45828</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45828</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45828</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45828</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45828</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45828</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45828</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45828</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45828</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45828</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45828</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45828</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45828</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45828</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45828</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45828</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45828</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45828</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45828</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45828</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45828</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45828</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45828</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45828</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45828</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45828</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45828</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45828</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45828</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45828</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45828</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45828</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45828</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45828</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45828</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45828</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45828</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45828</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45828</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45828</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45828</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45828</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45828</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45828</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45828</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45828</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45828</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45828</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45828</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45828</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45828</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45828</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45828</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45828</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45828</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45828</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45828</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45828</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45828</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45828</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45828</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45828</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45828</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45828</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45828</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45828</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45828</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45828</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45828</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45828</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45828</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45828</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45828</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45828</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45828</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45828</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45828</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45828</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45828</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45828</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45828</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45828</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45828</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45828</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45828</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45828</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45828</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45828</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45828</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45828</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45828</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45828</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45828</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45828</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45828</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45828</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45828</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45828</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45828</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45828</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45828</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45828</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45828</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45828</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45828</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45828</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45828</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45828</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45828</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45828</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45828</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45828</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45828</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45828</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45828</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45828</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45828</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45828</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45828</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45828</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45828</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45828</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45828</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45828</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45828</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45828</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45828</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45828</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45828</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45828</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45828</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45828</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45828</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45828</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45828</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45828</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45828</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45828</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45828</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45828</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45828</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45828</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45828</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45828</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45828</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45828</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45828</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45828</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45828</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45828</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45828</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45828</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45828</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45828</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45828</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45828</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45828</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45828</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45828</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45828</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45828</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45828</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45828</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45828</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45828</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45828</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45828</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45828</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45828</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45828</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45828</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45828</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45828</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45828</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45828</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45828</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45828</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45828</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45828</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45828</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45828</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45828</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45828</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45828</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45828</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45828</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45828</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45828</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45828</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45828</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45828</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45828</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45828</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45828</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45828</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45828</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45828</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45828</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45828</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45828</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45828</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45828</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45828</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45828</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45828</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45828</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45828</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45828</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45828</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45828</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45828</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45828</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45828</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45828</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45828</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45828</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45828</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45828</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45828</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45828</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45828</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45828</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45828</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45828</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45828</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45828</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45828</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45828</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45828</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45828</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45828</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45828</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45828</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45828</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45828</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45828</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45828</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45828</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45828</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45828</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45828</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45828</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45828</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45828</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45828</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45828</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45828</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45828</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45828</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45828</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45828</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45828</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45828</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45828</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45828</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45828</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45828</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45828</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45828</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45828</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45828</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45828</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45828</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45828</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45828</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45828</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45828</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45828</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45828</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45828</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45828</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45828</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45828</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45828</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45828</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45828</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45828</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45828</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45828</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45828</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45828</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45828</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45828</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45828</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45828</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45828</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45828</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45828</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45828</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45828</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45828</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45828</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45828</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45828</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45828</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45828</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45828</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45828</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45828</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45828</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45828</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45828</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45828</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45828</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45828</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45828</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45828</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45828</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45828</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45828</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45828</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45828</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45828</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45828</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45828</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45828</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45828</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45828</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45828</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45828</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45828</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45828</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45828</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45828</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45828</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45828</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45828</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45828</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45828</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45828</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45828</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45828</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45828</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45828</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45828</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45828</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45828</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45828</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45828</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45828</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45828</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45828</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45828</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45828</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45828</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45828</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45828</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45828</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45828</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45828</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45828</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45828</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45828</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45828</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45828</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45828</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45828</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45828</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45828</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45828</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45828</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45828</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45828</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45828</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45828</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45828</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45828</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45828</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45828</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45828</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45828</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45828</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45828</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45828</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45828</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45828</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45828</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45828</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45828</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45828</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45828</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45828</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45828</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45828</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45828</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45828</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45828</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45828</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45828</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45828</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45828</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45828</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45828</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45828</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45828</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45828</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45828</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45828</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45828</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45828</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45828</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45828</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45828</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45828</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45828</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45828</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45828</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45828</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45828</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45828</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45828</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45828</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45828</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45828</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45828</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45828</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45828</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45828</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45828</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45828</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45828</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45828</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45828</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45828</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45828</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45828</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45828</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45828</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45828</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45828</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45828</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45828</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45828</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45828</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45828</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45828</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45828</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45828</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45828</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45828</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45828</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45828</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45828</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45828</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45828</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45828</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45828</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45828</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45828</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45828</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45828</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45828</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45828</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45828</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45828</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45828</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45828</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45828</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45828</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45828</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45828</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45828</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45828</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45828</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45828</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45828</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45828</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45828</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45828</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45828</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45828</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45828</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45828</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45828</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45828</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45828</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45828</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45828</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45828</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45828</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45828</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45828</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45828</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45828</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45828</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45828</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45828</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45828</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45828</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45828</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45828</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45828</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45828</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45828</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45828</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45828</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45828</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45828</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45828</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45828</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45828</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45828</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45828</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45828</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45828</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45828</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45828</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45828</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45828</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45828</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45828</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45828</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45828</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45828</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45828</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45828</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45828</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45828</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45828</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45828</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45828</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45828</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45828</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45828</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45828</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45828</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45828</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45828</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45828</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45828</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45828</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45828</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45828</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45828</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45828</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45828</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45828</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45828</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45828</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45828</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45828</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45828</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45828</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45828</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45828</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45828</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45828</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45828</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45828</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45828</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45828</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45828</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45828</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45828</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45828</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45828</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45828</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45828</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45828</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45828</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45828</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45828</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45828</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45828</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45828</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45828</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45828</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45828</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45828</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45828</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45828</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45828</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45828</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45828</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45828</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45828</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45828</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45828</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45828</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45828</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45828</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45828</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45828</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45828</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45828</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45828</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45828</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45828</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45828</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45828</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45828</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45828</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45828</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45828</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45828</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45828</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45828</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45828</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45828</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45828</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45828</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45828</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45828</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45828</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45828</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45828</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45828</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45828</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45828</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45828</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45828</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45828</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45828</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45828</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45828</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45828</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45828</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45828</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45828</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45828</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45828</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45828</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45828</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45828</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45828</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45828</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45828</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45828</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45828</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45828</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45828</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45828</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45828</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45828</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45828</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45828</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45828</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45828</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45828</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45828</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45828</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45828</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45828</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45828</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45828</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45828</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45828</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45828</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45828</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45828</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45828</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45828</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45828</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45828</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45828</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45828</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45828</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45828</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45828</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45828</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45828</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45828</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45828</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45828</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45828</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45828</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45828</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45828</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45828</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45828</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45828</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45828</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45828</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45828</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45828</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45828</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45828</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45828</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45828</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45828</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45828</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45828</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45828</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45828</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45828</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45828</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45828</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45828</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45828</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45828</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45828</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45828</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45828</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45828</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45828</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45828</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45828</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45828</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45828</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45828</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45828</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45828</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45828</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45828</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45828</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45828</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45828</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45828</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45828</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45828</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45828</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45828</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45828</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45828</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45828</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45828</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45828</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45828</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45828</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45828</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45828</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45828</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45828</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45828</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45828</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45828</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45828</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45828</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45828</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45828</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45828</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45828</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45828</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45828</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45828</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45828</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45828</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45828</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45828</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45828</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45828</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45828</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45828</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45828</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45828</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45828</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45828</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45828</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45828</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45828</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45828</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45828</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45828</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45828</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45828</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45828</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45828</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45828</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45828</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45828</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45828</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45828</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45828</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45828</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45828</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45828</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45828</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45828</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45828</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45828</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45828</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45828</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45828</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45828</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45828</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45828</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45828</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45828</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45828</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45828</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45828</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45828</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45828</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45828</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45828</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45828</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45828</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45828</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45828</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45828</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45828</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45828</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45828</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45828</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45828</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45828</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45828</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45828</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45828</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45828</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45828</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45828</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45828</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45828</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45828</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45828</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45828</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45828</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45828</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45828</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45828</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45828</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45828</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45828</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45828</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45828</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45828</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45828</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45828</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45828</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45828</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45828</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45828</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45828</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45828</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45828</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45828</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45828</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45828</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45828</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45828</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45828</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45828</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45828</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45828</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45828</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45828</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45828</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45828</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45828</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45828</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45828</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45828</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45828</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45828</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45828</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45828</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45828</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45828</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45828</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45828</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45828</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45828</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45828</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45828</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45828</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45828</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45828</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45828</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45828</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45828</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45828</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45828</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45828</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45828</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45828</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45828</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45828</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45828</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45828</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45828</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45828</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45828</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45828</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45828</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45828</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45828</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45828</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45828</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45828</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45828</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45828</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45828</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45828</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45828</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45828</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45828</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45828</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45828</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45828</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45828</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45828</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45828</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45828</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45828</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45828</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45828</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45828</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45828</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45828</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45828</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45828</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45828</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45828</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45828</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45828</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45828</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45828</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45828</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45828</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45828</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45828</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45828</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45828</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45828</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45828</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45828</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45828</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45828</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45828</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45828</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45828</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45828</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45828</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45828</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45828</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45828</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45828</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45828</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45828</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45828</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45828</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45828</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45828</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45828</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45828</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45828</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45828</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45828</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45828</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45828</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45828</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45828</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45828</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45828</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45828</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45828</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45828</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45828</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45828</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45828</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45828</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45828</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45828</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45828</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45828</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45828</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45828</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45828</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45828</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45828</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45828</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45828</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45828</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45828</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45828</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45828</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45828</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45828</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45828</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45828</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45828</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45828</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45828</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45828</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45828</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45828</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45828</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45828</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45828</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45828</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45828</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45828</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45828</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45828</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45828</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45828</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45828</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45828</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45828</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45828</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45828</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45828</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45828</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45828</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45828</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45828</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45828</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45828</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45828</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45828</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45828</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45828</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45828</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45828</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45828</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45828</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45828</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45828</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45828</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45828</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45828</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45828</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45828</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45828</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45828</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45828</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45828</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45828</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45828</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45828</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45828</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45828</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45828</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45828</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45828</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45828</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45828</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45828</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45828</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45828</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45828</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45828</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45828</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45828</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45828</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45828</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45828</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45828</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45828</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45828</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45828</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45828</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45828</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45828</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45828</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45828</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45828</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45828</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45828</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45828</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45828</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45828</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45828</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45828</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45828</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45828</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45828</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45828</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45828</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45828</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45828</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45828</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45828</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45828</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45828</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45828</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45828</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45828</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45828</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45828</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45828</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45828</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45828</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45828</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45828</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45828</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45828</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45828</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45828</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45828</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45828</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45828</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45828</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45828</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45828</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45828</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45828</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45828</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45828</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45828</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45828</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45828</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45828</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45828</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45828</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45828</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45828</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45828</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45828</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45828</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45828</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45828</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45828</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45828</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45828</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45828</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45828</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45828</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45828</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45828</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45828</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45828</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45828</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45828</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45828</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45828</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45828</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45828</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45828</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45828</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45828</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45828</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45828</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45828</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45828</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45828</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45828</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45828</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45828</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45828</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45828</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45828</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45828</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45828</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45828</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45828</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45828</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45828</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45828</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45828</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45828</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45828</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45828</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45828</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45828</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45828</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45828</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45828</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45828</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45828</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45828</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45828</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45828</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45828</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45828</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45828</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45828</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45828</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45828</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45828</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45828</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45828</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45828</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45828</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45828</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45828</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45828</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45828</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45828</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45828</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45828</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45828</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45828</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45828</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45828</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45828</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45828</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45828</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45828</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45828</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45828</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45828</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45828</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45828</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45828</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45828</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45828</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45828</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45828</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45828</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45828</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45828</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45828</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45828</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45828</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45828</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45828</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45828</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45828</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45828</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45828</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45828</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45828</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45828</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45828</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45828</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45828</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45828</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45828</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45828</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45828</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45828</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45828</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45828</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45828</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45828</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45828</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45828</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45828</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45828</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45828</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45828</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45828</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45828</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45828</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45828</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45828</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45828</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45828</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45828</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45828</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45828</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45828</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45828</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45828</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45828</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45828</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45828</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45828</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45828</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45828</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45828</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45828</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45828</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45828</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45828</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45828</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45828</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45828</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45828</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45828</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45828</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45828</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45828</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45828</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45828</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45828</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45828</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45828</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45828</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45828</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45828</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45828</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45828</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45828</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45828</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45828</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45828</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45828</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45828</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45828</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45828</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45828</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45828</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45828</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45828</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45828</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45828</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45828</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45828</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45828</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45828</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45828</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45828</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45828</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45828</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45828</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45828</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45828</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45828</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45828</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45828</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45828</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45828</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45828</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45828</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45828</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45828</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45828</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45828</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45828</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45828</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45828</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45828</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45828</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45828</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45828</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45828</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45828</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45828</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45828</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45828</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45828</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45828</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45828</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45828</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45828</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45828</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45828</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45828</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45828</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45828</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45828</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45828</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45828</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45828</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45828</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45828</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45828</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45828</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45828</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45828</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45828</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45828</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45828</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45828</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45828</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45828</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45828</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45828</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45828</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45828</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45828</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45828</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45828</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45828</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45828</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45828</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45828</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45828</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45828</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45828</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45828</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45828</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45828</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45828</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45828</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45828</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45828</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45828</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45828</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45828</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45828</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45828</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45828</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45828</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45828</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45828</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45828</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45828</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45828</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45828</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45828</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45828</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45828</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45828</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45828</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45828</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45828</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45828</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45828</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45828</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45828</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45828</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45828</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45828</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45828</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45828</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45828</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45828</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45828</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45828</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45828</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45828</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45828</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45828</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45828</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45828</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45828</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45828</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45828</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45828</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45828</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45828</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45828</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45828</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45828</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45828</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45828</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45828</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45828</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45828</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45828</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45828</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45828</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45828</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45828</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45828</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45828</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45828</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45828</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45828</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45828</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45828</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45828</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45828</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45828</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45828</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45828</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45828</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45828</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45828</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45828</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45828</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45828</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45828</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45828</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45828</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45828</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45828</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45828</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45828</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45828</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45828</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45828</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45828</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45828</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45828</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45828</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45828</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45828</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45828</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45828</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45828</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45828</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45828</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45828</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45828</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45828</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45828</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45828</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45828</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45828</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45828</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45828</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45828</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45828</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45828</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45828</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45828</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45828</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45828</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45828</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45828</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45828</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45828</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45828</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45828</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45828</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45828</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45828</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45828</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45828</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45828</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45828</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45828</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45828</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45828</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45828</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45828</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45828</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45828</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45828</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45828</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45828</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45828</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45828</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45828</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45828</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45828</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45828</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45828</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45828</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45828</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45828</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45828</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45828</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45828</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45828</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45828</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45828</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45828</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45828</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45828</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45828</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45828</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45828</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45828</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45828</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45828</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45828</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45828</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45828</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45828</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45828</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45828</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45828</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45828</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45828</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45828</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45828</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45828</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45828</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45828</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45828</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45828</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45828</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45828</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45828</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45828</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45828</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45828</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45828</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45828</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45828</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45828</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45828</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45828</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45828</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45828</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45828</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45828</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45828</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45828</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45828</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45828</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45828</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45828</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45828</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45828</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45828</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45828</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45828</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45828</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45828</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45828</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45828</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45828</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45828</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45828</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45828</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45828</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45828</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45828</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45828</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45828</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45828</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45828</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45828</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45828</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45828</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45828</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45828</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45828</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45828</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45828</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45828</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45828</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45828</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45828</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45828</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45828</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45828</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45828</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45828</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45828</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45828</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45828</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45828</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45828</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45828</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45828</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45828</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45828</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45828</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45828</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45828</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45828</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45828</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45828</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45828</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45828</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45828</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45828</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45828</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45828</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45828</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45828</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45828</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45828</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45828</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45828</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45828</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45828</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45828</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45828</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45828</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45828</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45828</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45828</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45828</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45828</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45828</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45828</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45828</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45828</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45828</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45828</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45828</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45828</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45828</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45828</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45828</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45828</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45828</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45828</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45828</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45828</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45828</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45828</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45828</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45828</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45828</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45828</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45828</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45828</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45828</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45828</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45828</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45828</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45828</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45828</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45828</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45828</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45828</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45828</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45828</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45828</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45828</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45828</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45828</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45828</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45828</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45828</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45828</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45828</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45828</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45828</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45828</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45828</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45828</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45828</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45828</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45828</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45828</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45828</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45828</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45828</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45828</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45828</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45828</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45828</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45828</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45828</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45828</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45828</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45828</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45828</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45828</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45828</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45828</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45828</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45828</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45828</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45828</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45828</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45828</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45828</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45828</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45828</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45828</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45828</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45828</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45828</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45828</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45828</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45828</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45828</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45828</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45828</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45828</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45828</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45828</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45828</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45828</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45828</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45828</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45828</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45828</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45828</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45828</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45828</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45828</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45828</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45828</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45828</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45828</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45828</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45828</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45828</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45828</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45828</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45828</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45828</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45828</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45828</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45828</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45828</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45828</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45828</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45828</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45828</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45828</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45828</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45828</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45828</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45828</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45828</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45828</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45828</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45828</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45828</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45828</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45828</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45828</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45828</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45828</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45828</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45828</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45828</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45828</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45828</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45828</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45828</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45828</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45828</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45828</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45828</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45828</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45828</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45828</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45828</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45828</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45828</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45828</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45828</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45828</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45828</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45828</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45828</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45828</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45828</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45828</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45828</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45828</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45828</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45828</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45828</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45828</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45828</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45828</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45828</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45828</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45828</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45828</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45828</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45828</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45828</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45828</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45828</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45828</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45828</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45828</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45828</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45828</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45828</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45828</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45828</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45828</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45828</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45828</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45828</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45828</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45828</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45828</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45828</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45828</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45828</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45828</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45828</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45828</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45828</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45828</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45828</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45828</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45828</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45828</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45828</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45828</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45828</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45828</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45828</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45828</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45828</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45828</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45828</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45828</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45828</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45828</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45828</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45828</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45828</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45828</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45828</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45828</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45828</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45828</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45828</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45828</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45828</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45828</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45828</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45828</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45828</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45828</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45828</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45828</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45828</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45828</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45828</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45828</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45828</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45828</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45828</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45828</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45828</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45828</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45828</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45828</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45828</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45828</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45828</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45828</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45828</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45828</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45828</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45828</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45828</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45828</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45828</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45828</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45828</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45828</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45828</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45828</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45828</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45828</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45828</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45828</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45828</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45828</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45828</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45828</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45828</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45828</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45828</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45828</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45828</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45828</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45828</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45828</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45828</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45828</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45828</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45828</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45828</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45828</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45828</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45828</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45828</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45828</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45828</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45828</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45828</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45828</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45828</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45828</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45828</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45828</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45828</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45828</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45828</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45828</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45828</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45828</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45828</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45828</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45828</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45828</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45828</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45828</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45828</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45828</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45828</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45828</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45828</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45828</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45828</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45828</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45828</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45828</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45828</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45828</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45828</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45828</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45828</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45828</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45828</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45828</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45828</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45828</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45828</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45828</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45828</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45828</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45828</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45828</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45828</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45828</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45828</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45828</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45828</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45828</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45828</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45828</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45828</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45828</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45828</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45828</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45828</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45828</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45828</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45828</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45828</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45828</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45828</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45828</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45828</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45828</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45828</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45828</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45828</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45828</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45828</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45828</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45828</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45828</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45828</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45828</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45828</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45828</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45828</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45828</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45828</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45828</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45828</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45828</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45828</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45828</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45828</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45828</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45828</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45828</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45828</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45828</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45828</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45828</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45828</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45828</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45828</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45828</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45828</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45828</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45828</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45828</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45828</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45828</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45828</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45828</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45828</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45828</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45828</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45828</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45828</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45828</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45828</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45828</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45828</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45828</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45828</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45828</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45828</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45828</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45828</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45828</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45828</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45828</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45828</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45828</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45828</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45828</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45828</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45828</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45828</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45828</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45828</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45828</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45828</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45828</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45828</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45828</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45828</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45828</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45828</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45828</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45828</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45828</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45828</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45828</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45828</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45828</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45828</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45828</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45828</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45828</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45828</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45828</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45828</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45828</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45828</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45828</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45828</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45828</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45828</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45828</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45828</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45828</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45828</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45828</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45828</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45828</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45828</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45828</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45828</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45828</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45828</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45828</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45828</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45828</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45828</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45828</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45828</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45828</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45828</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45828</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45828</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45828</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45828</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45828</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45828</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45828</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45828</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45828</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45828</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45828</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45828</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45828</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45828</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45828</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45828</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45828</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45828</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45828</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45828</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45828</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45828</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45828</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45828</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45828</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45828</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45828</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45828</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45828</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45828</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45828</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45828</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45828</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45828</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45828</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45828</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45828</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45828</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45828</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45828</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45828</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45828</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45828</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45828</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45828</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45828</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45828</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45828</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45828</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45828</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45828</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45828</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45828</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45828</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45828</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45828</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45828</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45828</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45828</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45828</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45828</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45828</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45828</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45828</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45828</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45828</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45828</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45828</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45828</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45828</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45828</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45828</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45828</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45828</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45828</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45828</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45828</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45828</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45828</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45828</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45828</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45828</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45828</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45828</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45828</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45828</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45828</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45828</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45828</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45828</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45828</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45828</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45828</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45828</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45828</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45828</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45828</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45828</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45828</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45828</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45828</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45828</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45828</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45828</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45828</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45828</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45828</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45828</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45828</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45828</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45828</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45828</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45828</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45828</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45828</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45828</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45828</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45828</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45828</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45828</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45828</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45828</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45828</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45828</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45828</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45828</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45828</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45828</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45828</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45828</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45828</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45828</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45828</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45828</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45828</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45828</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45828</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45828</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45828</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45828</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45828</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45828</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45828</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45828</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45828</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45828</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45828</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45828</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45828</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45828</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45828</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45828</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45828</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45828</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45828</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45828</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45828</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45828</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45828</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45828</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45828</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45828</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45828</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45828</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45828</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45828</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45828</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45828</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45828</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45828</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45828</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45828</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45828</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45828</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45828</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45828</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45828</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45828</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45828</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45828</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45828</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45828</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45828</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45828</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45828</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45828</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45828</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45828</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45828</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45828</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45828</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45828</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45828</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45828</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45828</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45828</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45828</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45828</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45828</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45828</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45828</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45828</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45828</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45828</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45828</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45828</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45828</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45828</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45828</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45828</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45828</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45828</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45828</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45828</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45828</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45828</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45828</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45828</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45828</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45828</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45828</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45828</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45828</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45828</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45828</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45828</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45828</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45828</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45828</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45828</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45828</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45828</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45828</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45828</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45828</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45828</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45828</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45828</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45828</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45828</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45828</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45828</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45828</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45828</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45828</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45828</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45828</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45828</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45828</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45828</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45828</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45828</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45828</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45828</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45828</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45828</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45828</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45828</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45828</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45828</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45828</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45828</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45828</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45828</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45828</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45828</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45828</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45828</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45828</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45828</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45828</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45828</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45828</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45828</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45828</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45828</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45828</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45828</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45828</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45828</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45828</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45828</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45828</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45828</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45828</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45828</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45828</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45828</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45828</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45828</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45828</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45828</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45828</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45828</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45828</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45828</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45828</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45828</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45828</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45828</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45828</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45828</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45828</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45828</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45828</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45828</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45828</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45828</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45828</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45828</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45828</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45828</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45828</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45828</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45828</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45828</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45828</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45828</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45828</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45828</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45828</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45828</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45828</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45828</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45828</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45828</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45828</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45828</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45828</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45828</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45828</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45828</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45828</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45828</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45828</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45828</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45828</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45828</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45828</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45828</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45828</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45828</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45828</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45828</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45828</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45828</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45828</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45828</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45828</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45828</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45828</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45828</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45828</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45828</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45828</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45828</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45828</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45828</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45828</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45828</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45828</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45828</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45828</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45828</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45828</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45828</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45828</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45828</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45828</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45828</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45828</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45828</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45828</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45828</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45828</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45828</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45828</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45828</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45828</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45828</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45828</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45828</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45828</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45828</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45828</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45828</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45828</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45828</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45828</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45828</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45828</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45828</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45828</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45828</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45828</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45828</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45828</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45828</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45828</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45828</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45828</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45828</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45828</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45828</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45828</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45828</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45828</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45828</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45828</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45828</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45828</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45828</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45828</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45828</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45828</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45828</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45828</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45828</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45828</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45828</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45828</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45828</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45828</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45828</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45828</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45828</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45828</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45828</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45828</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45828</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45828</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45828</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45828</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45828</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45828</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45828</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45828</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45828</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45828</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45828</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45828</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45828</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45828</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45828</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45828</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45828</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45828</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45828</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45828</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45828</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45828</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45828</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45828</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45828</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45828</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45828</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45828</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45828</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45828</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45828</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45828</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45828</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45828</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45828</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45828</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45828</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45828</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45828</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45828</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45828</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45828</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45828</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45828</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45828</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45828</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45828</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45828</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45828</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45828</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45828</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45828</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45828</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45828</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45828</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45828</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45828</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45828</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45828</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45828</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45828</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45828</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45828</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45828</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45828</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45828</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45828</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45828</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45828</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45828</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45828</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45828</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45828</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45828</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45828</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45828</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45828</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45828</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45828</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45828</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45828</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45828</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45828</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45828</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45828</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45828</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45828</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45828</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45828</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45828</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45828</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45828</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45828</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45828</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45828</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45828</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45828</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45828</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45828</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45828</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45828</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45828</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45828</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45828</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45828</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45828</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45828</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45828</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45828</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45828</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45828</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45828</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45828</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45828</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45828</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45828</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45828</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45828</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45828</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45828</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45828</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45828</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45828</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45828</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45828</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45828</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45828</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45828</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45828</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45828</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45828</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45828</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45828</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45828</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45828</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45828</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45828</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45828</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45828</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45828</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45828</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45828</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45828</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45828</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45828</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45828</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45828</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45828</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45828</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45828</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45828</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45828</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45828</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45828</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45828</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45828</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45828</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45828</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45828</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45828</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45828</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45828</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45828</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45828</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45828</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45828</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45828</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45828</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45828</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45828</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45828</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45828</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45828</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45828</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45828</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45828</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45828</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45828</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45828</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45828</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45828</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45828</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45828</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45828</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45828</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45828</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45828</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45828</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45828</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45828</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45828</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45828</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45828</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45828</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45828</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45828</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45828</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45828</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45828</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45828</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45828</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45828</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45828</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45828</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45828</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45828</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45828</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45828</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45828</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45828</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45828</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45828</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45828</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45828</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45828</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45828</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45828</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45828</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45828</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45828</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45828</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45828</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45828</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45828</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45828</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45828</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45828</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45828</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45828</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45828</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45828</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45828</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45828</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45828</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45828</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45828</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45828</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45828</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45828</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45828</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45828</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45828</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45828</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45828</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45828</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45828</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45828</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45828</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45828</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45828</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45828</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45828</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45828</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45828</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45828</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45828</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45828</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45828</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45828</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45828</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45828</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45828</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45828</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45828</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45828</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45828</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45828</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45828</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45828</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45828</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45828</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45828</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45828</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45828</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45828</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45828</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45828</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45828</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45828</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45828</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45828</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45828</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45828</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45828</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45828</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45828</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45828</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45828</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45828</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45828</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45828</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45828</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45828</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45828</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45828</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45828</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45828</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45828</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45828</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45828</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45828</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45828</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45828</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45828</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45828</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45828</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45828</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45828</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45828</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45828</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45828</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45828</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45828</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45828</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45828</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45828</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45828</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45828</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45828</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45828</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45828</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45828</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45828</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45828</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45828</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45828</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45828</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45828</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45828</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45828</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45828</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45828</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45828</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45828</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45828</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45828</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45828</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45828</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45828</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45828</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45828</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45828</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45828</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45828</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45828</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45828</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45828</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45828</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45828</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45828</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45828</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45828</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45828</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45828</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45828</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45828</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45828</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45828</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45828</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45828</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45828</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45828</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45828</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45828</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45828</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45828</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45828</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45828</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45828</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45828</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45828</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45828</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45828</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45828</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45828</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45828</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45828</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45828</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45828</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45828</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45828</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45828</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45828</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45828</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45828</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45828</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45828</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45828</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45828</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45828</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45828</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45828</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45828</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45828</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45828</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45828</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45828</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45828</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45828</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45828</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45828</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45828</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45828</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45828</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45828</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45828</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45828</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45828</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45828</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45828</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45828</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45828</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45828</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45828</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45828</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45828</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45828</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45828</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45828</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45828</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45828</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45828</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45828</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45828</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45828</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45828</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45828</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45828</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45828</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45828</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45828</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45828</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45828</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45828</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45828</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45828</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45828</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45828</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45828</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45828</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45828</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45828</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45828</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45828</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45828</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45828</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45828</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45828</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45828</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45828</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45828</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45828</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45828</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45828</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45828</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45828</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45828</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45828</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45828</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45828</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45828</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45828</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45828</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45828</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45828</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45828</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45828</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45828</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45828</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45828</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45828</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45828</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45828</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45828</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45828</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45828</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45828</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45828</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45828</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45828</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45828</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45828</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45828</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45828</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45828</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45828</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45828</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45828</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45828</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45828</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45828</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45828</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45828</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45828</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45828</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45828</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45828</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45828</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45828</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45828</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45828</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45828</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45828</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45828</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45828</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45828</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45828</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45828</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45828</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45828</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45828</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45828</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45828</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45828</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45828</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45828</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45828</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45828</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45828</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45828</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45828</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45828</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45828</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45828</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24374-2025</t>
        </is>
      </c>
      <c r="B7992" s="1" t="n">
        <v>45797</v>
      </c>
      <c r="C7992" s="1" t="n">
        <v>45828</v>
      </c>
      <c r="D7992" t="inlineStr">
        <is>
          <t>SKÅNE LÄN</t>
        </is>
      </c>
      <c r="E7992" t="inlineStr">
        <is>
          <t>SVALÖV</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45828</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45828</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45828</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24217-2025</t>
        </is>
      </c>
      <c r="B7996" s="1" t="n">
        <v>45797</v>
      </c>
      <c r="C7996" s="1" t="n">
        <v>45828</v>
      </c>
      <c r="D7996" t="inlineStr">
        <is>
          <t>SKÅNE LÄN</t>
        </is>
      </c>
      <c r="E7996" t="inlineStr">
        <is>
          <t>KLIPPAN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24513-2025</t>
        </is>
      </c>
      <c r="B7997" s="1" t="n">
        <v>45798</v>
      </c>
      <c r="C7997" s="1" t="n">
        <v>45828</v>
      </c>
      <c r="D7997" t="inlineStr">
        <is>
          <t>SKÅNE LÄN</t>
        </is>
      </c>
      <c r="E7997" t="inlineStr">
        <is>
          <t>SVALÖV</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24658-2025</t>
        </is>
      </c>
      <c r="B7998" s="1" t="n">
        <v>45798</v>
      </c>
      <c r="C7998" s="1" t="n">
        <v>45828</v>
      </c>
      <c r="D7998" t="inlineStr">
        <is>
          <t>SKÅNE LÄN</t>
        </is>
      </c>
      <c r="E7998" t="inlineStr">
        <is>
          <t>HÄSSLEHOLM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24674-2025</t>
        </is>
      </c>
      <c r="B7999" s="1" t="n">
        <v>45798</v>
      </c>
      <c r="C7999" s="1" t="n">
        <v>45828</v>
      </c>
      <c r="D7999" t="inlineStr">
        <is>
          <t>SKÅNE LÄN</t>
        </is>
      </c>
      <c r="E7999" t="inlineStr">
        <is>
          <t>ÖRKELLJUNGA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24664-2025</t>
        </is>
      </c>
      <c r="B8000" s="1" t="n">
        <v>45798</v>
      </c>
      <c r="C8000" s="1" t="n">
        <v>45828</v>
      </c>
      <c r="D8000" t="inlineStr">
        <is>
          <t>SKÅNE LÄN</t>
        </is>
      </c>
      <c r="E8000" t="inlineStr">
        <is>
          <t>ÖRKELLJUNGA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24671-2025</t>
        </is>
      </c>
      <c r="B8001" s="1" t="n">
        <v>45798</v>
      </c>
      <c r="C8001" s="1" t="n">
        <v>45828</v>
      </c>
      <c r="D8001" t="inlineStr">
        <is>
          <t>SKÅNE LÄN</t>
        </is>
      </c>
      <c r="E8001" t="inlineStr">
        <is>
          <t>ÖRKELLJUNGA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24675-2025</t>
        </is>
      </c>
      <c r="B8002" s="1" t="n">
        <v>45798</v>
      </c>
      <c r="C8002" s="1" t="n">
        <v>45828</v>
      </c>
      <c r="D8002" t="inlineStr">
        <is>
          <t>SKÅNE LÄN</t>
        </is>
      </c>
      <c r="E8002" t="inlineStr">
        <is>
          <t>HÄSSLEHOLM</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24556-2025</t>
        </is>
      </c>
      <c r="B8003" s="1" t="n">
        <v>45798</v>
      </c>
      <c r="C8003" s="1" t="n">
        <v>45828</v>
      </c>
      <c r="D8003" t="inlineStr">
        <is>
          <t>SKÅNE LÄN</t>
        </is>
      </c>
      <c r="E8003" t="inlineStr">
        <is>
          <t>HÖÖR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24688-2025</t>
        </is>
      </c>
      <c r="B8004" s="1" t="n">
        <v>45798</v>
      </c>
      <c r="C8004" s="1" t="n">
        <v>45828</v>
      </c>
      <c r="D8004" t="inlineStr">
        <is>
          <t>SKÅNE LÄN</t>
        </is>
      </c>
      <c r="E8004" t="inlineStr">
        <is>
          <t>BROMÖLLA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45828</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24914-2025</t>
        </is>
      </c>
      <c r="B8006" s="1" t="n">
        <v>45799</v>
      </c>
      <c r="C8006" s="1" t="n">
        <v>45828</v>
      </c>
      <c r="D8006" t="inlineStr">
        <is>
          <t>SKÅNE LÄN</t>
        </is>
      </c>
      <c r="E8006" t="inlineStr">
        <is>
          <t>SJÖBO</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24830-2025</t>
        </is>
      </c>
      <c r="B8007" s="1" t="n">
        <v>45799</v>
      </c>
      <c r="C8007" s="1" t="n">
        <v>45828</v>
      </c>
      <c r="D8007" t="inlineStr">
        <is>
          <t>SKÅNE LÄN</t>
        </is>
      </c>
      <c r="E8007" t="inlineStr">
        <is>
          <t>SJÖBO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45828</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45828</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24803-2025</t>
        </is>
      </c>
      <c r="B8010" s="1" t="n">
        <v>45799</v>
      </c>
      <c r="C8010" s="1" t="n">
        <v>45828</v>
      </c>
      <c r="D8010" t="inlineStr">
        <is>
          <t>SKÅNE LÄN</t>
        </is>
      </c>
      <c r="E8010" t="inlineStr">
        <is>
          <t>KRISTIANSTAD</t>
        </is>
      </c>
      <c r="F8010" t="inlineStr">
        <is>
          <t>Övriga Aktiebolag</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45828</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45828</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24818-2025</t>
        </is>
      </c>
      <c r="B8013" s="1" t="n">
        <v>45799</v>
      </c>
      <c r="C8013" s="1" t="n">
        <v>45828</v>
      </c>
      <c r="D8013" t="inlineStr">
        <is>
          <t>SKÅNE LÄN</t>
        </is>
      </c>
      <c r="E8013" t="inlineStr">
        <is>
          <t>KLIPPAN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24720-2025</t>
        </is>
      </c>
      <c r="B8014" s="1" t="n">
        <v>45799</v>
      </c>
      <c r="C8014" s="1" t="n">
        <v>45828</v>
      </c>
      <c r="D8014" t="inlineStr">
        <is>
          <t>SKÅNE LÄN</t>
        </is>
      </c>
      <c r="E8014" t="inlineStr">
        <is>
          <t>OSBY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24985-2025</t>
        </is>
      </c>
      <c r="B8015" s="1" t="n">
        <v>45799</v>
      </c>
      <c r="C8015" s="1" t="n">
        <v>45828</v>
      </c>
      <c r="D8015" t="inlineStr">
        <is>
          <t>SKÅNE LÄN</t>
        </is>
      </c>
      <c r="E8015" t="inlineStr">
        <is>
          <t>HÄSSLEHOLM</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24898-2025</t>
        </is>
      </c>
      <c r="B8016" s="1" t="n">
        <v>45799</v>
      </c>
      <c r="C8016" s="1" t="n">
        <v>45828</v>
      </c>
      <c r="D8016" t="inlineStr">
        <is>
          <t>SKÅNE LÄN</t>
        </is>
      </c>
      <c r="E8016" t="inlineStr">
        <is>
          <t>OSBY</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24904-2025</t>
        </is>
      </c>
      <c r="B8017" s="1" t="n">
        <v>45799</v>
      </c>
      <c r="C8017" s="1" t="n">
        <v>45828</v>
      </c>
      <c r="D8017" t="inlineStr">
        <is>
          <t>SKÅNE LÄN</t>
        </is>
      </c>
      <c r="E8017" t="inlineStr">
        <is>
          <t>HÄSSLEHOLM</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24813-2025</t>
        </is>
      </c>
      <c r="B8018" s="1" t="n">
        <v>45799</v>
      </c>
      <c r="C8018" s="1" t="n">
        <v>45828</v>
      </c>
      <c r="D8018" t="inlineStr">
        <is>
          <t>SKÅNE LÄN</t>
        </is>
      </c>
      <c r="E8018" t="inlineStr">
        <is>
          <t>KLIPPAN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24795-2025</t>
        </is>
      </c>
      <c r="B8019" s="1" t="n">
        <v>45799</v>
      </c>
      <c r="C8019" s="1" t="n">
        <v>45828</v>
      </c>
      <c r="D8019" t="inlineStr">
        <is>
          <t>SKÅNE LÄN</t>
        </is>
      </c>
      <c r="E8019" t="inlineStr">
        <is>
          <t>KRISTIANSTAD</t>
        </is>
      </c>
      <c r="F8019" t="inlineStr">
        <is>
          <t>Övriga Aktiebolag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24798-2025</t>
        </is>
      </c>
      <c r="B8020" s="1" t="n">
        <v>45799</v>
      </c>
      <c r="C8020" s="1" t="n">
        <v>45828</v>
      </c>
      <c r="D8020" t="inlineStr">
        <is>
          <t>SKÅNE LÄN</t>
        </is>
      </c>
      <c r="E8020" t="inlineStr">
        <is>
          <t>KRISTIANSTAD</t>
        </is>
      </c>
      <c r="F8020" t="inlineStr">
        <is>
          <t>Övriga Aktiebolag</t>
        </is>
      </c>
      <c r="G8020" t="n">
        <v>10.1</v>
      </c>
      <c r="H8020" t="n">
        <v>0</v>
      </c>
      <c r="I8020" t="n">
        <v>0</v>
      </c>
      <c r="J8020" t="n">
        <v>0</v>
      </c>
      <c r="K8020" t="n">
        <v>0</v>
      </c>
      <c r="L8020" t="n">
        <v>0</v>
      </c>
      <c r="M8020" t="n">
        <v>0</v>
      </c>
      <c r="N8020" t="n">
        <v>0</v>
      </c>
      <c r="O8020" t="n">
        <v>0</v>
      </c>
      <c r="P8020" t="n">
        <v>0</v>
      </c>
      <c r="Q8020" t="n">
        <v>0</v>
      </c>
      <c r="R8020" s="2" t="inlineStr"/>
    </row>
    <row r="8021" ht="15" customHeight="1">
      <c r="A8021" t="inlineStr">
        <is>
          <t>A 25372-2025</t>
        </is>
      </c>
      <c r="B8021" s="1" t="n">
        <v>45799</v>
      </c>
      <c r="C8021" s="1" t="n">
        <v>45828</v>
      </c>
      <c r="D8021" t="inlineStr">
        <is>
          <t>SKÅNE LÄN</t>
        </is>
      </c>
      <c r="E8021" t="inlineStr">
        <is>
          <t>HÄSSLEHOLM</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24797-2025</t>
        </is>
      </c>
      <c r="B8022" s="1" t="n">
        <v>45799</v>
      </c>
      <c r="C8022" s="1" t="n">
        <v>45828</v>
      </c>
      <c r="D8022" t="inlineStr">
        <is>
          <t>SKÅNE LÄN</t>
        </is>
      </c>
      <c r="E8022" t="inlineStr">
        <is>
          <t>KRISTIANSTAD</t>
        </is>
      </c>
      <c r="F8022" t="inlineStr">
        <is>
          <t>Övriga Aktiebolag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45828</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45828</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45828</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45828</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45828</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25615-2025</t>
        </is>
      </c>
      <c r="B8028" s="1" t="n">
        <v>45803</v>
      </c>
      <c r="C8028" s="1" t="n">
        <v>45828</v>
      </c>
      <c r="D8028" t="inlineStr">
        <is>
          <t>SKÅNE LÄN</t>
        </is>
      </c>
      <c r="E8028" t="inlineStr">
        <is>
          <t>HÄSSLEHOLM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25703-2025</t>
        </is>
      </c>
      <c r="B8029" s="1" t="n">
        <v>45803</v>
      </c>
      <c r="C8029" s="1" t="n">
        <v>45828</v>
      </c>
      <c r="D8029" t="inlineStr">
        <is>
          <t>SKÅNE LÄN</t>
        </is>
      </c>
      <c r="E8029" t="inlineStr">
        <is>
          <t>OSBY</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45828</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25588-2025</t>
        </is>
      </c>
      <c r="B8031" s="1" t="n">
        <v>45803</v>
      </c>
      <c r="C8031" s="1" t="n">
        <v>45828</v>
      </c>
      <c r="D8031" t="inlineStr">
        <is>
          <t>SKÅNE LÄN</t>
        </is>
      </c>
      <c r="E8031" t="inlineStr">
        <is>
          <t>ÖRKELLJUNGA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25726-2025</t>
        </is>
      </c>
      <c r="B8032" s="1" t="n">
        <v>45803</v>
      </c>
      <c r="C8032" s="1" t="n">
        <v>45828</v>
      </c>
      <c r="D8032" t="inlineStr">
        <is>
          <t>SKÅNE LÄN</t>
        </is>
      </c>
      <c r="E8032" t="inlineStr">
        <is>
          <t>HÄSSLEHOLM</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25589-2025</t>
        </is>
      </c>
      <c r="B8033" s="1" t="n">
        <v>45803</v>
      </c>
      <c r="C8033" s="1" t="n">
        <v>45828</v>
      </c>
      <c r="D8033" t="inlineStr">
        <is>
          <t>SKÅNE LÄN</t>
        </is>
      </c>
      <c r="E8033" t="inlineStr">
        <is>
          <t>ÖRKELLJUNGA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25711-2025</t>
        </is>
      </c>
      <c r="B8034" s="1" t="n">
        <v>45803</v>
      </c>
      <c r="C8034" s="1" t="n">
        <v>45828</v>
      </c>
      <c r="D8034" t="inlineStr">
        <is>
          <t>SKÅNE LÄN</t>
        </is>
      </c>
      <c r="E8034" t="inlineStr">
        <is>
          <t>KRISTIANSTAD</t>
        </is>
      </c>
      <c r="G8034" t="n">
        <v>18.8</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45828</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25860-2025</t>
        </is>
      </c>
      <c r="B8036" s="1" t="n">
        <v>45804</v>
      </c>
      <c r="C8036" s="1" t="n">
        <v>45828</v>
      </c>
      <c r="D8036" t="inlineStr">
        <is>
          <t>SKÅNE LÄN</t>
        </is>
      </c>
      <c r="E8036" t="inlineStr">
        <is>
          <t>KRISTIANSTAD</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25824-2025</t>
        </is>
      </c>
      <c r="B8037" s="1" t="n">
        <v>45804</v>
      </c>
      <c r="C8037" s="1" t="n">
        <v>45828</v>
      </c>
      <c r="D8037" t="inlineStr">
        <is>
          <t>SKÅNE LÄN</t>
        </is>
      </c>
      <c r="E8037" t="inlineStr">
        <is>
          <t>ÖSTRA GÖINGE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26020-2025</t>
        </is>
      </c>
      <c r="B8038" s="1" t="n">
        <v>45804</v>
      </c>
      <c r="C8038" s="1" t="n">
        <v>45828</v>
      </c>
      <c r="D8038" t="inlineStr">
        <is>
          <t>SKÅNE LÄN</t>
        </is>
      </c>
      <c r="E8038" t="inlineStr">
        <is>
          <t>ÖRKELLJUNGA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25809-2025</t>
        </is>
      </c>
      <c r="B8039" s="1" t="n">
        <v>45804</v>
      </c>
      <c r="C8039" s="1" t="n">
        <v>45828</v>
      </c>
      <c r="D8039" t="inlineStr">
        <is>
          <t>SKÅNE LÄN</t>
        </is>
      </c>
      <c r="E8039" t="inlineStr">
        <is>
          <t>KRISTIANSTAD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45828</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25749-2025</t>
        </is>
      </c>
      <c r="B8041" s="1" t="n">
        <v>45804</v>
      </c>
      <c r="C8041" s="1" t="n">
        <v>45828</v>
      </c>
      <c r="D8041" t="inlineStr">
        <is>
          <t>SKÅNE LÄN</t>
        </is>
      </c>
      <c r="E8041" t="inlineStr">
        <is>
          <t>HÖÖR</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45828</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45828</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45828</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45828</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26506-2025</t>
        </is>
      </c>
      <c r="B8046" s="1" t="n">
        <v>45807</v>
      </c>
      <c r="C8046" s="1" t="n">
        <v>45828</v>
      </c>
      <c r="D8046" t="inlineStr">
        <is>
          <t>SKÅNE LÄN</t>
        </is>
      </c>
      <c r="E8046" t="inlineStr">
        <is>
          <t>ÖSTRA GÖINGE</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45828</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26592-2025</t>
        </is>
      </c>
      <c r="B8048" s="1" t="n">
        <v>45807</v>
      </c>
      <c r="C8048" s="1" t="n">
        <v>45828</v>
      </c>
      <c r="D8048" t="inlineStr">
        <is>
          <t>SKÅNE LÄN</t>
        </is>
      </c>
      <c r="E8048" t="inlineStr">
        <is>
          <t>HÖÖR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45828</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26591-2025</t>
        </is>
      </c>
      <c r="B8050" s="1" t="n">
        <v>45807</v>
      </c>
      <c r="C8050" s="1" t="n">
        <v>45828</v>
      </c>
      <c r="D8050" t="inlineStr">
        <is>
          <t>SKÅNE LÄN</t>
        </is>
      </c>
      <c r="E8050" t="inlineStr">
        <is>
          <t>HÖÖR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26590-2025</t>
        </is>
      </c>
      <c r="B8051" s="1" t="n">
        <v>45807</v>
      </c>
      <c r="C8051" s="1" t="n">
        <v>45828</v>
      </c>
      <c r="D8051" t="inlineStr">
        <is>
          <t>SKÅNE LÄN</t>
        </is>
      </c>
      <c r="E8051" t="inlineStr">
        <is>
          <t>HÖÖR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26678-2025</t>
        </is>
      </c>
      <c r="B8052" s="1" t="n">
        <v>45810</v>
      </c>
      <c r="C8052" s="1" t="n">
        <v>45828</v>
      </c>
      <c r="D8052" t="inlineStr">
        <is>
          <t>SKÅNE LÄN</t>
        </is>
      </c>
      <c r="E8052" t="inlineStr">
        <is>
          <t>KRISTIANSTAD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26802-2025</t>
        </is>
      </c>
      <c r="B8053" s="1" t="n">
        <v>45810</v>
      </c>
      <c r="C8053" s="1" t="n">
        <v>45828</v>
      </c>
      <c r="D8053" t="inlineStr">
        <is>
          <t>SKÅNE LÄN</t>
        </is>
      </c>
      <c r="E8053" t="inlineStr">
        <is>
          <t>KRISTIANSTAD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26857-2025</t>
        </is>
      </c>
      <c r="B8054" s="1" t="n">
        <v>45810</v>
      </c>
      <c r="C8054" s="1" t="n">
        <v>45828</v>
      </c>
      <c r="D8054" t="inlineStr">
        <is>
          <t>SKÅNE LÄN</t>
        </is>
      </c>
      <c r="E8054" t="inlineStr">
        <is>
          <t>HÄSSLEHOLM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45828</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26824-2025</t>
        </is>
      </c>
      <c r="B8056" s="1" t="n">
        <v>45810</v>
      </c>
      <c r="C8056" s="1" t="n">
        <v>45828</v>
      </c>
      <c r="D8056" t="inlineStr">
        <is>
          <t>SKÅNE LÄN</t>
        </is>
      </c>
      <c r="E8056" t="inlineStr">
        <is>
          <t>ÖSTRA GÖINGE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26949-2025</t>
        </is>
      </c>
      <c r="B8057" s="1" t="n">
        <v>45811</v>
      </c>
      <c r="C8057" s="1" t="n">
        <v>45828</v>
      </c>
      <c r="D8057" t="inlineStr">
        <is>
          <t>SKÅNE LÄN</t>
        </is>
      </c>
      <c r="E8057" t="inlineStr">
        <is>
          <t>SVALÖV</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27030-2025</t>
        </is>
      </c>
      <c r="B8058" s="1" t="n">
        <v>45811</v>
      </c>
      <c r="C8058" s="1" t="n">
        <v>45828</v>
      </c>
      <c r="D8058" t="inlineStr">
        <is>
          <t>SKÅNE LÄN</t>
        </is>
      </c>
      <c r="E8058" t="inlineStr">
        <is>
          <t>KRISTIANSTAD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45828</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45828</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27393-2025</t>
        </is>
      </c>
      <c r="B8061" s="1" t="n">
        <v>45812</v>
      </c>
      <c r="C8061" s="1" t="n">
        <v>45828</v>
      </c>
      <c r="D8061" t="inlineStr">
        <is>
          <t>SKÅNE LÄN</t>
        </is>
      </c>
      <c r="E8061" t="inlineStr">
        <is>
          <t>HÄSSLEHOLM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27287-2025</t>
        </is>
      </c>
      <c r="B8062" s="1" t="n">
        <v>45812</v>
      </c>
      <c r="C8062" s="1" t="n">
        <v>45828</v>
      </c>
      <c r="D8062" t="inlineStr">
        <is>
          <t>SKÅNE LÄN</t>
        </is>
      </c>
      <c r="E8062" t="inlineStr">
        <is>
          <t>KRISTIANSTAD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45828</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27449-2025</t>
        </is>
      </c>
      <c r="B8064" s="1" t="n">
        <v>45813</v>
      </c>
      <c r="C8064" s="1" t="n">
        <v>45828</v>
      </c>
      <c r="D8064" t="inlineStr">
        <is>
          <t>SKÅNE LÄN</t>
        </is>
      </c>
      <c r="E8064" t="inlineStr">
        <is>
          <t>ÖRKELLJUNGA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27529-2025</t>
        </is>
      </c>
      <c r="B8065" s="1" t="n">
        <v>45813</v>
      </c>
      <c r="C8065" s="1" t="n">
        <v>45828</v>
      </c>
      <c r="D8065" t="inlineStr">
        <is>
          <t>SKÅNE LÄN</t>
        </is>
      </c>
      <c r="E8065" t="inlineStr">
        <is>
          <t>KLIPPAN</t>
        </is>
      </c>
      <c r="F8065" t="inlineStr">
        <is>
          <t>Övriga Aktiebolag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45828</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45828</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27887-2025</t>
        </is>
      </c>
      <c r="B8068" s="1" t="n">
        <v>45817</v>
      </c>
      <c r="C8068" s="1" t="n">
        <v>45828</v>
      </c>
      <c r="D8068" t="inlineStr">
        <is>
          <t>SKÅNE LÄN</t>
        </is>
      </c>
      <c r="E8068" t="inlineStr">
        <is>
          <t>HÄSSLEHOLM</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27934-2025</t>
        </is>
      </c>
      <c r="B8069" s="1" t="n">
        <v>45817</v>
      </c>
      <c r="C8069" s="1" t="n">
        <v>45828</v>
      </c>
      <c r="D8069" t="inlineStr">
        <is>
          <t>SKÅNE LÄN</t>
        </is>
      </c>
      <c r="E8069" t="inlineStr">
        <is>
          <t>HÄSSLEHOLM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45828</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27940-2025</t>
        </is>
      </c>
      <c r="B8071" s="1" t="n">
        <v>45817</v>
      </c>
      <c r="C8071" s="1" t="n">
        <v>45828</v>
      </c>
      <c r="D8071" t="inlineStr">
        <is>
          <t>SKÅNE LÄN</t>
        </is>
      </c>
      <c r="E8071" t="inlineStr">
        <is>
          <t>HÄSSLEHOLM</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45828</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45828</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28240-2025</t>
        </is>
      </c>
      <c r="B8074" s="1" t="n">
        <v>45817</v>
      </c>
      <c r="C8074" s="1" t="n">
        <v>45828</v>
      </c>
      <c r="D8074" t="inlineStr">
        <is>
          <t>SKÅNE LÄN</t>
        </is>
      </c>
      <c r="E8074" t="inlineStr">
        <is>
          <t>HÄSSLEHOLM</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28251-2025</t>
        </is>
      </c>
      <c r="B8075" s="1" t="n">
        <v>45817</v>
      </c>
      <c r="C8075" s="1" t="n">
        <v>45828</v>
      </c>
      <c r="D8075" t="inlineStr">
        <is>
          <t>SKÅNE LÄN</t>
        </is>
      </c>
      <c r="E8075" t="inlineStr">
        <is>
          <t>HÄSSLEHOLM</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28088-2025</t>
        </is>
      </c>
      <c r="B8076" s="1" t="n">
        <v>45817</v>
      </c>
      <c r="C8076" s="1" t="n">
        <v>45828</v>
      </c>
      <c r="D8076" t="inlineStr">
        <is>
          <t>SKÅNE LÄN</t>
        </is>
      </c>
      <c r="E8076" t="inlineStr">
        <is>
          <t>ESLÖV</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28093-2025</t>
        </is>
      </c>
      <c r="B8077" s="1" t="n">
        <v>45817</v>
      </c>
      <c r="C8077" s="1" t="n">
        <v>45828</v>
      </c>
      <c r="D8077" t="inlineStr">
        <is>
          <t>SKÅNE LÄN</t>
        </is>
      </c>
      <c r="E8077" t="inlineStr">
        <is>
          <t>ESLÖV</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28097-2025</t>
        </is>
      </c>
      <c r="B8078" s="1" t="n">
        <v>45817</v>
      </c>
      <c r="C8078" s="1" t="n">
        <v>45828</v>
      </c>
      <c r="D8078" t="inlineStr">
        <is>
          <t>SKÅNE LÄN</t>
        </is>
      </c>
      <c r="E8078" t="inlineStr">
        <is>
          <t>PERSTORP</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27965-2025</t>
        </is>
      </c>
      <c r="B8079" s="1" t="n">
        <v>45817</v>
      </c>
      <c r="C8079" s="1" t="n">
        <v>45828</v>
      </c>
      <c r="D8079" t="inlineStr">
        <is>
          <t>SKÅNE LÄN</t>
        </is>
      </c>
      <c r="E8079" t="inlineStr">
        <is>
          <t>BROMÖLLA</t>
        </is>
      </c>
      <c r="G8079" t="n">
        <v>12.7</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45828</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45828</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45828</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45828</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45828</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28619-2025</t>
        </is>
      </c>
      <c r="B8085" s="1" t="n">
        <v>45819</v>
      </c>
      <c r="C8085" s="1" t="n">
        <v>45828</v>
      </c>
      <c r="D8085" t="inlineStr">
        <is>
          <t>SKÅNE LÄN</t>
        </is>
      </c>
      <c r="E8085" t="inlineStr">
        <is>
          <t>ÖSTRA GÖINGE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28693-2025</t>
        </is>
      </c>
      <c r="B8086" s="1" t="n">
        <v>45819</v>
      </c>
      <c r="C8086" s="1" t="n">
        <v>45828</v>
      </c>
      <c r="D8086" t="inlineStr">
        <is>
          <t>SKÅNE LÄN</t>
        </is>
      </c>
      <c r="E8086" t="inlineStr">
        <is>
          <t>ÖRKELLJUNGA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28376-2025</t>
        </is>
      </c>
      <c r="B8087" s="1" t="n">
        <v>45819</v>
      </c>
      <c r="C8087" s="1" t="n">
        <v>45828</v>
      </c>
      <c r="D8087" t="inlineStr">
        <is>
          <t>SKÅNE LÄN</t>
        </is>
      </c>
      <c r="E8087" t="inlineStr">
        <is>
          <t>OSBY</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28911-2025</t>
        </is>
      </c>
      <c r="B8088" s="1" t="n">
        <v>45820</v>
      </c>
      <c r="C8088" s="1" t="n">
        <v>45828</v>
      </c>
      <c r="D8088" t="inlineStr">
        <is>
          <t>SKÅNE LÄN</t>
        </is>
      </c>
      <c r="E8088" t="inlineStr">
        <is>
          <t>ÖSTRA GÖINGE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28915-2025</t>
        </is>
      </c>
      <c r="B8089" s="1" t="n">
        <v>45820</v>
      </c>
      <c r="C8089" s="1" t="n">
        <v>45828</v>
      </c>
      <c r="D8089" t="inlineStr">
        <is>
          <t>SKÅNE LÄN</t>
        </is>
      </c>
      <c r="E8089" t="inlineStr">
        <is>
          <t>ÖSTRA GÖINGE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28918-2025</t>
        </is>
      </c>
      <c r="B8090" s="1" t="n">
        <v>45820</v>
      </c>
      <c r="C8090" s="1" t="n">
        <v>45828</v>
      </c>
      <c r="D8090" t="inlineStr">
        <is>
          <t>SKÅNE LÄN</t>
        </is>
      </c>
      <c r="E8090" t="inlineStr">
        <is>
          <t>ÖSTRA GÖINGE</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28830-2025</t>
        </is>
      </c>
      <c r="B8091" s="1" t="n">
        <v>45820</v>
      </c>
      <c r="C8091" s="1" t="n">
        <v>45828</v>
      </c>
      <c r="D8091" t="inlineStr">
        <is>
          <t>SKÅNE LÄN</t>
        </is>
      </c>
      <c r="E8091" t="inlineStr">
        <is>
          <t>HÖÖR</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28858-2025</t>
        </is>
      </c>
      <c r="B8092" s="1" t="n">
        <v>45820</v>
      </c>
      <c r="C8092" s="1" t="n">
        <v>45828</v>
      </c>
      <c r="D8092" t="inlineStr">
        <is>
          <t>SKÅNE LÄN</t>
        </is>
      </c>
      <c r="E8092" t="inlineStr">
        <is>
          <t>ÖSTRA GÖINGE</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45828</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28914-2025</t>
        </is>
      </c>
      <c r="B8094" s="1" t="n">
        <v>45820</v>
      </c>
      <c r="C8094" s="1" t="n">
        <v>45828</v>
      </c>
      <c r="D8094" t="inlineStr">
        <is>
          <t>SKÅNE LÄN</t>
        </is>
      </c>
      <c r="E8094" t="inlineStr">
        <is>
          <t>ÖSTRA GÖINGE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28744-2025</t>
        </is>
      </c>
      <c r="B8095" s="1" t="n">
        <v>45820</v>
      </c>
      <c r="C8095" s="1" t="n">
        <v>45828</v>
      </c>
      <c r="D8095" t="inlineStr">
        <is>
          <t>SKÅNE LÄN</t>
        </is>
      </c>
      <c r="E8095" t="inlineStr">
        <is>
          <t>OSBY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29168-2025</t>
        </is>
      </c>
      <c r="B8096" s="1" t="n">
        <v>45821</v>
      </c>
      <c r="C8096" s="1" t="n">
        <v>45828</v>
      </c>
      <c r="D8096" t="inlineStr">
        <is>
          <t>SKÅNE LÄN</t>
        </is>
      </c>
      <c r="E8096" t="inlineStr">
        <is>
          <t>HÄSSLEHOLM</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29171-2025</t>
        </is>
      </c>
      <c r="B8097" s="1" t="n">
        <v>45821</v>
      </c>
      <c r="C8097" s="1" t="n">
        <v>45828</v>
      </c>
      <c r="D8097" t="inlineStr">
        <is>
          <t>SKÅNE LÄN</t>
        </is>
      </c>
      <c r="E8097" t="inlineStr">
        <is>
          <t>HÄSSLEHOLM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45828</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28982-2025</t>
        </is>
      </c>
      <c r="B8099" s="1" t="n">
        <v>45821</v>
      </c>
      <c r="C8099" s="1" t="n">
        <v>45828</v>
      </c>
      <c r="D8099" t="inlineStr">
        <is>
          <t>SKÅNE LÄN</t>
        </is>
      </c>
      <c r="E8099" t="inlineStr">
        <is>
          <t>ÖSTRA GÖINGE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29244-2025</t>
        </is>
      </c>
      <c r="B8100" s="1" t="n">
        <v>45824</v>
      </c>
      <c r="C8100" s="1" t="n">
        <v>45828</v>
      </c>
      <c r="D8100" t="inlineStr">
        <is>
          <t>SKÅNE LÄN</t>
        </is>
      </c>
      <c r="E8100" t="inlineStr">
        <is>
          <t>HÖRBY</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29354-2025</t>
        </is>
      </c>
      <c r="B8101" s="1" t="n">
        <v>45824</v>
      </c>
      <c r="C8101" s="1" t="n">
        <v>45828</v>
      </c>
      <c r="D8101" t="inlineStr">
        <is>
          <t>SKÅNE LÄN</t>
        </is>
      </c>
      <c r="E8101" t="inlineStr">
        <is>
          <t>HÖRBY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29285-2025</t>
        </is>
      </c>
      <c r="B8102" s="1" t="n">
        <v>45824</v>
      </c>
      <c r="C8102" s="1" t="n">
        <v>45828</v>
      </c>
      <c r="D8102" t="inlineStr">
        <is>
          <t>SKÅNE LÄN</t>
        </is>
      </c>
      <c r="E8102" t="inlineStr">
        <is>
          <t>HÖÖR</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29284-2025</t>
        </is>
      </c>
      <c r="B8103" s="1" t="n">
        <v>45824</v>
      </c>
      <c r="C8103" s="1" t="n">
        <v>45828</v>
      </c>
      <c r="D8103" t="inlineStr">
        <is>
          <t>SKÅNE LÄN</t>
        </is>
      </c>
      <c r="E8103" t="inlineStr">
        <is>
          <t>KLIPPAN</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29247-2025</t>
        </is>
      </c>
      <c r="B8104" s="1" t="n">
        <v>45824</v>
      </c>
      <c r="C8104" s="1" t="n">
        <v>45828</v>
      </c>
      <c r="D8104" t="inlineStr">
        <is>
          <t>SKÅNE LÄN</t>
        </is>
      </c>
      <c r="E8104" t="inlineStr">
        <is>
          <t>LUND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29795-2025</t>
        </is>
      </c>
      <c r="B8105" s="1" t="n">
        <v>45825</v>
      </c>
      <c r="C8105" s="1" t="n">
        <v>45828</v>
      </c>
      <c r="D8105" t="inlineStr">
        <is>
          <t>SKÅNE LÄN</t>
        </is>
      </c>
      <c r="E8105" t="inlineStr">
        <is>
          <t>KRISTIANSTAD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29816-2025</t>
        </is>
      </c>
      <c r="B8106" s="1" t="n">
        <v>45825</v>
      </c>
      <c r="C8106" s="1" t="n">
        <v>45828</v>
      </c>
      <c r="D8106" t="inlineStr">
        <is>
          <t>SKÅNE LÄN</t>
        </is>
      </c>
      <c r="E8106" t="inlineStr">
        <is>
          <t>SJÖBO</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29642-2025</t>
        </is>
      </c>
      <c r="B8107" s="1" t="n">
        <v>45825</v>
      </c>
      <c r="C8107" s="1" t="n">
        <v>45828</v>
      </c>
      <c r="D8107" t="inlineStr">
        <is>
          <t>SKÅNE LÄN</t>
        </is>
      </c>
      <c r="E8107" t="inlineStr">
        <is>
          <t>ÖRKELLJUNGA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29649-2025</t>
        </is>
      </c>
      <c r="B8108" s="1" t="n">
        <v>45825</v>
      </c>
      <c r="C8108" s="1" t="n">
        <v>45828</v>
      </c>
      <c r="D8108" t="inlineStr">
        <is>
          <t>SKÅNE LÄN</t>
        </is>
      </c>
      <c r="E8108" t="inlineStr">
        <is>
          <t>HÄSSLEHOLM</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45828</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30063-2025</t>
        </is>
      </c>
      <c r="B8110" s="1" t="n">
        <v>45826</v>
      </c>
      <c r="C8110" s="1" t="n">
        <v>45828</v>
      </c>
      <c r="D8110" t="inlineStr">
        <is>
          <t>SKÅNE LÄN</t>
        </is>
      </c>
      <c r="E8110" t="inlineStr">
        <is>
          <t>PERSTORP</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30105-2025</t>
        </is>
      </c>
      <c r="B8111" s="1" t="n">
        <v>45826</v>
      </c>
      <c r="C8111" s="1" t="n">
        <v>45828</v>
      </c>
      <c r="D8111" t="inlineStr">
        <is>
          <t>SKÅNE LÄN</t>
        </is>
      </c>
      <c r="E8111" t="inlineStr">
        <is>
          <t>ÖSTRA GÖINGE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30108-2025</t>
        </is>
      </c>
      <c r="B8112" s="1" t="n">
        <v>45826</v>
      </c>
      <c r="C8112" s="1" t="n">
        <v>45828</v>
      </c>
      <c r="D8112" t="inlineStr">
        <is>
          <t>SKÅNE LÄN</t>
        </is>
      </c>
      <c r="E8112" t="inlineStr">
        <is>
          <t>ÖSTRA GÖINGE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30145-2025</t>
        </is>
      </c>
      <c r="B8113" s="1" t="n">
        <v>45827</v>
      </c>
      <c r="C8113" s="1" t="n">
        <v>45828</v>
      </c>
      <c r="D8113" t="inlineStr">
        <is>
          <t>SKÅNE LÄN</t>
        </is>
      </c>
      <c r="E8113" t="inlineStr">
        <is>
          <t>OSBY</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30109-2025</t>
        </is>
      </c>
      <c r="B8114" s="1" t="n">
        <v>45826</v>
      </c>
      <c r="C8114" s="1" t="n">
        <v>45828</v>
      </c>
      <c r="D8114" t="inlineStr">
        <is>
          <t>SKÅNE LÄN</t>
        </is>
      </c>
      <c r="E8114" t="inlineStr">
        <is>
          <t>HÄSSLEHOLM</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30106-2025</t>
        </is>
      </c>
      <c r="B8115" s="1" t="n">
        <v>45826</v>
      </c>
      <c r="C8115" s="1" t="n">
        <v>45828</v>
      </c>
      <c r="D8115" t="inlineStr">
        <is>
          <t>SKÅNE LÄN</t>
        </is>
      </c>
      <c r="E8115" t="inlineStr">
        <is>
          <t>ÖSTRA GÖINGE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30010-2025</t>
        </is>
      </c>
      <c r="B8116" s="1" t="n">
        <v>45826</v>
      </c>
      <c r="C8116" s="1" t="n">
        <v>45828</v>
      </c>
      <c r="D8116" t="inlineStr">
        <is>
          <t>SKÅNE LÄN</t>
        </is>
      </c>
      <c r="E8116" t="inlineStr">
        <is>
          <t>HÄSSLEHOLM</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30092-2025</t>
        </is>
      </c>
      <c r="B8117" s="1" t="n">
        <v>45826</v>
      </c>
      <c r="C8117" s="1" t="n">
        <v>45828</v>
      </c>
      <c r="D8117" t="inlineStr">
        <is>
          <t>SKÅNE LÄN</t>
        </is>
      </c>
      <c r="E8117" t="inlineStr">
        <is>
          <t>HÄSSLEHOLM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30457-2025</t>
        </is>
      </c>
      <c r="B8118" s="1" t="n">
        <v>45827</v>
      </c>
      <c r="C8118" s="1" t="n">
        <v>45828</v>
      </c>
      <c r="D8118" t="inlineStr">
        <is>
          <t>SKÅNE LÄN</t>
        </is>
      </c>
      <c r="E8118" t="inlineStr">
        <is>
          <t>KRISTIANSTAD</t>
        </is>
      </c>
      <c r="G8118" t="n">
        <v>2.4</v>
      </c>
      <c r="H8118" t="n">
        <v>0</v>
      </c>
      <c r="I8118" t="n">
        <v>0</v>
      </c>
      <c r="J8118" t="n">
        <v>0</v>
      </c>
      <c r="K8118" t="n">
        <v>0</v>
      </c>
      <c r="L8118" t="n">
        <v>0</v>
      </c>
      <c r="M8118" t="n">
        <v>0</v>
      </c>
      <c r="N8118" t="n">
        <v>0</v>
      </c>
      <c r="O8118" t="n">
        <v>0</v>
      </c>
      <c r="P8118" t="n">
        <v>0</v>
      </c>
      <c r="Q8118" t="n">
        <v>0</v>
      </c>
      <c r="R8118" s="2" t="inlineStr"/>
    </row>
    <row r="8119">
      <c r="A8119" t="inlineStr">
        <is>
          <t>A 30306-2025</t>
        </is>
      </c>
      <c r="B8119" s="1" t="n">
        <v>45827</v>
      </c>
      <c r="C8119" s="1" t="n">
        <v>45828</v>
      </c>
      <c r="D8119" t="inlineStr">
        <is>
          <t>SKÅNE LÄN</t>
        </is>
      </c>
      <c r="E8119" t="inlineStr">
        <is>
          <t>ÖSTRA GÖINGE</t>
        </is>
      </c>
      <c r="G8119" t="n">
        <v>3.6</v>
      </c>
      <c r="H8119" t="n">
        <v>0</v>
      </c>
      <c r="I8119" t="n">
        <v>0</v>
      </c>
      <c r="J8119" t="n">
        <v>0</v>
      </c>
      <c r="K8119" t="n">
        <v>0</v>
      </c>
      <c r="L8119" t="n">
        <v>0</v>
      </c>
      <c r="M8119" t="n">
        <v>0</v>
      </c>
      <c r="N8119" t="n">
        <v>0</v>
      </c>
      <c r="O8119" t="n">
        <v>0</v>
      </c>
      <c r="P8119" t="n">
        <v>0</v>
      </c>
      <c r="Q8119" t="n">
        <v>0</v>
      </c>
      <c r="R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2025-06-20T19:23:34Z</dcterms:created>
  <dcterms:modified xmlns:dcterms="http://purl.org/dc/terms/" xmlns:xsi="http://www.w3.org/2001/XMLSchema-instance" xsi:type="dcterms:W3CDTF">2025-06-20T19:23:41Z</dcterms:modified>
</cp:coreProperties>
</file>