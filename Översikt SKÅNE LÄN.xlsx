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45749</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45749</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45749</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45749</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45749</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45749</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45749</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45749</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45749</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45749</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45749</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45749</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45749</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45749</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45749</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45749</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45749</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45749</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45749</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45749</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45749</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45749</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45749</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45749</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45749</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45749</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45749</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45749</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45749</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45749</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45749</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45749</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45749</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45749</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45749</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45749</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45749</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45749</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45749</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45749</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45749</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45749</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45749</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45749</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45749</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45749</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45749</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HYPERLINK("https://klasma.github.io/Logging_121290/artfynd/A 12799-2025 artfynd.xlsx", "A 12799-2025")</f>
        <v/>
      </c>
      <c r="T64">
        <f>HYPERLINK("https://klasma.github.io/Logging_121290/kartor/A 12799-2025 karta.png", "A 12799-2025")</f>
        <v/>
      </c>
      <c r="V64">
        <f>HYPERLINK("https://klasma.github.io/Logging_121290/klagomål/A 12799-2025 FSC-klagomål.docx", "A 12799-2025")</f>
        <v/>
      </c>
      <c r="W64">
        <f>HYPERLINK("https://klasma.github.io/Logging_121290/klagomålsmail/A 12799-2025 FSC-klagomål mail.docx", "A 12799-2025")</f>
        <v/>
      </c>
      <c r="X64">
        <f>HYPERLINK("https://klasma.github.io/Logging_121290/tillsyn/A 12799-2025 tillsynsbegäran.docx", "A 12799-2025")</f>
        <v/>
      </c>
      <c r="Y64">
        <f>HYPERLINK("https://klasma.github.io/Logging_121290/tillsynsmail/A 12799-2025 tillsynsbegäran mail.docx", "A 12799-2025")</f>
        <v/>
      </c>
    </row>
    <row r="65" ht="15" customHeight="1">
      <c r="A65" t="inlineStr">
        <is>
          <t>A 18861-2019</t>
        </is>
      </c>
      <c r="B65" s="1" t="n">
        <v>43563</v>
      </c>
      <c r="C65" s="1" t="n">
        <v>45749</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45749</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45749</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45749</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45749</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45749</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45749</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45749</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45749</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45749</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45749</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45749</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45749</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45749</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45749</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45749</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45749</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45749</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45749</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45749</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45749</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45749</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45749</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45749</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45749</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45749</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45749</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45749</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45749</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45749</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45749</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45749</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45749</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45749</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45749</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45749</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45749</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45749</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45749</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45749</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45749</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45749</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45749</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45749</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45749</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45749</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45749</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45749</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45749</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45749</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45749</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45749</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45749</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45749</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45749</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45749</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45749</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45749</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45749</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55656-2019</t>
        </is>
      </c>
      <c r="B124" s="1" t="n">
        <v>43760</v>
      </c>
      <c r="C124" s="1" t="n">
        <v>45749</v>
      </c>
      <c r="D124" t="inlineStr">
        <is>
          <t>SKÅNE LÄN</t>
        </is>
      </c>
      <c r="E124" t="inlineStr">
        <is>
          <t>HÄSSLEHOLM</t>
        </is>
      </c>
      <c r="G124" t="n">
        <v>1.8</v>
      </c>
      <c r="H124" t="n">
        <v>2</v>
      </c>
      <c r="I124" t="n">
        <v>0</v>
      </c>
      <c r="J124" t="n">
        <v>0</v>
      </c>
      <c r="K124" t="n">
        <v>2</v>
      </c>
      <c r="L124" t="n">
        <v>0</v>
      </c>
      <c r="M124" t="n">
        <v>0</v>
      </c>
      <c r="N124" t="n">
        <v>0</v>
      </c>
      <c r="O124" t="n">
        <v>2</v>
      </c>
      <c r="P124" t="n">
        <v>2</v>
      </c>
      <c r="Q124" t="n">
        <v>2</v>
      </c>
      <c r="R124" s="2" t="inlineStr">
        <is>
          <t>Hedblomster
Sandödla</t>
        </is>
      </c>
      <c r="S124">
        <f>HYPERLINK("https://klasma.github.io/Logging_1293/artfynd/A 55656-2019 artfynd.xlsx", "A 55656-2019")</f>
        <v/>
      </c>
      <c r="T124">
        <f>HYPERLINK("https://klasma.github.io/Logging_1293/kartor/A 55656-2019 karta.png", "A 55656-2019")</f>
        <v/>
      </c>
      <c r="V124">
        <f>HYPERLINK("https://klasma.github.io/Logging_1293/klagomål/A 55656-2019 FSC-klagomål.docx", "A 55656-2019")</f>
        <v/>
      </c>
      <c r="W124">
        <f>HYPERLINK("https://klasma.github.io/Logging_1293/klagomålsmail/A 55656-2019 FSC-klagomål mail.docx", "A 55656-2019")</f>
        <v/>
      </c>
      <c r="X124">
        <f>HYPERLINK("https://klasma.github.io/Logging_1293/tillsyn/A 55656-2019 tillsynsbegäran.docx", "A 55656-2019")</f>
        <v/>
      </c>
      <c r="Y124">
        <f>HYPERLINK("https://klasma.github.io/Logging_1293/tillsynsmail/A 55656-2019 tillsynsbegäran mail.docx", "A 55656-2019")</f>
        <v/>
      </c>
    </row>
    <row r="125" ht="15" customHeight="1">
      <c r="A125" t="inlineStr">
        <is>
          <t>A 6547-2020</t>
        </is>
      </c>
      <c r="B125" s="1" t="n">
        <v>43866</v>
      </c>
      <c r="C125" s="1" t="n">
        <v>45749</v>
      </c>
      <c r="D125" t="inlineStr">
        <is>
          <t>SKÅNE LÄN</t>
        </is>
      </c>
      <c r="E125" t="inlineStr">
        <is>
          <t>HÖRBY</t>
        </is>
      </c>
      <c r="G125" t="n">
        <v>3.5</v>
      </c>
      <c r="H125" t="n">
        <v>0</v>
      </c>
      <c r="I125" t="n">
        <v>0</v>
      </c>
      <c r="J125" t="n">
        <v>1</v>
      </c>
      <c r="K125" t="n">
        <v>0</v>
      </c>
      <c r="L125" t="n">
        <v>1</v>
      </c>
      <c r="M125" t="n">
        <v>0</v>
      </c>
      <c r="N125" t="n">
        <v>0</v>
      </c>
      <c r="O125" t="n">
        <v>2</v>
      </c>
      <c r="P125" t="n">
        <v>1</v>
      </c>
      <c r="Q125" t="n">
        <v>2</v>
      </c>
      <c r="R125" s="2" t="inlineStr">
        <is>
          <t>Ask
Stor sotdyna</t>
        </is>
      </c>
      <c r="S125">
        <f>HYPERLINK("https://klasma.github.io/Logging_1266/artfynd/A 6547-2020 artfynd.xlsx", "A 6547-2020")</f>
        <v/>
      </c>
      <c r="T125">
        <f>HYPERLINK("https://klasma.github.io/Logging_1266/kartor/A 6547-2020 karta.png", "A 6547-2020")</f>
        <v/>
      </c>
      <c r="V125">
        <f>HYPERLINK("https://klasma.github.io/Logging_1266/klagomål/A 6547-2020 FSC-klagomål.docx", "A 6547-2020")</f>
        <v/>
      </c>
      <c r="W125">
        <f>HYPERLINK("https://klasma.github.io/Logging_1266/klagomålsmail/A 6547-2020 FSC-klagomål mail.docx", "A 6547-2020")</f>
        <v/>
      </c>
      <c r="X125">
        <f>HYPERLINK("https://klasma.github.io/Logging_1266/tillsyn/A 6547-2020 tillsynsbegäran.docx", "A 6547-2020")</f>
        <v/>
      </c>
      <c r="Y125">
        <f>HYPERLINK("https://klasma.github.io/Logging_1266/tillsynsmail/A 6547-2020 tillsynsbegäran mail.docx", "A 6547-2020")</f>
        <v/>
      </c>
    </row>
    <row r="126" ht="15" customHeight="1">
      <c r="A126" t="inlineStr">
        <is>
          <t>A 8861-2020</t>
        </is>
      </c>
      <c r="B126" s="1" t="n">
        <v>43878</v>
      </c>
      <c r="C126" s="1" t="n">
        <v>45749</v>
      </c>
      <c r="D126" t="inlineStr">
        <is>
          <t>SKÅNE LÄN</t>
        </is>
      </c>
      <c r="E126" t="inlineStr">
        <is>
          <t>HÄSSLEHOLM</t>
        </is>
      </c>
      <c r="G126" t="n">
        <v>10.5</v>
      </c>
      <c r="H126" t="n">
        <v>0</v>
      </c>
      <c r="I126" t="n">
        <v>2</v>
      </c>
      <c r="J126" t="n">
        <v>0</v>
      </c>
      <c r="K126" t="n">
        <v>0</v>
      </c>
      <c r="L126" t="n">
        <v>0</v>
      </c>
      <c r="M126" t="n">
        <v>0</v>
      </c>
      <c r="N126" t="n">
        <v>0</v>
      </c>
      <c r="O126" t="n">
        <v>0</v>
      </c>
      <c r="P126" t="n">
        <v>0</v>
      </c>
      <c r="Q126" t="n">
        <v>2</v>
      </c>
      <c r="R126" s="2" t="inlineStr">
        <is>
          <t>Bågpraktmossa
Västlig hakmossa</t>
        </is>
      </c>
      <c r="S126">
        <f>HYPERLINK("https://klasma.github.io/Logging_1293/artfynd/A 8861-2020 artfynd.xlsx", "A 8861-2020")</f>
        <v/>
      </c>
      <c r="T126">
        <f>HYPERLINK("https://klasma.github.io/Logging_1293/kartor/A 8861-2020 karta.png", "A 8861-2020")</f>
        <v/>
      </c>
      <c r="V126">
        <f>HYPERLINK("https://klasma.github.io/Logging_1293/klagomål/A 8861-2020 FSC-klagomål.docx", "A 8861-2020")</f>
        <v/>
      </c>
      <c r="W126">
        <f>HYPERLINK("https://klasma.github.io/Logging_1293/klagomålsmail/A 8861-2020 FSC-klagomål mail.docx", "A 8861-2020")</f>
        <v/>
      </c>
      <c r="X126">
        <f>HYPERLINK("https://klasma.github.io/Logging_1293/tillsyn/A 8861-2020 tillsynsbegäran.docx", "A 8861-2020")</f>
        <v/>
      </c>
      <c r="Y126">
        <f>HYPERLINK("https://klasma.github.io/Logging_1293/tillsynsmail/A 8861-2020 tillsynsbegäran mail.docx", "A 8861-2020")</f>
        <v/>
      </c>
    </row>
    <row r="127" ht="15" customHeight="1">
      <c r="A127" t="inlineStr">
        <is>
          <t>A 18228-2020</t>
        </is>
      </c>
      <c r="B127" s="1" t="n">
        <v>43928</v>
      </c>
      <c r="C127" s="1" t="n">
        <v>45749</v>
      </c>
      <c r="D127" t="inlineStr">
        <is>
          <t>SKÅNE LÄN</t>
        </is>
      </c>
      <c r="E127" t="inlineStr">
        <is>
          <t>SVEDALA</t>
        </is>
      </c>
      <c r="G127" t="n">
        <v>1.1</v>
      </c>
      <c r="H127" t="n">
        <v>0</v>
      </c>
      <c r="I127" t="n">
        <v>0</v>
      </c>
      <c r="J127" t="n">
        <v>1</v>
      </c>
      <c r="K127" t="n">
        <v>0</v>
      </c>
      <c r="L127" t="n">
        <v>1</v>
      </c>
      <c r="M127" t="n">
        <v>0</v>
      </c>
      <c r="N127" t="n">
        <v>0</v>
      </c>
      <c r="O127" t="n">
        <v>2</v>
      </c>
      <c r="P127" t="n">
        <v>1</v>
      </c>
      <c r="Q127" t="n">
        <v>2</v>
      </c>
      <c r="R127" s="2" t="inlineStr">
        <is>
          <t>Ädellav
Bokkantlav</t>
        </is>
      </c>
      <c r="S127">
        <f>HYPERLINK("https://klasma.github.io/Logging_1263/artfynd/A 18228-2020 artfynd.xlsx", "A 18228-2020")</f>
        <v/>
      </c>
      <c r="T127">
        <f>HYPERLINK("https://klasma.github.io/Logging_1263/kartor/A 18228-2020 karta.png", "A 18228-2020")</f>
        <v/>
      </c>
      <c r="V127">
        <f>HYPERLINK("https://klasma.github.io/Logging_1263/klagomål/A 18228-2020 FSC-klagomål.docx", "A 18228-2020")</f>
        <v/>
      </c>
      <c r="W127">
        <f>HYPERLINK("https://klasma.github.io/Logging_1263/klagomålsmail/A 18228-2020 FSC-klagomål mail.docx", "A 18228-2020")</f>
        <v/>
      </c>
      <c r="X127">
        <f>HYPERLINK("https://klasma.github.io/Logging_1263/tillsyn/A 18228-2020 tillsynsbegäran.docx", "A 18228-2020")</f>
        <v/>
      </c>
      <c r="Y127">
        <f>HYPERLINK("https://klasma.github.io/Logging_1263/tillsynsmail/A 18228-2020 tillsynsbegäran mail.docx", "A 18228-2020")</f>
        <v/>
      </c>
    </row>
    <row r="128" ht="15" customHeight="1">
      <c r="A128" t="inlineStr">
        <is>
          <t>A 58790-2020</t>
        </is>
      </c>
      <c r="B128" s="1" t="n">
        <v>44146</v>
      </c>
      <c r="C128" s="1" t="n">
        <v>45749</v>
      </c>
      <c r="D128" t="inlineStr">
        <is>
          <t>SKÅNE LÄN</t>
        </is>
      </c>
      <c r="E128" t="inlineStr">
        <is>
          <t>ÄNGELHOLM</t>
        </is>
      </c>
      <c r="G128" t="n">
        <v>2.9</v>
      </c>
      <c r="H128" t="n">
        <v>1</v>
      </c>
      <c r="I128" t="n">
        <v>1</v>
      </c>
      <c r="J128" t="n">
        <v>1</v>
      </c>
      <c r="K128" t="n">
        <v>0</v>
      </c>
      <c r="L128" t="n">
        <v>0</v>
      </c>
      <c r="M128" t="n">
        <v>0</v>
      </c>
      <c r="N128" t="n">
        <v>0</v>
      </c>
      <c r="O128" t="n">
        <v>1</v>
      </c>
      <c r="P128" t="n">
        <v>0</v>
      </c>
      <c r="Q128" t="n">
        <v>2</v>
      </c>
      <c r="R128" s="2" t="inlineStr">
        <is>
          <t>Entita
Skogsbräsma</t>
        </is>
      </c>
      <c r="S128">
        <f>HYPERLINK("https://klasma.github.io/Logging_1292/artfynd/A 58790-2020 artfynd.xlsx", "A 58790-2020")</f>
        <v/>
      </c>
      <c r="T128">
        <f>HYPERLINK("https://klasma.github.io/Logging_1292/kartor/A 58790-2020 karta.png", "A 58790-2020")</f>
        <v/>
      </c>
      <c r="V128">
        <f>HYPERLINK("https://klasma.github.io/Logging_1292/klagomål/A 58790-2020 FSC-klagomål.docx", "A 58790-2020")</f>
        <v/>
      </c>
      <c r="W128">
        <f>HYPERLINK("https://klasma.github.io/Logging_1292/klagomålsmail/A 58790-2020 FSC-klagomål mail.docx", "A 58790-2020")</f>
        <v/>
      </c>
      <c r="X128">
        <f>HYPERLINK("https://klasma.github.io/Logging_1292/tillsyn/A 58790-2020 tillsynsbegäran.docx", "A 58790-2020")</f>
        <v/>
      </c>
      <c r="Y128">
        <f>HYPERLINK("https://klasma.github.io/Logging_1292/tillsynsmail/A 58790-2020 tillsynsbegäran mail.docx", "A 58790-2020")</f>
        <v/>
      </c>
      <c r="Z128">
        <f>HYPERLINK("https://klasma.github.io/Logging_1292/fåglar/A 58790-2020 prioriterade fågelarter.docx", "A 58790-2020")</f>
        <v/>
      </c>
    </row>
    <row r="129" ht="15" customHeight="1">
      <c r="A129" t="inlineStr">
        <is>
          <t>A 60100-2020</t>
        </is>
      </c>
      <c r="B129" s="1" t="n">
        <v>44151</v>
      </c>
      <c r="C129" s="1" t="n">
        <v>45749</v>
      </c>
      <c r="D129" t="inlineStr">
        <is>
          <t>SKÅNE LÄN</t>
        </is>
      </c>
      <c r="E129" t="inlineStr">
        <is>
          <t>SJÖBO</t>
        </is>
      </c>
      <c r="G129" t="n">
        <v>5.7</v>
      </c>
      <c r="H129" t="n">
        <v>1</v>
      </c>
      <c r="I129" t="n">
        <v>2</v>
      </c>
      <c r="J129" t="n">
        <v>0</v>
      </c>
      <c r="K129" t="n">
        <v>0</v>
      </c>
      <c r="L129" t="n">
        <v>0</v>
      </c>
      <c r="M129" t="n">
        <v>0</v>
      </c>
      <c r="N129" t="n">
        <v>0</v>
      </c>
      <c r="O129" t="n">
        <v>0</v>
      </c>
      <c r="P129" t="n">
        <v>0</v>
      </c>
      <c r="Q129" t="n">
        <v>2</v>
      </c>
      <c r="R129" s="2" t="inlineStr">
        <is>
          <t>Skogsknipprot
Svart trolldruva</t>
        </is>
      </c>
      <c r="S129">
        <f>HYPERLINK("https://klasma.github.io/Logging_1265/artfynd/A 60100-2020 artfynd.xlsx", "A 60100-2020")</f>
        <v/>
      </c>
      <c r="T129">
        <f>HYPERLINK("https://klasma.github.io/Logging_1265/kartor/A 60100-2020 karta.png", "A 60100-2020")</f>
        <v/>
      </c>
      <c r="V129">
        <f>HYPERLINK("https://klasma.github.io/Logging_1265/klagomål/A 60100-2020 FSC-klagomål.docx", "A 60100-2020")</f>
        <v/>
      </c>
      <c r="W129">
        <f>HYPERLINK("https://klasma.github.io/Logging_1265/klagomålsmail/A 60100-2020 FSC-klagomål mail.docx", "A 60100-2020")</f>
        <v/>
      </c>
      <c r="X129">
        <f>HYPERLINK("https://klasma.github.io/Logging_1265/tillsyn/A 60100-2020 tillsynsbegäran.docx", "A 60100-2020")</f>
        <v/>
      </c>
      <c r="Y129">
        <f>HYPERLINK("https://klasma.github.io/Logging_1265/tillsynsmail/A 60100-2020 tillsynsbegäran mail.docx", "A 60100-2020")</f>
        <v/>
      </c>
    </row>
    <row r="130" ht="15" customHeight="1">
      <c r="A130" t="inlineStr">
        <is>
          <t>A 66175-2020</t>
        </is>
      </c>
      <c r="B130" s="1" t="n">
        <v>44174</v>
      </c>
      <c r="C130" s="1" t="n">
        <v>45749</v>
      </c>
      <c r="D130" t="inlineStr">
        <is>
          <t>SKÅNE LÄN</t>
        </is>
      </c>
      <c r="E130" t="inlineStr">
        <is>
          <t>SJÖBO</t>
        </is>
      </c>
      <c r="G130" t="n">
        <v>4.5</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66175-2020 artfynd.xlsx", "A 66175-2020")</f>
        <v/>
      </c>
      <c r="T130">
        <f>HYPERLINK("https://klasma.github.io/Logging_1265/kartor/A 66175-2020 karta.png", "A 66175-2020")</f>
        <v/>
      </c>
      <c r="V130">
        <f>HYPERLINK("https://klasma.github.io/Logging_1265/klagomål/A 66175-2020 FSC-klagomål.docx", "A 66175-2020")</f>
        <v/>
      </c>
      <c r="W130">
        <f>HYPERLINK("https://klasma.github.io/Logging_1265/klagomålsmail/A 66175-2020 FSC-klagomål mail.docx", "A 66175-2020")</f>
        <v/>
      </c>
      <c r="X130">
        <f>HYPERLINK("https://klasma.github.io/Logging_1265/tillsyn/A 66175-2020 tillsynsbegäran.docx", "A 66175-2020")</f>
        <v/>
      </c>
      <c r="Y130">
        <f>HYPERLINK("https://klasma.github.io/Logging_1265/tillsynsmail/A 66175-2020 tillsynsbegäran mail.docx", "A 66175-2020")</f>
        <v/>
      </c>
    </row>
    <row r="131" ht="15" customHeight="1">
      <c r="A131" t="inlineStr">
        <is>
          <t>A 3853-2021</t>
        </is>
      </c>
      <c r="B131" s="1" t="n">
        <v>44222</v>
      </c>
      <c r="C131" s="1" t="n">
        <v>45749</v>
      </c>
      <c r="D131" t="inlineStr">
        <is>
          <t>SKÅNE LÄN</t>
        </is>
      </c>
      <c r="E131" t="inlineStr">
        <is>
          <t>ÖSTRA GÖINGE</t>
        </is>
      </c>
      <c r="G131" t="n">
        <v>1.4</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HYPERLINK("https://klasma.github.io/Logging_1256/artfynd/A 3853-2021 artfynd.xlsx", "A 3853-2021")</f>
        <v/>
      </c>
      <c r="T131">
        <f>HYPERLINK("https://klasma.github.io/Logging_1256/kartor/A 3853-2021 karta.png", "A 3853-2021")</f>
        <v/>
      </c>
      <c r="V131">
        <f>HYPERLINK("https://klasma.github.io/Logging_1256/klagomål/A 3853-2021 FSC-klagomål.docx", "A 3853-2021")</f>
        <v/>
      </c>
      <c r="W131">
        <f>HYPERLINK("https://klasma.github.io/Logging_1256/klagomålsmail/A 3853-2021 FSC-klagomål mail.docx", "A 3853-2021")</f>
        <v/>
      </c>
      <c r="X131">
        <f>HYPERLINK("https://klasma.github.io/Logging_1256/tillsyn/A 3853-2021 tillsynsbegäran.docx", "A 3853-2021")</f>
        <v/>
      </c>
      <c r="Y131">
        <f>HYPERLINK("https://klasma.github.io/Logging_1256/tillsynsmail/A 3853-2021 tillsynsbegäran mail.docx", "A 3853-2021")</f>
        <v/>
      </c>
    </row>
    <row r="132" ht="15" customHeight="1">
      <c r="A132" t="inlineStr">
        <is>
          <t>A 5244-2021</t>
        </is>
      </c>
      <c r="B132" s="1" t="n">
        <v>44229</v>
      </c>
      <c r="C132" s="1" t="n">
        <v>45749</v>
      </c>
      <c r="D132" t="inlineStr">
        <is>
          <t>SKÅNE LÄN</t>
        </is>
      </c>
      <c r="E132" t="inlineStr">
        <is>
          <t>SVEDALA</t>
        </is>
      </c>
      <c r="G132" t="n">
        <v>5.3</v>
      </c>
      <c r="H132" t="n">
        <v>0</v>
      </c>
      <c r="I132" t="n">
        <v>1</v>
      </c>
      <c r="J132" t="n">
        <v>1</v>
      </c>
      <c r="K132" t="n">
        <v>0</v>
      </c>
      <c r="L132" t="n">
        <v>0</v>
      </c>
      <c r="M132" t="n">
        <v>0</v>
      </c>
      <c r="N132" t="n">
        <v>0</v>
      </c>
      <c r="O132" t="n">
        <v>1</v>
      </c>
      <c r="P132" t="n">
        <v>0</v>
      </c>
      <c r="Q132" t="n">
        <v>2</v>
      </c>
      <c r="R132" s="2" t="inlineStr">
        <is>
          <t>Koralltaggsvamp
Safsa</t>
        </is>
      </c>
      <c r="S132">
        <f>HYPERLINK("https://klasma.github.io/Logging_1263/artfynd/A 5244-2021 artfynd.xlsx", "A 5244-2021")</f>
        <v/>
      </c>
      <c r="T132">
        <f>HYPERLINK("https://klasma.github.io/Logging_1263/kartor/A 5244-2021 karta.png", "A 5244-2021")</f>
        <v/>
      </c>
      <c r="V132">
        <f>HYPERLINK("https://klasma.github.io/Logging_1263/klagomål/A 5244-2021 FSC-klagomål.docx", "A 5244-2021")</f>
        <v/>
      </c>
      <c r="W132">
        <f>HYPERLINK("https://klasma.github.io/Logging_1263/klagomålsmail/A 5244-2021 FSC-klagomål mail.docx", "A 5244-2021")</f>
        <v/>
      </c>
      <c r="X132">
        <f>HYPERLINK("https://klasma.github.io/Logging_1263/tillsyn/A 5244-2021 tillsynsbegäran.docx", "A 5244-2021")</f>
        <v/>
      </c>
      <c r="Y132">
        <f>HYPERLINK("https://klasma.github.io/Logging_1263/tillsynsmail/A 5244-2021 tillsynsbegäran mail.docx", "A 5244-2021")</f>
        <v/>
      </c>
    </row>
    <row r="133" ht="15" customHeight="1">
      <c r="A133" t="inlineStr">
        <is>
          <t>A 21117-2021</t>
        </is>
      </c>
      <c r="B133" s="1" t="n">
        <v>44319</v>
      </c>
      <c r="C133" s="1" t="n">
        <v>45749</v>
      </c>
      <c r="D133" t="inlineStr">
        <is>
          <t>SKÅNE LÄN</t>
        </is>
      </c>
      <c r="E133" t="inlineStr">
        <is>
          <t>KRISTIANSTAD</t>
        </is>
      </c>
      <c r="G133" t="n">
        <v>22</v>
      </c>
      <c r="H133" t="n">
        <v>1</v>
      </c>
      <c r="I133" t="n">
        <v>0</v>
      </c>
      <c r="J133" t="n">
        <v>0</v>
      </c>
      <c r="K133" t="n">
        <v>0</v>
      </c>
      <c r="L133" t="n">
        <v>1</v>
      </c>
      <c r="M133" t="n">
        <v>0</v>
      </c>
      <c r="N133" t="n">
        <v>0</v>
      </c>
      <c r="O133" t="n">
        <v>1</v>
      </c>
      <c r="P133" t="n">
        <v>1</v>
      </c>
      <c r="Q133" t="n">
        <v>2</v>
      </c>
      <c r="R133" s="2" t="inlineStr">
        <is>
          <t>Ryl
Revlummer</t>
        </is>
      </c>
      <c r="S133">
        <f>HYPERLINK("https://klasma.github.io/Logging_1290/artfynd/A 21117-2021 artfynd.xlsx", "A 21117-2021")</f>
        <v/>
      </c>
      <c r="T133">
        <f>HYPERLINK("https://klasma.github.io/Logging_1290/kartor/A 21117-2021 karta.png", "A 21117-2021")</f>
        <v/>
      </c>
      <c r="V133">
        <f>HYPERLINK("https://klasma.github.io/Logging_1290/klagomål/A 21117-2021 FSC-klagomål.docx", "A 21117-2021")</f>
        <v/>
      </c>
      <c r="W133">
        <f>HYPERLINK("https://klasma.github.io/Logging_1290/klagomålsmail/A 21117-2021 FSC-klagomål mail.docx", "A 21117-2021")</f>
        <v/>
      </c>
      <c r="X133">
        <f>HYPERLINK("https://klasma.github.io/Logging_1290/tillsyn/A 21117-2021 tillsynsbegäran.docx", "A 21117-2021")</f>
        <v/>
      </c>
      <c r="Y133">
        <f>HYPERLINK("https://klasma.github.io/Logging_1290/tillsynsmail/A 21117-2021 tillsynsbegäran mail.docx", "A 21117-2021")</f>
        <v/>
      </c>
    </row>
    <row r="134" ht="15" customHeight="1">
      <c r="A134" t="inlineStr">
        <is>
          <t>A 28124-2021</t>
        </is>
      </c>
      <c r="B134" s="1" t="n">
        <v>44355</v>
      </c>
      <c r="C134" s="1" t="n">
        <v>45749</v>
      </c>
      <c r="D134" t="inlineStr">
        <is>
          <t>SKÅNE LÄN</t>
        </is>
      </c>
      <c r="E134" t="inlineStr">
        <is>
          <t>TOMELILLA</t>
        </is>
      </c>
      <c r="F134" t="inlineStr">
        <is>
          <t>Övriga Aktiebolag</t>
        </is>
      </c>
      <c r="G134" t="n">
        <v>7.4</v>
      </c>
      <c r="H134" t="n">
        <v>0</v>
      </c>
      <c r="I134" t="n">
        <v>1</v>
      </c>
      <c r="J134" t="n">
        <v>1</v>
      </c>
      <c r="K134" t="n">
        <v>0</v>
      </c>
      <c r="L134" t="n">
        <v>0</v>
      </c>
      <c r="M134" t="n">
        <v>0</v>
      </c>
      <c r="N134" t="n">
        <v>0</v>
      </c>
      <c r="O134" t="n">
        <v>1</v>
      </c>
      <c r="P134" t="n">
        <v>0</v>
      </c>
      <c r="Q134" t="n">
        <v>2</v>
      </c>
      <c r="R134" s="2" t="inlineStr">
        <is>
          <t>Bokvårtlav
Guldlockmossa</t>
        </is>
      </c>
      <c r="S134">
        <f>HYPERLINK("https://klasma.github.io/Logging_1270/artfynd/A 28124-2021 artfynd.xlsx", "A 28124-2021")</f>
        <v/>
      </c>
      <c r="T134">
        <f>HYPERLINK("https://klasma.github.io/Logging_1270/kartor/A 28124-2021 karta.png", "A 28124-2021")</f>
        <v/>
      </c>
      <c r="V134">
        <f>HYPERLINK("https://klasma.github.io/Logging_1270/klagomål/A 28124-2021 FSC-klagomål.docx", "A 28124-2021")</f>
        <v/>
      </c>
      <c r="W134">
        <f>HYPERLINK("https://klasma.github.io/Logging_1270/klagomålsmail/A 28124-2021 FSC-klagomål mail.docx", "A 28124-2021")</f>
        <v/>
      </c>
      <c r="X134">
        <f>HYPERLINK("https://klasma.github.io/Logging_1270/tillsyn/A 28124-2021 tillsynsbegäran.docx", "A 28124-2021")</f>
        <v/>
      </c>
      <c r="Y134">
        <f>HYPERLINK("https://klasma.github.io/Logging_1270/tillsynsmail/A 28124-2021 tillsynsbegäran mail.docx", "A 28124-2021")</f>
        <v/>
      </c>
    </row>
    <row r="135" ht="15" customHeight="1">
      <c r="A135" t="inlineStr">
        <is>
          <t>A 39121-2021</t>
        </is>
      </c>
      <c r="B135" s="1" t="n">
        <v>44412</v>
      </c>
      <c r="C135" s="1" t="n">
        <v>45749</v>
      </c>
      <c r="D135" t="inlineStr">
        <is>
          <t>SKÅNE LÄN</t>
        </is>
      </c>
      <c r="E135" t="inlineStr">
        <is>
          <t>SIMRISHAMN</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HYPERLINK("https://klasma.github.io/Logging_1291/artfynd/A 39121-2021 artfynd.xlsx", "A 39121-2021")</f>
        <v/>
      </c>
      <c r="T135">
        <f>HYPERLINK("https://klasma.github.io/Logging_1291/kartor/A 39121-2021 karta.png", "A 39121-2021")</f>
        <v/>
      </c>
      <c r="V135">
        <f>HYPERLINK("https://klasma.github.io/Logging_1291/klagomål/A 39121-2021 FSC-klagomål.docx", "A 39121-2021")</f>
        <v/>
      </c>
      <c r="W135">
        <f>HYPERLINK("https://klasma.github.io/Logging_1291/klagomålsmail/A 39121-2021 FSC-klagomål mail.docx", "A 39121-2021")</f>
        <v/>
      </c>
      <c r="X135">
        <f>HYPERLINK("https://klasma.github.io/Logging_1291/tillsyn/A 39121-2021 tillsynsbegäran.docx", "A 39121-2021")</f>
        <v/>
      </c>
      <c r="Y135">
        <f>HYPERLINK("https://klasma.github.io/Logging_1291/tillsynsmail/A 39121-2021 tillsynsbegäran mail.docx", "A 39121-2021")</f>
        <v/>
      </c>
    </row>
    <row r="136" ht="15" customHeight="1">
      <c r="A136" t="inlineStr">
        <is>
          <t>A 40999-2021</t>
        </is>
      </c>
      <c r="B136" s="1" t="n">
        <v>44421</v>
      </c>
      <c r="C136" s="1" t="n">
        <v>45749</v>
      </c>
      <c r="D136" t="inlineStr">
        <is>
          <t>SKÅNE LÄN</t>
        </is>
      </c>
      <c r="E136" t="inlineStr">
        <is>
          <t>LUND</t>
        </is>
      </c>
      <c r="G136" t="n">
        <v>4.4</v>
      </c>
      <c r="H136" t="n">
        <v>2</v>
      </c>
      <c r="I136" t="n">
        <v>0</v>
      </c>
      <c r="J136" t="n">
        <v>2</v>
      </c>
      <c r="K136" t="n">
        <v>0</v>
      </c>
      <c r="L136" t="n">
        <v>0</v>
      </c>
      <c r="M136" t="n">
        <v>0</v>
      </c>
      <c r="N136" t="n">
        <v>0</v>
      </c>
      <c r="O136" t="n">
        <v>2</v>
      </c>
      <c r="P136" t="n">
        <v>0</v>
      </c>
      <c r="Q136" t="n">
        <v>2</v>
      </c>
      <c r="R136" s="2" t="inlineStr">
        <is>
          <t>Spillkråka
Talltita</t>
        </is>
      </c>
      <c r="S136">
        <f>HYPERLINK("https://klasma.github.io/Logging_1281/artfynd/A 40999-2021 artfynd.xlsx", "A 40999-2021")</f>
        <v/>
      </c>
      <c r="T136">
        <f>HYPERLINK("https://klasma.github.io/Logging_1281/kartor/A 40999-2021 karta.png", "A 40999-2021")</f>
        <v/>
      </c>
      <c r="V136">
        <f>HYPERLINK("https://klasma.github.io/Logging_1281/klagomål/A 40999-2021 FSC-klagomål.docx", "A 40999-2021")</f>
        <v/>
      </c>
      <c r="W136">
        <f>HYPERLINK("https://klasma.github.io/Logging_1281/klagomålsmail/A 40999-2021 FSC-klagomål mail.docx", "A 40999-2021")</f>
        <v/>
      </c>
      <c r="X136">
        <f>HYPERLINK("https://klasma.github.io/Logging_1281/tillsyn/A 40999-2021 tillsynsbegäran.docx", "A 40999-2021")</f>
        <v/>
      </c>
      <c r="Y136">
        <f>HYPERLINK("https://klasma.github.io/Logging_1281/tillsynsmail/A 40999-2021 tillsynsbegäran mail.docx", "A 40999-2021")</f>
        <v/>
      </c>
      <c r="Z136">
        <f>HYPERLINK("https://klasma.github.io/Logging_1281/fåglar/A 40999-2021 prioriterade fågelarter.docx", "A 40999-2021")</f>
        <v/>
      </c>
    </row>
    <row r="137" ht="15" customHeight="1">
      <c r="A137" t="inlineStr">
        <is>
          <t>A 44167-2021</t>
        </is>
      </c>
      <c r="B137" s="1" t="n">
        <v>44434</v>
      </c>
      <c r="C137" s="1" t="n">
        <v>45749</v>
      </c>
      <c r="D137" t="inlineStr">
        <is>
          <t>SKÅNE LÄN</t>
        </is>
      </c>
      <c r="E137" t="inlineStr">
        <is>
          <t>HÄSSLEHOLM</t>
        </is>
      </c>
      <c r="G137" t="n">
        <v>0.7</v>
      </c>
      <c r="H137" t="n">
        <v>0</v>
      </c>
      <c r="I137" t="n">
        <v>1</v>
      </c>
      <c r="J137" t="n">
        <v>0</v>
      </c>
      <c r="K137" t="n">
        <v>0</v>
      </c>
      <c r="L137" t="n">
        <v>0</v>
      </c>
      <c r="M137" t="n">
        <v>1</v>
      </c>
      <c r="N137" t="n">
        <v>0</v>
      </c>
      <c r="O137" t="n">
        <v>1</v>
      </c>
      <c r="P137" t="n">
        <v>1</v>
      </c>
      <c r="Q137" t="n">
        <v>2</v>
      </c>
      <c r="R137" s="2" t="inlineStr">
        <is>
          <t>Naverlönn
Platt fjädermossa</t>
        </is>
      </c>
      <c r="S137">
        <f>HYPERLINK("https://klasma.github.io/Logging_1293/artfynd/A 44167-2021 artfynd.xlsx", "A 44167-2021")</f>
        <v/>
      </c>
      <c r="T137">
        <f>HYPERLINK("https://klasma.github.io/Logging_1293/kartor/A 44167-2021 karta.png", "A 44167-2021")</f>
        <v/>
      </c>
      <c r="V137">
        <f>HYPERLINK("https://klasma.github.io/Logging_1293/klagomål/A 44167-2021 FSC-klagomål.docx", "A 44167-2021")</f>
        <v/>
      </c>
      <c r="W137">
        <f>HYPERLINK("https://klasma.github.io/Logging_1293/klagomålsmail/A 44167-2021 FSC-klagomål mail.docx", "A 44167-2021")</f>
        <v/>
      </c>
      <c r="X137">
        <f>HYPERLINK("https://klasma.github.io/Logging_1293/tillsyn/A 44167-2021 tillsynsbegäran.docx", "A 44167-2021")</f>
        <v/>
      </c>
      <c r="Y137">
        <f>HYPERLINK("https://klasma.github.io/Logging_1293/tillsynsmail/A 44167-2021 tillsynsbegäran mail.docx", "A 44167-2021")</f>
        <v/>
      </c>
    </row>
    <row r="138" ht="15" customHeight="1">
      <c r="A138" t="inlineStr">
        <is>
          <t>A 52010-2021</t>
        </is>
      </c>
      <c r="B138" s="1" t="n">
        <v>44463</v>
      </c>
      <c r="C138" s="1" t="n">
        <v>45749</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54306-2021</t>
        </is>
      </c>
      <c r="B139" s="1" t="n">
        <v>44472</v>
      </c>
      <c r="C139" s="1" t="n">
        <v>45749</v>
      </c>
      <c r="D139" t="inlineStr">
        <is>
          <t>SKÅNE LÄN</t>
        </is>
      </c>
      <c r="E139" t="inlineStr">
        <is>
          <t>OSBY</t>
        </is>
      </c>
      <c r="G139" t="n">
        <v>2.3</v>
      </c>
      <c r="H139" t="n">
        <v>0</v>
      </c>
      <c r="I139" t="n">
        <v>2</v>
      </c>
      <c r="J139" t="n">
        <v>0</v>
      </c>
      <c r="K139" t="n">
        <v>0</v>
      </c>
      <c r="L139" t="n">
        <v>0</v>
      </c>
      <c r="M139" t="n">
        <v>0</v>
      </c>
      <c r="N139" t="n">
        <v>0</v>
      </c>
      <c r="O139" t="n">
        <v>0</v>
      </c>
      <c r="P139" t="n">
        <v>0</v>
      </c>
      <c r="Q139" t="n">
        <v>2</v>
      </c>
      <c r="R139" s="2" t="inlineStr">
        <is>
          <t>Bårdlav
Fällmossa</t>
        </is>
      </c>
      <c r="S139">
        <f>HYPERLINK("https://klasma.github.io/Logging_1273/artfynd/A 54306-2021 artfynd.xlsx", "A 54306-2021")</f>
        <v/>
      </c>
      <c r="T139">
        <f>HYPERLINK("https://klasma.github.io/Logging_1273/kartor/A 54306-2021 karta.png", "A 54306-2021")</f>
        <v/>
      </c>
      <c r="V139">
        <f>HYPERLINK("https://klasma.github.io/Logging_1273/klagomål/A 54306-2021 FSC-klagomål.docx", "A 54306-2021")</f>
        <v/>
      </c>
      <c r="W139">
        <f>HYPERLINK("https://klasma.github.io/Logging_1273/klagomålsmail/A 54306-2021 FSC-klagomål mail.docx", "A 54306-2021")</f>
        <v/>
      </c>
      <c r="X139">
        <f>HYPERLINK("https://klasma.github.io/Logging_1273/tillsyn/A 54306-2021 tillsynsbegäran.docx", "A 54306-2021")</f>
        <v/>
      </c>
      <c r="Y139">
        <f>HYPERLINK("https://klasma.github.io/Logging_1273/tillsynsmail/A 54306-2021 tillsynsbegäran mail.docx", "A 54306-2021")</f>
        <v/>
      </c>
    </row>
    <row r="140" ht="15" customHeight="1">
      <c r="A140" t="inlineStr">
        <is>
          <t>A 59690-2021</t>
        </is>
      </c>
      <c r="B140" s="1" t="n">
        <v>44494</v>
      </c>
      <c r="C140" s="1" t="n">
        <v>45749</v>
      </c>
      <c r="D140" t="inlineStr">
        <is>
          <t>SKÅNE LÄN</t>
        </is>
      </c>
      <c r="E140" t="inlineStr">
        <is>
          <t>KRISTIANSTAD</t>
        </is>
      </c>
      <c r="G140" t="n">
        <v>5.2</v>
      </c>
      <c r="H140" t="n">
        <v>1</v>
      </c>
      <c r="I140" t="n">
        <v>1</v>
      </c>
      <c r="J140" t="n">
        <v>0</v>
      </c>
      <c r="K140" t="n">
        <v>0</v>
      </c>
      <c r="L140" t="n">
        <v>0</v>
      </c>
      <c r="M140" t="n">
        <v>0</v>
      </c>
      <c r="N140" t="n">
        <v>0</v>
      </c>
      <c r="O140" t="n">
        <v>0</v>
      </c>
      <c r="P140" t="n">
        <v>0</v>
      </c>
      <c r="Q140" t="n">
        <v>2</v>
      </c>
      <c r="R140" s="2" t="inlineStr">
        <is>
          <t>Lundvårlök
Grönvit nattviol</t>
        </is>
      </c>
      <c r="S140">
        <f>HYPERLINK("https://klasma.github.io/Logging_1290/artfynd/A 59690-2021 artfynd.xlsx", "A 59690-2021")</f>
        <v/>
      </c>
      <c r="T140">
        <f>HYPERLINK("https://klasma.github.io/Logging_1290/kartor/A 59690-2021 karta.png", "A 59690-2021")</f>
        <v/>
      </c>
      <c r="V140">
        <f>HYPERLINK("https://klasma.github.io/Logging_1290/klagomål/A 59690-2021 FSC-klagomål.docx", "A 59690-2021")</f>
        <v/>
      </c>
      <c r="W140">
        <f>HYPERLINK("https://klasma.github.io/Logging_1290/klagomålsmail/A 59690-2021 FSC-klagomål mail.docx", "A 59690-2021")</f>
        <v/>
      </c>
      <c r="X140">
        <f>HYPERLINK("https://klasma.github.io/Logging_1290/tillsyn/A 59690-2021 tillsynsbegäran.docx", "A 59690-2021")</f>
        <v/>
      </c>
      <c r="Y140">
        <f>HYPERLINK("https://klasma.github.io/Logging_1290/tillsynsmail/A 59690-2021 tillsynsbegäran mail.docx", "A 59690-2021")</f>
        <v/>
      </c>
    </row>
    <row r="141" ht="15" customHeight="1">
      <c r="A141" t="inlineStr">
        <is>
          <t>A 4345-2022</t>
        </is>
      </c>
      <c r="B141" s="1" t="n">
        <v>44589</v>
      </c>
      <c r="C141" s="1" t="n">
        <v>45749</v>
      </c>
      <c r="D141" t="inlineStr">
        <is>
          <t>SKÅNE LÄN</t>
        </is>
      </c>
      <c r="E141" t="inlineStr">
        <is>
          <t>OSBY</t>
        </is>
      </c>
      <c r="G141" t="n">
        <v>2.1</v>
      </c>
      <c r="H141" t="n">
        <v>2</v>
      </c>
      <c r="I141" t="n">
        <v>0</v>
      </c>
      <c r="J141" t="n">
        <v>1</v>
      </c>
      <c r="K141" t="n">
        <v>0</v>
      </c>
      <c r="L141" t="n">
        <v>0</v>
      </c>
      <c r="M141" t="n">
        <v>0</v>
      </c>
      <c r="N141" t="n">
        <v>0</v>
      </c>
      <c r="O141" t="n">
        <v>1</v>
      </c>
      <c r="P141" t="n">
        <v>0</v>
      </c>
      <c r="Q141" t="n">
        <v>2</v>
      </c>
      <c r="R141" s="2" t="inlineStr">
        <is>
          <t>Mindre hackspett
Kungsfågel</t>
        </is>
      </c>
      <c r="S141">
        <f>HYPERLINK("https://klasma.github.io/Logging_1273/artfynd/A 4345-2022 artfynd.xlsx", "A 4345-2022")</f>
        <v/>
      </c>
      <c r="T141">
        <f>HYPERLINK("https://klasma.github.io/Logging_1273/kartor/A 4345-2022 karta.png", "A 4345-2022")</f>
        <v/>
      </c>
      <c r="V141">
        <f>HYPERLINK("https://klasma.github.io/Logging_1273/klagomål/A 4345-2022 FSC-klagomål.docx", "A 4345-2022")</f>
        <v/>
      </c>
      <c r="W141">
        <f>HYPERLINK("https://klasma.github.io/Logging_1273/klagomålsmail/A 4345-2022 FSC-klagomål mail.docx", "A 4345-2022")</f>
        <v/>
      </c>
      <c r="X141">
        <f>HYPERLINK("https://klasma.github.io/Logging_1273/tillsyn/A 4345-2022 tillsynsbegäran.docx", "A 4345-2022")</f>
        <v/>
      </c>
      <c r="Y141">
        <f>HYPERLINK("https://klasma.github.io/Logging_1273/tillsynsmail/A 4345-2022 tillsynsbegäran mail.docx", "A 4345-2022")</f>
        <v/>
      </c>
      <c r="Z141">
        <f>HYPERLINK("https://klasma.github.io/Logging_1273/fåglar/A 4345-2022 prioriterade fågelarter.docx", "A 4345-2022")</f>
        <v/>
      </c>
    </row>
    <row r="142" ht="15" customHeight="1">
      <c r="A142" t="inlineStr">
        <is>
          <t>A 11673-2022</t>
        </is>
      </c>
      <c r="B142" s="1" t="n">
        <v>44633</v>
      </c>
      <c r="C142" s="1" t="n">
        <v>45749</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26855-2022</t>
        </is>
      </c>
      <c r="B143" s="1" t="n">
        <v>44740</v>
      </c>
      <c r="C143" s="1" t="n">
        <v>45749</v>
      </c>
      <c r="D143" t="inlineStr">
        <is>
          <t>SKÅNE LÄN</t>
        </is>
      </c>
      <c r="E143" t="inlineStr">
        <is>
          <t>SVALÖV</t>
        </is>
      </c>
      <c r="G143" t="n">
        <v>5.2</v>
      </c>
      <c r="H143" t="n">
        <v>1</v>
      </c>
      <c r="I143" t="n">
        <v>1</v>
      </c>
      <c r="J143" t="n">
        <v>0</v>
      </c>
      <c r="K143" t="n">
        <v>0</v>
      </c>
      <c r="L143" t="n">
        <v>0</v>
      </c>
      <c r="M143" t="n">
        <v>0</v>
      </c>
      <c r="N143" t="n">
        <v>0</v>
      </c>
      <c r="O143" t="n">
        <v>0</v>
      </c>
      <c r="P143" t="n">
        <v>0</v>
      </c>
      <c r="Q143" t="n">
        <v>2</v>
      </c>
      <c r="R143" s="2" t="inlineStr">
        <is>
          <t>Skogsbräsma
Mattlummer</t>
        </is>
      </c>
      <c r="S143">
        <f>HYPERLINK("https://klasma.github.io/Logging_1214/artfynd/A 26855-2022 artfynd.xlsx", "A 26855-2022")</f>
        <v/>
      </c>
      <c r="T143">
        <f>HYPERLINK("https://klasma.github.io/Logging_1214/kartor/A 26855-2022 karta.png", "A 26855-2022")</f>
        <v/>
      </c>
      <c r="V143">
        <f>HYPERLINK("https://klasma.github.io/Logging_1214/klagomål/A 26855-2022 FSC-klagomål.docx", "A 26855-2022")</f>
        <v/>
      </c>
      <c r="W143">
        <f>HYPERLINK("https://klasma.github.io/Logging_1214/klagomålsmail/A 26855-2022 FSC-klagomål mail.docx", "A 26855-2022")</f>
        <v/>
      </c>
      <c r="X143">
        <f>HYPERLINK("https://klasma.github.io/Logging_1214/tillsyn/A 26855-2022 tillsynsbegäran.docx", "A 26855-2022")</f>
        <v/>
      </c>
      <c r="Y143">
        <f>HYPERLINK("https://klasma.github.io/Logging_1214/tillsynsmail/A 26855-2022 tillsynsbegäran mail.docx", "A 26855-2022")</f>
        <v/>
      </c>
    </row>
    <row r="144" ht="15" customHeight="1">
      <c r="A144" t="inlineStr">
        <is>
          <t>A 26984-2022</t>
        </is>
      </c>
      <c r="B144" s="1" t="n">
        <v>44740</v>
      </c>
      <c r="C144" s="1" t="n">
        <v>45749</v>
      </c>
      <c r="D144" t="inlineStr">
        <is>
          <t>SKÅNE LÄN</t>
        </is>
      </c>
      <c r="E144" t="inlineStr">
        <is>
          <t>LUND</t>
        </is>
      </c>
      <c r="G144" t="n">
        <v>2.9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26984-2022 artfynd.xlsx", "A 26984-2022")</f>
        <v/>
      </c>
      <c r="T144">
        <f>HYPERLINK("https://klasma.github.io/Logging_1281/kartor/A 26984-2022 karta.png", "A 26984-2022")</f>
        <v/>
      </c>
      <c r="V144">
        <f>HYPERLINK("https://klasma.github.io/Logging_1281/klagomål/A 26984-2022 FSC-klagomål.docx", "A 26984-2022")</f>
        <v/>
      </c>
      <c r="W144">
        <f>HYPERLINK("https://klasma.github.io/Logging_1281/klagomålsmail/A 26984-2022 FSC-klagomål mail.docx", "A 26984-2022")</f>
        <v/>
      </c>
      <c r="X144">
        <f>HYPERLINK("https://klasma.github.io/Logging_1281/tillsyn/A 26984-2022 tillsynsbegäran.docx", "A 26984-2022")</f>
        <v/>
      </c>
      <c r="Y144">
        <f>HYPERLINK("https://klasma.github.io/Logging_1281/tillsynsmail/A 26984-2022 tillsynsbegäran mail.docx", "A 26984-2022")</f>
        <v/>
      </c>
    </row>
    <row r="145" ht="15" customHeight="1">
      <c r="A145" t="inlineStr">
        <is>
          <t>A 28929-2022</t>
        </is>
      </c>
      <c r="B145" s="1" t="n">
        <v>44749</v>
      </c>
      <c r="C145" s="1" t="n">
        <v>45749</v>
      </c>
      <c r="D145" t="inlineStr">
        <is>
          <t>SKÅNE LÄN</t>
        </is>
      </c>
      <c r="E145" t="inlineStr">
        <is>
          <t>SJÖBO</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HYPERLINK("https://klasma.github.io/Logging_1265/artfynd/A 28929-2022 artfynd.xlsx", "A 28929-2022")</f>
        <v/>
      </c>
      <c r="T145">
        <f>HYPERLINK("https://klasma.github.io/Logging_1265/kartor/A 28929-2022 karta.png", "A 28929-2022")</f>
        <v/>
      </c>
      <c r="V145">
        <f>HYPERLINK("https://klasma.github.io/Logging_1265/klagomål/A 28929-2022 FSC-klagomål.docx", "A 28929-2022")</f>
        <v/>
      </c>
      <c r="W145">
        <f>HYPERLINK("https://klasma.github.io/Logging_1265/klagomålsmail/A 28929-2022 FSC-klagomål mail.docx", "A 28929-2022")</f>
        <v/>
      </c>
      <c r="X145">
        <f>HYPERLINK("https://klasma.github.io/Logging_1265/tillsyn/A 28929-2022 tillsynsbegäran.docx", "A 28929-2022")</f>
        <v/>
      </c>
      <c r="Y145">
        <f>HYPERLINK("https://klasma.github.io/Logging_1265/tillsynsmail/A 28929-2022 tillsynsbegäran mail.docx", "A 28929-2022")</f>
        <v/>
      </c>
    </row>
    <row r="146" ht="15" customHeight="1">
      <c r="A146" t="inlineStr">
        <is>
          <t>A 30842-2022</t>
        </is>
      </c>
      <c r="B146" s="1" t="n">
        <v>44767</v>
      </c>
      <c r="C146" s="1" t="n">
        <v>45749</v>
      </c>
      <c r="D146" t="inlineStr">
        <is>
          <t>SKÅNE LÄN</t>
        </is>
      </c>
      <c r="E146" t="inlineStr">
        <is>
          <t>KRISTIANSTAD</t>
        </is>
      </c>
      <c r="G146" t="n">
        <v>2.6</v>
      </c>
      <c r="H146" t="n">
        <v>1</v>
      </c>
      <c r="I146" t="n">
        <v>0</v>
      </c>
      <c r="J146" t="n">
        <v>0</v>
      </c>
      <c r="K146" t="n">
        <v>1</v>
      </c>
      <c r="L146" t="n">
        <v>0</v>
      </c>
      <c r="M146" t="n">
        <v>0</v>
      </c>
      <c r="N146" t="n">
        <v>0</v>
      </c>
      <c r="O146" t="n">
        <v>1</v>
      </c>
      <c r="P146" t="n">
        <v>1</v>
      </c>
      <c r="Q146" t="n">
        <v>2</v>
      </c>
      <c r="R146" s="2" t="inlineStr">
        <is>
          <t>Småvänderot
Större vattensalamander</t>
        </is>
      </c>
      <c r="S146">
        <f>HYPERLINK("https://klasma.github.io/Logging_1290/artfynd/A 30842-2022 artfynd.xlsx", "A 30842-2022")</f>
        <v/>
      </c>
      <c r="T146">
        <f>HYPERLINK("https://klasma.github.io/Logging_1290/kartor/A 30842-2022 karta.png", "A 30842-2022")</f>
        <v/>
      </c>
      <c r="V146">
        <f>HYPERLINK("https://klasma.github.io/Logging_1290/klagomål/A 30842-2022 FSC-klagomål.docx", "A 30842-2022")</f>
        <v/>
      </c>
      <c r="W146">
        <f>HYPERLINK("https://klasma.github.io/Logging_1290/klagomålsmail/A 30842-2022 FSC-klagomål mail.docx", "A 30842-2022")</f>
        <v/>
      </c>
      <c r="X146">
        <f>HYPERLINK("https://klasma.github.io/Logging_1290/tillsyn/A 30842-2022 tillsynsbegäran.docx", "A 30842-2022")</f>
        <v/>
      </c>
      <c r="Y146">
        <f>HYPERLINK("https://klasma.github.io/Logging_1290/tillsynsmail/A 30842-2022 tillsynsbegäran mail.docx", "A 30842-2022")</f>
        <v/>
      </c>
    </row>
    <row r="147" ht="15" customHeight="1">
      <c r="A147" t="inlineStr">
        <is>
          <t>A 44586-2022</t>
        </is>
      </c>
      <c r="B147" s="1" t="n">
        <v>44840</v>
      </c>
      <c r="C147" s="1" t="n">
        <v>45749</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53878-2022</t>
        </is>
      </c>
      <c r="B148" s="1" t="n">
        <v>44880</v>
      </c>
      <c r="C148" s="1" t="n">
        <v>45749</v>
      </c>
      <c r="D148" t="inlineStr">
        <is>
          <t>SKÅNE LÄN</t>
        </is>
      </c>
      <c r="E148" t="inlineStr">
        <is>
          <t>KLIPPAN</t>
        </is>
      </c>
      <c r="G148" t="n">
        <v>8.300000000000001</v>
      </c>
      <c r="H148" t="n">
        <v>2</v>
      </c>
      <c r="I148" t="n">
        <v>0</v>
      </c>
      <c r="J148" t="n">
        <v>2</v>
      </c>
      <c r="K148" t="n">
        <v>0</v>
      </c>
      <c r="L148" t="n">
        <v>0</v>
      </c>
      <c r="M148" t="n">
        <v>0</v>
      </c>
      <c r="N148" t="n">
        <v>0</v>
      </c>
      <c r="O148" t="n">
        <v>2</v>
      </c>
      <c r="P148" t="n">
        <v>0</v>
      </c>
      <c r="Q148" t="n">
        <v>2</v>
      </c>
      <c r="R148" s="2" t="inlineStr">
        <is>
          <t>Entita
Gulsparv</t>
        </is>
      </c>
      <c r="S148">
        <f>HYPERLINK("https://klasma.github.io/Logging_1276/artfynd/A 53878-2022 artfynd.xlsx", "A 53878-2022")</f>
        <v/>
      </c>
      <c r="T148">
        <f>HYPERLINK("https://klasma.github.io/Logging_1276/kartor/A 53878-2022 karta.png", "A 53878-2022")</f>
        <v/>
      </c>
      <c r="V148">
        <f>HYPERLINK("https://klasma.github.io/Logging_1276/klagomål/A 53878-2022 FSC-klagomål.docx", "A 53878-2022")</f>
        <v/>
      </c>
      <c r="W148">
        <f>HYPERLINK("https://klasma.github.io/Logging_1276/klagomålsmail/A 53878-2022 FSC-klagomål mail.docx", "A 53878-2022")</f>
        <v/>
      </c>
      <c r="X148">
        <f>HYPERLINK("https://klasma.github.io/Logging_1276/tillsyn/A 53878-2022 tillsynsbegäran.docx", "A 53878-2022")</f>
        <v/>
      </c>
      <c r="Y148">
        <f>HYPERLINK("https://klasma.github.io/Logging_1276/tillsynsmail/A 53878-2022 tillsynsbegäran mail.docx", "A 53878-2022")</f>
        <v/>
      </c>
      <c r="Z148">
        <f>HYPERLINK("https://klasma.github.io/Logging_1276/fåglar/A 53878-2022 prioriterade fågelarter.docx", "A 53878-2022")</f>
        <v/>
      </c>
    </row>
    <row r="149" ht="15" customHeight="1">
      <c r="A149" t="inlineStr">
        <is>
          <t>A 55072-2022</t>
        </is>
      </c>
      <c r="B149" s="1" t="n">
        <v>44886</v>
      </c>
      <c r="C149" s="1" t="n">
        <v>45749</v>
      </c>
      <c r="D149" t="inlineStr">
        <is>
          <t>SKÅNE LÄN</t>
        </is>
      </c>
      <c r="E149" t="inlineStr">
        <is>
          <t>SIMRISHAMN</t>
        </is>
      </c>
      <c r="F149" t="inlineStr">
        <is>
          <t>Sveaskog</t>
        </is>
      </c>
      <c r="G149" t="n">
        <v>7.3</v>
      </c>
      <c r="H149" t="n">
        <v>1</v>
      </c>
      <c r="I149" t="n">
        <v>1</v>
      </c>
      <c r="J149" t="n">
        <v>0</v>
      </c>
      <c r="K149" t="n">
        <v>0</v>
      </c>
      <c r="L149" t="n">
        <v>0</v>
      </c>
      <c r="M149" t="n">
        <v>0</v>
      </c>
      <c r="N149" t="n">
        <v>0</v>
      </c>
      <c r="O149" t="n">
        <v>0</v>
      </c>
      <c r="P149" t="n">
        <v>0</v>
      </c>
      <c r="Q149" t="n">
        <v>2</v>
      </c>
      <c r="R149" s="2" t="inlineStr">
        <is>
          <t>Murgröna
Gullviva</t>
        </is>
      </c>
      <c r="S149">
        <f>HYPERLINK("https://klasma.github.io/Logging_1291/artfynd/A 55072-2022 artfynd.xlsx", "A 55072-2022")</f>
        <v/>
      </c>
      <c r="T149">
        <f>HYPERLINK("https://klasma.github.io/Logging_1291/kartor/A 55072-2022 karta.png", "A 55072-2022")</f>
        <v/>
      </c>
      <c r="V149">
        <f>HYPERLINK("https://klasma.github.io/Logging_1291/klagomål/A 55072-2022 FSC-klagomål.docx", "A 55072-2022")</f>
        <v/>
      </c>
      <c r="W149">
        <f>HYPERLINK("https://klasma.github.io/Logging_1291/klagomålsmail/A 55072-2022 FSC-klagomål mail.docx", "A 55072-2022")</f>
        <v/>
      </c>
      <c r="X149">
        <f>HYPERLINK("https://klasma.github.io/Logging_1291/tillsyn/A 55072-2022 tillsynsbegäran.docx", "A 55072-2022")</f>
        <v/>
      </c>
      <c r="Y149">
        <f>HYPERLINK("https://klasma.github.io/Logging_1291/tillsynsmail/A 55072-2022 tillsynsbegäran mail.docx", "A 55072-2022")</f>
        <v/>
      </c>
    </row>
    <row r="150" ht="15" customHeight="1">
      <c r="A150" t="inlineStr">
        <is>
          <t>A 56294-2022</t>
        </is>
      </c>
      <c r="B150" s="1" t="n">
        <v>44887</v>
      </c>
      <c r="C150" s="1" t="n">
        <v>45749</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60295-2022</t>
        </is>
      </c>
      <c r="B151" s="1" t="n">
        <v>44903</v>
      </c>
      <c r="C151" s="1" t="n">
        <v>45749</v>
      </c>
      <c r="D151" t="inlineStr">
        <is>
          <t>SKÅNE LÄN</t>
        </is>
      </c>
      <c r="E151" t="inlineStr">
        <is>
          <t>YSTAD</t>
        </is>
      </c>
      <c r="G151" t="n">
        <v>1.1</v>
      </c>
      <c r="H151" t="n">
        <v>2</v>
      </c>
      <c r="I151" t="n">
        <v>0</v>
      </c>
      <c r="J151" t="n">
        <v>0</v>
      </c>
      <c r="K151" t="n">
        <v>0</v>
      </c>
      <c r="L151" t="n">
        <v>0</v>
      </c>
      <c r="M151" t="n">
        <v>0</v>
      </c>
      <c r="N151" t="n">
        <v>0</v>
      </c>
      <c r="O151" t="n">
        <v>0</v>
      </c>
      <c r="P151" t="n">
        <v>0</v>
      </c>
      <c r="Q151" t="n">
        <v>2</v>
      </c>
      <c r="R151" s="2" t="inlineStr">
        <is>
          <t>Klockgroda
Ätlig groda</t>
        </is>
      </c>
      <c r="S151">
        <f>HYPERLINK("https://klasma.github.io/Logging_1286/artfynd/A 60295-2022 artfynd.xlsx", "A 60295-2022")</f>
        <v/>
      </c>
      <c r="T151">
        <f>HYPERLINK("https://klasma.github.io/Logging_1286/kartor/A 60295-2022 karta.png", "A 60295-2022")</f>
        <v/>
      </c>
      <c r="V151">
        <f>HYPERLINK("https://klasma.github.io/Logging_1286/klagomål/A 60295-2022 FSC-klagomål.docx", "A 60295-2022")</f>
        <v/>
      </c>
      <c r="W151">
        <f>HYPERLINK("https://klasma.github.io/Logging_1286/klagomålsmail/A 60295-2022 FSC-klagomål mail.docx", "A 60295-2022")</f>
        <v/>
      </c>
      <c r="X151">
        <f>HYPERLINK("https://klasma.github.io/Logging_1286/tillsyn/A 60295-2022 tillsynsbegäran.docx", "A 60295-2022")</f>
        <v/>
      </c>
      <c r="Y151">
        <f>HYPERLINK("https://klasma.github.io/Logging_1286/tillsynsmail/A 60295-2022 tillsynsbegäran mail.docx", "A 60295-2022")</f>
        <v/>
      </c>
    </row>
    <row r="152" ht="15" customHeight="1">
      <c r="A152" t="inlineStr">
        <is>
          <t>A 62065-2022</t>
        </is>
      </c>
      <c r="B152" s="1" t="n">
        <v>44918</v>
      </c>
      <c r="C152" s="1" t="n">
        <v>45749</v>
      </c>
      <c r="D152" t="inlineStr">
        <is>
          <t>SKÅNE LÄN</t>
        </is>
      </c>
      <c r="E152" t="inlineStr">
        <is>
          <t>KRISTIANSTAD</t>
        </is>
      </c>
      <c r="G152" t="n">
        <v>0.8</v>
      </c>
      <c r="H152" t="n">
        <v>1</v>
      </c>
      <c r="I152" t="n">
        <v>0</v>
      </c>
      <c r="J152" t="n">
        <v>1</v>
      </c>
      <c r="K152" t="n">
        <v>1</v>
      </c>
      <c r="L152" t="n">
        <v>0</v>
      </c>
      <c r="M152" t="n">
        <v>0</v>
      </c>
      <c r="N152" t="n">
        <v>0</v>
      </c>
      <c r="O152" t="n">
        <v>2</v>
      </c>
      <c r="P152" t="n">
        <v>1</v>
      </c>
      <c r="Q152" t="n">
        <v>2</v>
      </c>
      <c r="R152" s="2" t="inlineStr">
        <is>
          <t>Myrvapenfluga
Mindre hackspett</t>
        </is>
      </c>
      <c r="S152">
        <f>HYPERLINK("https://klasma.github.io/Logging_1290/artfynd/A 62065-2022 artfynd.xlsx", "A 62065-2022")</f>
        <v/>
      </c>
      <c r="T152">
        <f>HYPERLINK("https://klasma.github.io/Logging_1290/kartor/A 62065-2022 karta.png", "A 62065-2022")</f>
        <v/>
      </c>
      <c r="V152">
        <f>HYPERLINK("https://klasma.github.io/Logging_1290/klagomål/A 62065-2022 FSC-klagomål.docx", "A 62065-2022")</f>
        <v/>
      </c>
      <c r="W152">
        <f>HYPERLINK("https://klasma.github.io/Logging_1290/klagomålsmail/A 62065-2022 FSC-klagomål mail.docx", "A 62065-2022")</f>
        <v/>
      </c>
      <c r="X152">
        <f>HYPERLINK("https://klasma.github.io/Logging_1290/tillsyn/A 62065-2022 tillsynsbegäran.docx", "A 62065-2022")</f>
        <v/>
      </c>
      <c r="Y152">
        <f>HYPERLINK("https://klasma.github.io/Logging_1290/tillsynsmail/A 62065-2022 tillsynsbegäran mail.docx", "A 62065-2022")</f>
        <v/>
      </c>
      <c r="Z152">
        <f>HYPERLINK("https://klasma.github.io/Logging_1290/fåglar/A 62065-2022 prioriterade fågelarter.docx", "A 62065-2022")</f>
        <v/>
      </c>
    </row>
    <row r="153" ht="15" customHeight="1">
      <c r="A153" t="inlineStr">
        <is>
          <t>A 15229-2023</t>
        </is>
      </c>
      <c r="B153" s="1" t="n">
        <v>45016</v>
      </c>
      <c r="C153" s="1" t="n">
        <v>45749</v>
      </c>
      <c r="D153" t="inlineStr">
        <is>
          <t>SKÅNE LÄN</t>
        </is>
      </c>
      <c r="E153" t="inlineStr">
        <is>
          <t>KRISTIANSTAD</t>
        </is>
      </c>
      <c r="G153" t="n">
        <v>1.2</v>
      </c>
      <c r="H153" t="n">
        <v>2</v>
      </c>
      <c r="I153" t="n">
        <v>0</v>
      </c>
      <c r="J153" t="n">
        <v>2</v>
      </c>
      <c r="K153" t="n">
        <v>0</v>
      </c>
      <c r="L153" t="n">
        <v>0</v>
      </c>
      <c r="M153" t="n">
        <v>0</v>
      </c>
      <c r="N153" t="n">
        <v>0</v>
      </c>
      <c r="O153" t="n">
        <v>2</v>
      </c>
      <c r="P153" t="n">
        <v>0</v>
      </c>
      <c r="Q153" t="n">
        <v>2</v>
      </c>
      <c r="R153" s="2" t="inlineStr">
        <is>
          <t>Buskskvätta
Drillsnäppa</t>
        </is>
      </c>
      <c r="S153">
        <f>HYPERLINK("https://klasma.github.io/Logging_1290/artfynd/A 15229-2023 artfynd.xlsx", "A 15229-2023")</f>
        <v/>
      </c>
      <c r="T153">
        <f>HYPERLINK("https://klasma.github.io/Logging_1290/kartor/A 15229-2023 karta.png", "A 15229-2023")</f>
        <v/>
      </c>
      <c r="V153">
        <f>HYPERLINK("https://klasma.github.io/Logging_1290/klagomål/A 15229-2023 FSC-klagomål.docx", "A 15229-2023")</f>
        <v/>
      </c>
      <c r="W153">
        <f>HYPERLINK("https://klasma.github.io/Logging_1290/klagomålsmail/A 15229-2023 FSC-klagomål mail.docx", "A 15229-2023")</f>
        <v/>
      </c>
      <c r="X153">
        <f>HYPERLINK("https://klasma.github.io/Logging_1290/tillsyn/A 15229-2023 tillsynsbegäran.docx", "A 15229-2023")</f>
        <v/>
      </c>
      <c r="Y153">
        <f>HYPERLINK("https://klasma.github.io/Logging_1290/tillsynsmail/A 15229-2023 tillsynsbegäran mail.docx", "A 15229-2023")</f>
        <v/>
      </c>
      <c r="Z153">
        <f>HYPERLINK("https://klasma.github.io/Logging_1290/fåglar/A 15229-2023 prioriterade fågelarter.docx", "A 15229-2023")</f>
        <v/>
      </c>
    </row>
    <row r="154" ht="15" customHeight="1">
      <c r="A154" t="inlineStr">
        <is>
          <t>A 20702-2023</t>
        </is>
      </c>
      <c r="B154" s="1" t="n">
        <v>45058</v>
      </c>
      <c r="C154" s="1" t="n">
        <v>45749</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26736-2023</t>
        </is>
      </c>
      <c r="B155" s="1" t="n">
        <v>45090</v>
      </c>
      <c r="C155" s="1" t="n">
        <v>45749</v>
      </c>
      <c r="D155" t="inlineStr">
        <is>
          <t>SKÅNE LÄN</t>
        </is>
      </c>
      <c r="E155" t="inlineStr">
        <is>
          <t>SJÖBO</t>
        </is>
      </c>
      <c r="G155" t="n">
        <v>9.4</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27284-2023</t>
        </is>
      </c>
      <c r="B156" s="1" t="n">
        <v>45096</v>
      </c>
      <c r="C156" s="1" t="n">
        <v>45749</v>
      </c>
      <c r="D156" t="inlineStr">
        <is>
          <t>SKÅNE LÄN</t>
        </is>
      </c>
      <c r="E156" t="inlineStr">
        <is>
          <t>ÖSTRA GÖINGE</t>
        </is>
      </c>
      <c r="F156" t="inlineStr">
        <is>
          <t>Sveaskog</t>
        </is>
      </c>
      <c r="G156" t="n">
        <v>6.6</v>
      </c>
      <c r="H156" t="n">
        <v>2</v>
      </c>
      <c r="I156" t="n">
        <v>0</v>
      </c>
      <c r="J156" t="n">
        <v>0</v>
      </c>
      <c r="K156" t="n">
        <v>0</v>
      </c>
      <c r="L156" t="n">
        <v>0</v>
      </c>
      <c r="M156" t="n">
        <v>0</v>
      </c>
      <c r="N156" t="n">
        <v>0</v>
      </c>
      <c r="O156" t="n">
        <v>0</v>
      </c>
      <c r="P156" t="n">
        <v>0</v>
      </c>
      <c r="Q156" t="n">
        <v>2</v>
      </c>
      <c r="R156" s="2" t="inlineStr">
        <is>
          <t>Bred paljettdykare
Bredkantad dykare</t>
        </is>
      </c>
      <c r="S156">
        <f>HYPERLINK("https://klasma.github.io/Logging_1256/artfynd/A 27284-2023 artfynd.xlsx", "A 27284-2023")</f>
        <v/>
      </c>
      <c r="T156">
        <f>HYPERLINK("https://klasma.github.io/Logging_1256/kartor/A 27284-2023 karta.png", "A 27284-2023")</f>
        <v/>
      </c>
      <c r="V156">
        <f>HYPERLINK("https://klasma.github.io/Logging_1256/klagomål/A 27284-2023 FSC-klagomål.docx", "A 27284-2023")</f>
        <v/>
      </c>
      <c r="W156">
        <f>HYPERLINK("https://klasma.github.io/Logging_1256/klagomålsmail/A 27284-2023 FSC-klagomål mail.docx", "A 27284-2023")</f>
        <v/>
      </c>
      <c r="X156">
        <f>HYPERLINK("https://klasma.github.io/Logging_1256/tillsyn/A 27284-2023 tillsynsbegäran.docx", "A 27284-2023")</f>
        <v/>
      </c>
      <c r="Y156">
        <f>HYPERLINK("https://klasma.github.io/Logging_1256/tillsynsmail/A 27284-2023 tillsynsbegäran mail.docx", "A 27284-2023")</f>
        <v/>
      </c>
    </row>
    <row r="157" ht="15" customHeight="1">
      <c r="A157" t="inlineStr">
        <is>
          <t>A 29029-2023</t>
        </is>
      </c>
      <c r="B157" s="1" t="n">
        <v>45104</v>
      </c>
      <c r="C157" s="1" t="n">
        <v>45749</v>
      </c>
      <c r="D157" t="inlineStr">
        <is>
          <t>SKÅNE LÄN</t>
        </is>
      </c>
      <c r="E157" t="inlineStr">
        <is>
          <t>SVEDALA</t>
        </is>
      </c>
      <c r="G157" t="n">
        <v>22.3</v>
      </c>
      <c r="H157" t="n">
        <v>2</v>
      </c>
      <c r="I157" t="n">
        <v>0</v>
      </c>
      <c r="J157" t="n">
        <v>0</v>
      </c>
      <c r="K157" t="n">
        <v>0</v>
      </c>
      <c r="L157" t="n">
        <v>0</v>
      </c>
      <c r="M157" t="n">
        <v>0</v>
      </c>
      <c r="N157" t="n">
        <v>0</v>
      </c>
      <c r="O157" t="n">
        <v>0</v>
      </c>
      <c r="P157" t="n">
        <v>0</v>
      </c>
      <c r="Q157" t="n">
        <v>2</v>
      </c>
      <c r="R157" s="2" t="inlineStr">
        <is>
          <t>Citronfläckad kärrtrollslända
Ätlig groda</t>
        </is>
      </c>
      <c r="S157">
        <f>HYPERLINK("https://klasma.github.io/Logging_1263/artfynd/A 29029-2023 artfynd.xlsx", "A 29029-2023")</f>
        <v/>
      </c>
      <c r="T157">
        <f>HYPERLINK("https://klasma.github.io/Logging_1263/kartor/A 29029-2023 karta.png", "A 29029-2023")</f>
        <v/>
      </c>
      <c r="V157">
        <f>HYPERLINK("https://klasma.github.io/Logging_1263/klagomål/A 29029-2023 FSC-klagomål.docx", "A 29029-2023")</f>
        <v/>
      </c>
      <c r="W157">
        <f>HYPERLINK("https://klasma.github.io/Logging_1263/klagomålsmail/A 29029-2023 FSC-klagomål mail.docx", "A 29029-2023")</f>
        <v/>
      </c>
      <c r="X157">
        <f>HYPERLINK("https://klasma.github.io/Logging_1263/tillsyn/A 29029-2023 tillsynsbegäran.docx", "A 29029-2023")</f>
        <v/>
      </c>
      <c r="Y157">
        <f>HYPERLINK("https://klasma.github.io/Logging_1263/tillsynsmail/A 29029-2023 tillsynsbegäran mail.docx", "A 29029-2023")</f>
        <v/>
      </c>
    </row>
    <row r="158" ht="15" customHeight="1">
      <c r="A158" t="inlineStr">
        <is>
          <t>A 29032-2023</t>
        </is>
      </c>
      <c r="B158" s="1" t="n">
        <v>45104</v>
      </c>
      <c r="C158" s="1" t="n">
        <v>45749</v>
      </c>
      <c r="D158" t="inlineStr">
        <is>
          <t>SKÅNE LÄN</t>
        </is>
      </c>
      <c r="E158" t="inlineStr">
        <is>
          <t>SVEDALA</t>
        </is>
      </c>
      <c r="G158" t="n">
        <v>2</v>
      </c>
      <c r="H158" t="n">
        <v>2</v>
      </c>
      <c r="I158" t="n">
        <v>0</v>
      </c>
      <c r="J158" t="n">
        <v>0</v>
      </c>
      <c r="K158" t="n">
        <v>0</v>
      </c>
      <c r="L158" t="n">
        <v>0</v>
      </c>
      <c r="M158" t="n">
        <v>0</v>
      </c>
      <c r="N158" t="n">
        <v>0</v>
      </c>
      <c r="O158" t="n">
        <v>0</v>
      </c>
      <c r="P158" t="n">
        <v>0</v>
      </c>
      <c r="Q158" t="n">
        <v>2</v>
      </c>
      <c r="R158" s="2" t="inlineStr">
        <is>
          <t>Åkergroda
Vanlig groda</t>
        </is>
      </c>
      <c r="S158">
        <f>HYPERLINK("https://klasma.github.io/Logging_1263/artfynd/A 29032-2023 artfynd.xlsx", "A 29032-2023")</f>
        <v/>
      </c>
      <c r="T158">
        <f>HYPERLINK("https://klasma.github.io/Logging_1263/kartor/A 29032-2023 karta.png", "A 29032-2023")</f>
        <v/>
      </c>
      <c r="V158">
        <f>HYPERLINK("https://klasma.github.io/Logging_1263/klagomål/A 29032-2023 FSC-klagomål.docx", "A 29032-2023")</f>
        <v/>
      </c>
      <c r="W158">
        <f>HYPERLINK("https://klasma.github.io/Logging_1263/klagomålsmail/A 29032-2023 FSC-klagomål mail.docx", "A 29032-2023")</f>
        <v/>
      </c>
      <c r="X158">
        <f>HYPERLINK("https://klasma.github.io/Logging_1263/tillsyn/A 29032-2023 tillsynsbegäran.docx", "A 29032-2023")</f>
        <v/>
      </c>
      <c r="Y158">
        <f>HYPERLINK("https://klasma.github.io/Logging_1263/tillsynsmail/A 29032-2023 tillsynsbegäran mail.docx", "A 29032-2023")</f>
        <v/>
      </c>
    </row>
    <row r="159" ht="15" customHeight="1">
      <c r="A159" t="inlineStr">
        <is>
          <t>A 29038-2023</t>
        </is>
      </c>
      <c r="B159" s="1" t="n">
        <v>45104</v>
      </c>
      <c r="C159" s="1" t="n">
        <v>45749</v>
      </c>
      <c r="D159" t="inlineStr">
        <is>
          <t>SKÅNE LÄN</t>
        </is>
      </c>
      <c r="E159" t="inlineStr">
        <is>
          <t>LUND</t>
        </is>
      </c>
      <c r="G159" t="n">
        <v>10.1</v>
      </c>
      <c r="H159" t="n">
        <v>0</v>
      </c>
      <c r="I159" t="n">
        <v>1</v>
      </c>
      <c r="J159" t="n">
        <v>0</v>
      </c>
      <c r="K159" t="n">
        <v>1</v>
      </c>
      <c r="L159" t="n">
        <v>0</v>
      </c>
      <c r="M159" t="n">
        <v>0</v>
      </c>
      <c r="N159" t="n">
        <v>0</v>
      </c>
      <c r="O159" t="n">
        <v>1</v>
      </c>
      <c r="P159" t="n">
        <v>1</v>
      </c>
      <c r="Q159" t="n">
        <v>2</v>
      </c>
      <c r="R159" s="2" t="inlineStr">
        <is>
          <t>Revig blodrot
Skogsbräsma</t>
        </is>
      </c>
      <c r="S159">
        <f>HYPERLINK("https://klasma.github.io/Logging_1281/artfynd/A 29038-2023 artfynd.xlsx", "A 29038-2023")</f>
        <v/>
      </c>
      <c r="T159">
        <f>HYPERLINK("https://klasma.github.io/Logging_1281/kartor/A 29038-2023 karta.png", "A 29038-2023")</f>
        <v/>
      </c>
      <c r="V159">
        <f>HYPERLINK("https://klasma.github.io/Logging_1281/klagomål/A 29038-2023 FSC-klagomål.docx", "A 29038-2023")</f>
        <v/>
      </c>
      <c r="W159">
        <f>HYPERLINK("https://klasma.github.io/Logging_1281/klagomålsmail/A 29038-2023 FSC-klagomål mail.docx", "A 29038-2023")</f>
        <v/>
      </c>
      <c r="X159">
        <f>HYPERLINK("https://klasma.github.io/Logging_1281/tillsyn/A 29038-2023 tillsynsbegäran.docx", "A 29038-2023")</f>
        <v/>
      </c>
      <c r="Y159">
        <f>HYPERLINK("https://klasma.github.io/Logging_1281/tillsynsmail/A 29038-2023 tillsynsbegäran mail.docx", "A 29038-2023")</f>
        <v/>
      </c>
    </row>
    <row r="160" ht="15" customHeight="1">
      <c r="A160" t="inlineStr">
        <is>
          <t>A 29157-2023</t>
        </is>
      </c>
      <c r="B160" s="1" t="n">
        <v>45105</v>
      </c>
      <c r="C160" s="1" t="n">
        <v>45749</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45749</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33364-2023</t>
        </is>
      </c>
      <c r="B162" s="1" t="n">
        <v>45128</v>
      </c>
      <c r="C162" s="1" t="n">
        <v>45749</v>
      </c>
      <c r="D162" t="inlineStr">
        <is>
          <t>SKÅNE LÄN</t>
        </is>
      </c>
      <c r="E162" t="inlineStr">
        <is>
          <t>KRISTIANSTAD</t>
        </is>
      </c>
      <c r="G162" t="n">
        <v>4.9</v>
      </c>
      <c r="H162" t="n">
        <v>1</v>
      </c>
      <c r="I162" t="n">
        <v>1</v>
      </c>
      <c r="J162" t="n">
        <v>0</v>
      </c>
      <c r="K162" t="n">
        <v>0</v>
      </c>
      <c r="L162" t="n">
        <v>0</v>
      </c>
      <c r="M162" t="n">
        <v>0</v>
      </c>
      <c r="N162" t="n">
        <v>0</v>
      </c>
      <c r="O162" t="n">
        <v>0</v>
      </c>
      <c r="P162" t="n">
        <v>0</v>
      </c>
      <c r="Q162" t="n">
        <v>2</v>
      </c>
      <c r="R162" s="2" t="inlineStr">
        <is>
          <t>Västlig hakmossa
Större vattensalamander</t>
        </is>
      </c>
      <c r="S162">
        <f>HYPERLINK("https://klasma.github.io/Logging_1290/artfynd/A 33364-2023 artfynd.xlsx", "A 33364-2023")</f>
        <v/>
      </c>
      <c r="T162">
        <f>HYPERLINK("https://klasma.github.io/Logging_1290/kartor/A 33364-2023 karta.png", "A 33364-2023")</f>
        <v/>
      </c>
      <c r="V162">
        <f>HYPERLINK("https://klasma.github.io/Logging_1290/klagomål/A 33364-2023 FSC-klagomål.docx", "A 33364-2023")</f>
        <v/>
      </c>
      <c r="W162">
        <f>HYPERLINK("https://klasma.github.io/Logging_1290/klagomålsmail/A 33364-2023 FSC-klagomål mail.docx", "A 33364-2023")</f>
        <v/>
      </c>
      <c r="X162">
        <f>HYPERLINK("https://klasma.github.io/Logging_1290/tillsyn/A 33364-2023 tillsynsbegäran.docx", "A 33364-2023")</f>
        <v/>
      </c>
      <c r="Y162">
        <f>HYPERLINK("https://klasma.github.io/Logging_1290/tillsynsmail/A 33364-2023 tillsynsbegäran mail.docx", "A 33364-2023")</f>
        <v/>
      </c>
    </row>
    <row r="163" ht="15" customHeight="1">
      <c r="A163" t="inlineStr">
        <is>
          <t>A 44585-2023</t>
        </is>
      </c>
      <c r="B163" s="1" t="n">
        <v>45189</v>
      </c>
      <c r="C163" s="1" t="n">
        <v>45749</v>
      </c>
      <c r="D163" t="inlineStr">
        <is>
          <t>SKÅNE LÄN</t>
        </is>
      </c>
      <c r="E163" t="inlineStr">
        <is>
          <t>KRISTIANSTAD</t>
        </is>
      </c>
      <c r="G163" t="n">
        <v>1.4</v>
      </c>
      <c r="H163" t="n">
        <v>1</v>
      </c>
      <c r="I163" t="n">
        <v>1</v>
      </c>
      <c r="J163" t="n">
        <v>0</v>
      </c>
      <c r="K163" t="n">
        <v>0</v>
      </c>
      <c r="L163" t="n">
        <v>0</v>
      </c>
      <c r="M163" t="n">
        <v>0</v>
      </c>
      <c r="N163" t="n">
        <v>0</v>
      </c>
      <c r="O163" t="n">
        <v>0</v>
      </c>
      <c r="P163" t="n">
        <v>0</v>
      </c>
      <c r="Q163" t="n">
        <v>2</v>
      </c>
      <c r="R163" s="2" t="inlineStr">
        <is>
          <t>Piskbaronmossa
Kopparödla</t>
        </is>
      </c>
      <c r="S163">
        <f>HYPERLINK("https://klasma.github.io/Logging_1290/artfynd/A 44585-2023 artfynd.xlsx", "A 44585-2023")</f>
        <v/>
      </c>
      <c r="T163">
        <f>HYPERLINK("https://klasma.github.io/Logging_1290/kartor/A 44585-2023 karta.png", "A 44585-2023")</f>
        <v/>
      </c>
      <c r="V163">
        <f>HYPERLINK("https://klasma.github.io/Logging_1290/klagomål/A 44585-2023 FSC-klagomål.docx", "A 44585-2023")</f>
        <v/>
      </c>
      <c r="W163">
        <f>HYPERLINK("https://klasma.github.io/Logging_1290/klagomålsmail/A 44585-2023 FSC-klagomål mail.docx", "A 44585-2023")</f>
        <v/>
      </c>
      <c r="X163">
        <f>HYPERLINK("https://klasma.github.io/Logging_1290/tillsyn/A 44585-2023 tillsynsbegäran.docx", "A 44585-2023")</f>
        <v/>
      </c>
      <c r="Y163">
        <f>HYPERLINK("https://klasma.github.io/Logging_1290/tillsynsmail/A 44585-2023 tillsynsbegäran mail.docx", "A 44585-2023")</f>
        <v/>
      </c>
    </row>
    <row r="164" ht="15" customHeight="1">
      <c r="A164" t="inlineStr">
        <is>
          <t>A 53486-2023</t>
        </is>
      </c>
      <c r="B164" s="1" t="n">
        <v>45230</v>
      </c>
      <c r="C164" s="1" t="n">
        <v>45749</v>
      </c>
      <c r="D164" t="inlineStr">
        <is>
          <t>SKÅNE LÄN</t>
        </is>
      </c>
      <c r="E164" t="inlineStr">
        <is>
          <t>KÄVLINGE</t>
        </is>
      </c>
      <c r="G164" t="n">
        <v>1.2</v>
      </c>
      <c r="H164" t="n">
        <v>1</v>
      </c>
      <c r="I164" t="n">
        <v>0</v>
      </c>
      <c r="J164" t="n">
        <v>1</v>
      </c>
      <c r="K164" t="n">
        <v>1</v>
      </c>
      <c r="L164" t="n">
        <v>0</v>
      </c>
      <c r="M164" t="n">
        <v>0</v>
      </c>
      <c r="N164" t="n">
        <v>0</v>
      </c>
      <c r="O164" t="n">
        <v>2</v>
      </c>
      <c r="P164" t="n">
        <v>1</v>
      </c>
      <c r="Q164" t="n">
        <v>2</v>
      </c>
      <c r="R164" s="2" t="inlineStr">
        <is>
          <t>Hedblomster
Backtimjan</t>
        </is>
      </c>
      <c r="S164">
        <f>HYPERLINK("https://klasma.github.io/Logging_1261/artfynd/A 53486-2023 artfynd.xlsx", "A 53486-2023")</f>
        <v/>
      </c>
      <c r="T164">
        <f>HYPERLINK("https://klasma.github.io/Logging_1261/kartor/A 53486-2023 karta.png", "A 53486-2023")</f>
        <v/>
      </c>
      <c r="V164">
        <f>HYPERLINK("https://klasma.github.io/Logging_1261/klagomål/A 53486-2023 FSC-klagomål.docx", "A 53486-2023")</f>
        <v/>
      </c>
      <c r="W164">
        <f>HYPERLINK("https://klasma.github.io/Logging_1261/klagomålsmail/A 53486-2023 FSC-klagomål mail.docx", "A 53486-2023")</f>
        <v/>
      </c>
      <c r="X164">
        <f>HYPERLINK("https://klasma.github.io/Logging_1261/tillsyn/A 53486-2023 tillsynsbegäran.docx", "A 53486-2023")</f>
        <v/>
      </c>
      <c r="Y164">
        <f>HYPERLINK("https://klasma.github.io/Logging_1261/tillsynsmail/A 53486-2023 tillsynsbegäran mail.docx", "A 53486-2023")</f>
        <v/>
      </c>
    </row>
    <row r="165" ht="15" customHeight="1">
      <c r="A165" t="inlineStr">
        <is>
          <t>A 58481-2023</t>
        </is>
      </c>
      <c r="B165" s="1" t="n">
        <v>45251</v>
      </c>
      <c r="C165" s="1" t="n">
        <v>45749</v>
      </c>
      <c r="D165" t="inlineStr">
        <is>
          <t>SKÅNE LÄN</t>
        </is>
      </c>
      <c r="E165" t="inlineStr">
        <is>
          <t>SVALÖV</t>
        </is>
      </c>
      <c r="G165" t="n">
        <v>8.1</v>
      </c>
      <c r="H165" t="n">
        <v>0</v>
      </c>
      <c r="I165" t="n">
        <v>2</v>
      </c>
      <c r="J165" t="n">
        <v>0</v>
      </c>
      <c r="K165" t="n">
        <v>0</v>
      </c>
      <c r="L165" t="n">
        <v>0</v>
      </c>
      <c r="M165" t="n">
        <v>0</v>
      </c>
      <c r="N165" t="n">
        <v>0</v>
      </c>
      <c r="O165" t="n">
        <v>0</v>
      </c>
      <c r="P165" t="n">
        <v>0</v>
      </c>
      <c r="Q165" t="n">
        <v>2</v>
      </c>
      <c r="R165" s="2" t="inlineStr">
        <is>
          <t>Springkorn
Stor häxört</t>
        </is>
      </c>
      <c r="S165">
        <f>HYPERLINK("https://klasma.github.io/Logging_1214/artfynd/A 58481-2023 artfynd.xlsx", "A 58481-2023")</f>
        <v/>
      </c>
      <c r="T165">
        <f>HYPERLINK("https://klasma.github.io/Logging_1214/kartor/A 58481-2023 karta.png", "A 58481-2023")</f>
        <v/>
      </c>
      <c r="V165">
        <f>HYPERLINK("https://klasma.github.io/Logging_1214/klagomål/A 58481-2023 FSC-klagomål.docx", "A 58481-2023")</f>
        <v/>
      </c>
      <c r="W165">
        <f>HYPERLINK("https://klasma.github.io/Logging_1214/klagomålsmail/A 58481-2023 FSC-klagomål mail.docx", "A 58481-2023")</f>
        <v/>
      </c>
      <c r="X165">
        <f>HYPERLINK("https://klasma.github.io/Logging_1214/tillsyn/A 58481-2023 tillsynsbegäran.docx", "A 58481-2023")</f>
        <v/>
      </c>
      <c r="Y165">
        <f>HYPERLINK("https://klasma.github.io/Logging_1214/tillsynsmail/A 58481-2023 tillsynsbegäran mail.docx", "A 58481-2023")</f>
        <v/>
      </c>
    </row>
    <row r="166" ht="15" customHeight="1">
      <c r="A166" t="inlineStr">
        <is>
          <t>A 63560-2023</t>
        </is>
      </c>
      <c r="B166" s="1" t="n">
        <v>45274</v>
      </c>
      <c r="C166" s="1" t="n">
        <v>45749</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1415-2024</t>
        </is>
      </c>
      <c r="B167" s="1" t="n">
        <v>45303</v>
      </c>
      <c r="C167" s="1" t="n">
        <v>45749</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45749</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8188-2024</t>
        </is>
      </c>
      <c r="B169" s="1" t="n">
        <v>45338</v>
      </c>
      <c r="C169" s="1" t="n">
        <v>45749</v>
      </c>
      <c r="D169" t="inlineStr">
        <is>
          <t>SKÅNE LÄN</t>
        </is>
      </c>
      <c r="E169" t="inlineStr">
        <is>
          <t>TOMELILLA</t>
        </is>
      </c>
      <c r="F169" t="inlineStr">
        <is>
          <t>Kyrkan</t>
        </is>
      </c>
      <c r="G169" t="n">
        <v>4.7</v>
      </c>
      <c r="H169" t="n">
        <v>0</v>
      </c>
      <c r="I169" t="n">
        <v>1</v>
      </c>
      <c r="J169" t="n">
        <v>1</v>
      </c>
      <c r="K169" t="n">
        <v>0</v>
      </c>
      <c r="L169" t="n">
        <v>0</v>
      </c>
      <c r="M169" t="n">
        <v>0</v>
      </c>
      <c r="N169" t="n">
        <v>0</v>
      </c>
      <c r="O169" t="n">
        <v>1</v>
      </c>
      <c r="P169" t="n">
        <v>0</v>
      </c>
      <c r="Q169" t="n">
        <v>2</v>
      </c>
      <c r="R169" s="2" t="inlineStr">
        <is>
          <t>Krusfrö
Kransrams</t>
        </is>
      </c>
      <c r="S169">
        <f>HYPERLINK("https://klasma.github.io/Logging_1270/artfynd/A 8188-2024 artfynd.xlsx", "A 8188-2024")</f>
        <v/>
      </c>
      <c r="T169">
        <f>HYPERLINK("https://klasma.github.io/Logging_1270/kartor/A 8188-2024 karta.png", "A 8188-2024")</f>
        <v/>
      </c>
      <c r="V169">
        <f>HYPERLINK("https://klasma.github.io/Logging_1270/klagomål/A 8188-2024 FSC-klagomål.docx", "A 8188-2024")</f>
        <v/>
      </c>
      <c r="W169">
        <f>HYPERLINK("https://klasma.github.io/Logging_1270/klagomålsmail/A 8188-2024 FSC-klagomål mail.docx", "A 8188-2024")</f>
        <v/>
      </c>
      <c r="X169">
        <f>HYPERLINK("https://klasma.github.io/Logging_1270/tillsyn/A 8188-2024 tillsynsbegäran.docx", "A 8188-2024")</f>
        <v/>
      </c>
      <c r="Y169">
        <f>HYPERLINK("https://klasma.github.io/Logging_1270/tillsynsmail/A 8188-2024 tillsynsbegäran mail.docx", "A 8188-2024")</f>
        <v/>
      </c>
    </row>
    <row r="170" ht="15" customHeight="1">
      <c r="A170" t="inlineStr">
        <is>
          <t>A 10017-2024</t>
        </is>
      </c>
      <c r="B170" s="1" t="n">
        <v>45363</v>
      </c>
      <c r="C170" s="1" t="n">
        <v>45749</v>
      </c>
      <c r="D170" t="inlineStr">
        <is>
          <t>SKÅNE LÄN</t>
        </is>
      </c>
      <c r="E170" t="inlineStr">
        <is>
          <t>KRISTIANSTAD</t>
        </is>
      </c>
      <c r="G170" t="n">
        <v>4.5</v>
      </c>
      <c r="H170" t="n">
        <v>0</v>
      </c>
      <c r="I170" t="n">
        <v>1</v>
      </c>
      <c r="J170" t="n">
        <v>0</v>
      </c>
      <c r="K170" t="n">
        <v>0</v>
      </c>
      <c r="L170" t="n">
        <v>1</v>
      </c>
      <c r="M170" t="n">
        <v>0</v>
      </c>
      <c r="N170" t="n">
        <v>0</v>
      </c>
      <c r="O170" t="n">
        <v>1</v>
      </c>
      <c r="P170" t="n">
        <v>1</v>
      </c>
      <c r="Q170" t="n">
        <v>2</v>
      </c>
      <c r="R170" s="2" t="inlineStr">
        <is>
          <t>Ryl
Ögonpyrola</t>
        </is>
      </c>
      <c r="S170">
        <f>HYPERLINK("https://klasma.github.io/Logging_1290/artfynd/A 10017-2024 artfynd.xlsx", "A 10017-2024")</f>
        <v/>
      </c>
      <c r="T170">
        <f>HYPERLINK("https://klasma.github.io/Logging_1290/kartor/A 10017-2024 karta.png", "A 10017-2024")</f>
        <v/>
      </c>
      <c r="V170">
        <f>HYPERLINK("https://klasma.github.io/Logging_1290/klagomål/A 10017-2024 FSC-klagomål.docx", "A 10017-2024")</f>
        <v/>
      </c>
      <c r="W170">
        <f>HYPERLINK("https://klasma.github.io/Logging_1290/klagomålsmail/A 10017-2024 FSC-klagomål mail.docx", "A 10017-2024")</f>
        <v/>
      </c>
      <c r="X170">
        <f>HYPERLINK("https://klasma.github.io/Logging_1290/tillsyn/A 10017-2024 tillsynsbegäran.docx", "A 10017-2024")</f>
        <v/>
      </c>
      <c r="Y170">
        <f>HYPERLINK("https://klasma.github.io/Logging_1290/tillsynsmail/A 10017-2024 tillsynsbegäran mail.docx", "A 10017-2024")</f>
        <v/>
      </c>
    </row>
    <row r="171" ht="15" customHeight="1">
      <c r="A171" t="inlineStr">
        <is>
          <t>A 11648-2024</t>
        </is>
      </c>
      <c r="B171" s="1" t="n">
        <v>45373</v>
      </c>
      <c r="C171" s="1" t="n">
        <v>45749</v>
      </c>
      <c r="D171" t="inlineStr">
        <is>
          <t>SKÅNE LÄN</t>
        </is>
      </c>
      <c r="E171" t="inlineStr">
        <is>
          <t>KÄVLINGE</t>
        </is>
      </c>
      <c r="F171" t="inlineStr">
        <is>
          <t>Övriga Aktiebolag</t>
        </is>
      </c>
      <c r="G171" t="n">
        <v>10.5</v>
      </c>
      <c r="H171" t="n">
        <v>0</v>
      </c>
      <c r="I171" t="n">
        <v>1</v>
      </c>
      <c r="J171" t="n">
        <v>0</v>
      </c>
      <c r="K171" t="n">
        <v>0</v>
      </c>
      <c r="L171" t="n">
        <v>1</v>
      </c>
      <c r="M171" t="n">
        <v>0</v>
      </c>
      <c r="N171" t="n">
        <v>0</v>
      </c>
      <c r="O171" t="n">
        <v>1</v>
      </c>
      <c r="P171" t="n">
        <v>1</v>
      </c>
      <c r="Q171" t="n">
        <v>2</v>
      </c>
      <c r="R171" s="2" t="inlineStr">
        <is>
          <t>Ask
Bokoxe</t>
        </is>
      </c>
      <c r="S171">
        <f>HYPERLINK("https://klasma.github.io/Logging_1261/artfynd/A 11648-2024 artfynd.xlsx", "A 11648-2024")</f>
        <v/>
      </c>
      <c r="T171">
        <f>HYPERLINK("https://klasma.github.io/Logging_1261/kartor/A 11648-2024 karta.png", "A 11648-2024")</f>
        <v/>
      </c>
      <c r="V171">
        <f>HYPERLINK("https://klasma.github.io/Logging_1261/klagomål/A 11648-2024 FSC-klagomål.docx", "A 11648-2024")</f>
        <v/>
      </c>
      <c r="W171">
        <f>HYPERLINK("https://klasma.github.io/Logging_1261/klagomålsmail/A 11648-2024 FSC-klagomål mail.docx", "A 11648-2024")</f>
        <v/>
      </c>
      <c r="X171">
        <f>HYPERLINK("https://klasma.github.io/Logging_1261/tillsyn/A 11648-2024 tillsynsbegäran.docx", "A 11648-2024")</f>
        <v/>
      </c>
      <c r="Y171">
        <f>HYPERLINK("https://klasma.github.io/Logging_1261/tillsynsmail/A 11648-2024 tillsynsbegäran mail.docx", "A 11648-2024")</f>
        <v/>
      </c>
    </row>
    <row r="172" ht="15" customHeight="1">
      <c r="A172" t="inlineStr">
        <is>
          <t>A 15571-2024</t>
        </is>
      </c>
      <c r="B172" s="1" t="n">
        <v>45401</v>
      </c>
      <c r="C172" s="1" t="n">
        <v>45749</v>
      </c>
      <c r="D172" t="inlineStr">
        <is>
          <t>SKÅNE LÄN</t>
        </is>
      </c>
      <c r="E172" t="inlineStr">
        <is>
          <t>SVEDALA</t>
        </is>
      </c>
      <c r="G172" t="n">
        <v>11.1</v>
      </c>
      <c r="H172" t="n">
        <v>0</v>
      </c>
      <c r="I172" t="n">
        <v>1</v>
      </c>
      <c r="J172" t="n">
        <v>1</v>
      </c>
      <c r="K172" t="n">
        <v>0</v>
      </c>
      <c r="L172" t="n">
        <v>0</v>
      </c>
      <c r="M172" t="n">
        <v>0</v>
      </c>
      <c r="N172" t="n">
        <v>0</v>
      </c>
      <c r="O172" t="n">
        <v>1</v>
      </c>
      <c r="P172" t="n">
        <v>0</v>
      </c>
      <c r="Q172" t="n">
        <v>2</v>
      </c>
      <c r="R172" s="2" t="inlineStr">
        <is>
          <t>Oxtungssvamp
Guldlockmossa</t>
        </is>
      </c>
      <c r="S172">
        <f>HYPERLINK("https://klasma.github.io/Logging_1263/artfynd/A 15571-2024 artfynd.xlsx", "A 15571-2024")</f>
        <v/>
      </c>
      <c r="T172">
        <f>HYPERLINK("https://klasma.github.io/Logging_1263/kartor/A 15571-2024 karta.png", "A 15571-2024")</f>
        <v/>
      </c>
      <c r="V172">
        <f>HYPERLINK("https://klasma.github.io/Logging_1263/klagomål/A 15571-2024 FSC-klagomål.docx", "A 15571-2024")</f>
        <v/>
      </c>
      <c r="W172">
        <f>HYPERLINK("https://klasma.github.io/Logging_1263/klagomålsmail/A 15571-2024 FSC-klagomål mail.docx", "A 15571-2024")</f>
        <v/>
      </c>
      <c r="X172">
        <f>HYPERLINK("https://klasma.github.io/Logging_1263/tillsyn/A 15571-2024 tillsynsbegäran.docx", "A 15571-2024")</f>
        <v/>
      </c>
      <c r="Y172">
        <f>HYPERLINK("https://klasma.github.io/Logging_1263/tillsynsmail/A 15571-2024 tillsynsbegäran mail.docx", "A 15571-2024")</f>
        <v/>
      </c>
    </row>
    <row r="173" ht="15" customHeight="1">
      <c r="A173" t="inlineStr">
        <is>
          <t>A 16122-2024</t>
        </is>
      </c>
      <c r="B173" s="1" t="n">
        <v>45406</v>
      </c>
      <c r="C173" s="1" t="n">
        <v>45749</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20987-2024</t>
        </is>
      </c>
      <c r="B174" s="1" t="n">
        <v>45439</v>
      </c>
      <c r="C174" s="1" t="n">
        <v>45749</v>
      </c>
      <c r="D174" t="inlineStr">
        <is>
          <t>SKÅNE LÄN</t>
        </is>
      </c>
      <c r="E174" t="inlineStr">
        <is>
          <t>HÖÖR</t>
        </is>
      </c>
      <c r="G174" t="n">
        <v>5</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HYPERLINK("https://klasma.github.io/Logging_1267/artfynd/A 20987-2024 artfynd.xlsx", "A 20987-2024")</f>
        <v/>
      </c>
      <c r="T174">
        <f>HYPERLINK("https://klasma.github.io/Logging_1267/kartor/A 20987-2024 karta.png", "A 20987-2024")</f>
        <v/>
      </c>
      <c r="V174">
        <f>HYPERLINK("https://klasma.github.io/Logging_1267/klagomål/A 20987-2024 FSC-klagomål.docx", "A 20987-2024")</f>
        <v/>
      </c>
      <c r="W174">
        <f>HYPERLINK("https://klasma.github.io/Logging_1267/klagomålsmail/A 20987-2024 FSC-klagomål mail.docx", "A 20987-2024")</f>
        <v/>
      </c>
      <c r="X174">
        <f>HYPERLINK("https://klasma.github.io/Logging_1267/tillsyn/A 20987-2024 tillsynsbegäran.docx", "A 20987-2024")</f>
        <v/>
      </c>
      <c r="Y174">
        <f>HYPERLINK("https://klasma.github.io/Logging_1267/tillsynsmail/A 20987-2024 tillsynsbegäran mail.docx", "A 20987-2024")</f>
        <v/>
      </c>
      <c r="Z174">
        <f>HYPERLINK("https://klasma.github.io/Logging_1267/fåglar/A 20987-2024 prioriterade fågelarter.docx", "A 20987-2024")</f>
        <v/>
      </c>
    </row>
    <row r="175" ht="15" customHeight="1">
      <c r="A175" t="inlineStr">
        <is>
          <t>A 20975-2024</t>
        </is>
      </c>
      <c r="B175" s="1" t="n">
        <v>45439</v>
      </c>
      <c r="C175" s="1" t="n">
        <v>45749</v>
      </c>
      <c r="D175" t="inlineStr">
        <is>
          <t>SKÅNE LÄN</t>
        </is>
      </c>
      <c r="E175" t="inlineStr">
        <is>
          <t>HÖÖR</t>
        </is>
      </c>
      <c r="G175" t="n">
        <v>2</v>
      </c>
      <c r="H175" t="n">
        <v>0</v>
      </c>
      <c r="I175" t="n">
        <v>2</v>
      </c>
      <c r="J175" t="n">
        <v>0</v>
      </c>
      <c r="K175" t="n">
        <v>0</v>
      </c>
      <c r="L175" t="n">
        <v>0</v>
      </c>
      <c r="M175" t="n">
        <v>0</v>
      </c>
      <c r="N175" t="n">
        <v>0</v>
      </c>
      <c r="O175" t="n">
        <v>0</v>
      </c>
      <c r="P175" t="n">
        <v>0</v>
      </c>
      <c r="Q175" t="n">
        <v>2</v>
      </c>
      <c r="R175" s="2" t="inlineStr">
        <is>
          <t>Dvärghäxört
Västlig hakmossa</t>
        </is>
      </c>
      <c r="S175">
        <f>HYPERLINK("https://klasma.github.io/Logging_1267/artfynd/A 20975-2024 artfynd.xlsx", "A 20975-2024")</f>
        <v/>
      </c>
      <c r="T175">
        <f>HYPERLINK("https://klasma.github.io/Logging_1267/kartor/A 20975-2024 karta.png", "A 20975-2024")</f>
        <v/>
      </c>
      <c r="V175">
        <f>HYPERLINK("https://klasma.github.io/Logging_1267/klagomål/A 20975-2024 FSC-klagomål.docx", "A 20975-2024")</f>
        <v/>
      </c>
      <c r="W175">
        <f>HYPERLINK("https://klasma.github.io/Logging_1267/klagomålsmail/A 20975-2024 FSC-klagomål mail.docx", "A 20975-2024")</f>
        <v/>
      </c>
      <c r="X175">
        <f>HYPERLINK("https://klasma.github.io/Logging_1267/tillsyn/A 20975-2024 tillsynsbegäran.docx", "A 20975-2024")</f>
        <v/>
      </c>
      <c r="Y175">
        <f>HYPERLINK("https://klasma.github.io/Logging_1267/tillsynsmail/A 20975-2024 tillsynsbegäran mail.docx", "A 20975-2024")</f>
        <v/>
      </c>
    </row>
    <row r="176" ht="15" customHeight="1">
      <c r="A176" t="inlineStr">
        <is>
          <t>A 22776-2024</t>
        </is>
      </c>
      <c r="B176" s="1" t="n">
        <v>45448</v>
      </c>
      <c r="C176" s="1" t="n">
        <v>45749</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25058-2024</t>
        </is>
      </c>
      <c r="B177" s="1" t="n">
        <v>45462</v>
      </c>
      <c r="C177" s="1" t="n">
        <v>45749</v>
      </c>
      <c r="D177" t="inlineStr">
        <is>
          <t>SKÅNE LÄN</t>
        </is>
      </c>
      <c r="E177" t="inlineStr">
        <is>
          <t>KRISTIANSTAD</t>
        </is>
      </c>
      <c r="G177" t="n">
        <v>5.2</v>
      </c>
      <c r="H177" t="n">
        <v>1</v>
      </c>
      <c r="I177" t="n">
        <v>1</v>
      </c>
      <c r="J177" t="n">
        <v>0</v>
      </c>
      <c r="K177" t="n">
        <v>0</v>
      </c>
      <c r="L177" t="n">
        <v>0</v>
      </c>
      <c r="M177" t="n">
        <v>0</v>
      </c>
      <c r="N177" t="n">
        <v>0</v>
      </c>
      <c r="O177" t="n">
        <v>0</v>
      </c>
      <c r="P177" t="n">
        <v>0</v>
      </c>
      <c r="Q177" t="n">
        <v>2</v>
      </c>
      <c r="R177" s="2" t="inlineStr">
        <is>
          <t>Lundvårlök
Grönvit nattviol</t>
        </is>
      </c>
      <c r="S177">
        <f>HYPERLINK("https://klasma.github.io/Logging_1290/artfynd/A 25058-2024 artfynd.xlsx", "A 25058-2024")</f>
        <v/>
      </c>
      <c r="T177">
        <f>HYPERLINK("https://klasma.github.io/Logging_1290/kartor/A 25058-2024 karta.png", "A 25058-2024")</f>
        <v/>
      </c>
      <c r="V177">
        <f>HYPERLINK("https://klasma.github.io/Logging_1290/klagomål/A 25058-2024 FSC-klagomål.docx", "A 25058-2024")</f>
        <v/>
      </c>
      <c r="W177">
        <f>HYPERLINK("https://klasma.github.io/Logging_1290/klagomålsmail/A 25058-2024 FSC-klagomål mail.docx", "A 25058-2024")</f>
        <v/>
      </c>
      <c r="X177">
        <f>HYPERLINK("https://klasma.github.io/Logging_1290/tillsyn/A 25058-2024 tillsynsbegäran.docx", "A 25058-2024")</f>
        <v/>
      </c>
      <c r="Y177">
        <f>HYPERLINK("https://klasma.github.io/Logging_1290/tillsynsmail/A 25058-2024 tillsynsbegäran mail.docx", "A 25058-2024")</f>
        <v/>
      </c>
    </row>
    <row r="178" ht="15" customHeight="1">
      <c r="A178" t="inlineStr">
        <is>
          <t>A 26488-2024</t>
        </is>
      </c>
      <c r="B178" s="1" t="n">
        <v>45469</v>
      </c>
      <c r="C178" s="1" t="n">
        <v>45749</v>
      </c>
      <c r="D178" t="inlineStr">
        <is>
          <t>SKÅNE LÄN</t>
        </is>
      </c>
      <c r="E178" t="inlineStr">
        <is>
          <t>SJÖBO</t>
        </is>
      </c>
      <c r="G178" t="n">
        <v>8.1</v>
      </c>
      <c r="H178" t="n">
        <v>1</v>
      </c>
      <c r="I178" t="n">
        <v>0</v>
      </c>
      <c r="J178" t="n">
        <v>1</v>
      </c>
      <c r="K178" t="n">
        <v>0</v>
      </c>
      <c r="L178" t="n">
        <v>0</v>
      </c>
      <c r="M178" t="n">
        <v>0</v>
      </c>
      <c r="N178" t="n">
        <v>0</v>
      </c>
      <c r="O178" t="n">
        <v>1</v>
      </c>
      <c r="P178" t="n">
        <v>0</v>
      </c>
      <c r="Q178" t="n">
        <v>2</v>
      </c>
      <c r="R178" s="2" t="inlineStr">
        <is>
          <t>Triplax rufipes
Vanlig groda</t>
        </is>
      </c>
      <c r="S178">
        <f>HYPERLINK("https://klasma.github.io/Logging_1265/artfynd/A 26488-2024 artfynd.xlsx", "A 26488-2024")</f>
        <v/>
      </c>
      <c r="T178">
        <f>HYPERLINK("https://klasma.github.io/Logging_1265/kartor/A 26488-2024 karta.png", "A 26488-2024")</f>
        <v/>
      </c>
      <c r="V178">
        <f>HYPERLINK("https://klasma.github.io/Logging_1265/klagomål/A 26488-2024 FSC-klagomål.docx", "A 26488-2024")</f>
        <v/>
      </c>
      <c r="W178">
        <f>HYPERLINK("https://klasma.github.io/Logging_1265/klagomålsmail/A 26488-2024 FSC-klagomål mail.docx", "A 26488-2024")</f>
        <v/>
      </c>
      <c r="X178">
        <f>HYPERLINK("https://klasma.github.io/Logging_1265/tillsyn/A 26488-2024 tillsynsbegäran.docx", "A 26488-2024")</f>
        <v/>
      </c>
      <c r="Y178">
        <f>HYPERLINK("https://klasma.github.io/Logging_1265/tillsynsmail/A 26488-2024 tillsynsbegäran mail.docx", "A 26488-2024")</f>
        <v/>
      </c>
    </row>
    <row r="179" ht="15" customHeight="1">
      <c r="A179" t="inlineStr">
        <is>
          <t>A 30246-2024</t>
        </is>
      </c>
      <c r="B179" s="1" t="n">
        <v>45490</v>
      </c>
      <c r="C179" s="1" t="n">
        <v>45749</v>
      </c>
      <c r="D179" t="inlineStr">
        <is>
          <t>SKÅNE LÄN</t>
        </is>
      </c>
      <c r="E179" t="inlineStr">
        <is>
          <t>KRISTIANSTAD</t>
        </is>
      </c>
      <c r="G179" t="n">
        <v>8.699999999999999</v>
      </c>
      <c r="H179" t="n">
        <v>1</v>
      </c>
      <c r="I179" t="n">
        <v>0</v>
      </c>
      <c r="J179" t="n">
        <v>2</v>
      </c>
      <c r="K179" t="n">
        <v>0</v>
      </c>
      <c r="L179" t="n">
        <v>0</v>
      </c>
      <c r="M179" t="n">
        <v>0</v>
      </c>
      <c r="N179" t="n">
        <v>0</v>
      </c>
      <c r="O179" t="n">
        <v>2</v>
      </c>
      <c r="P179" t="n">
        <v>0</v>
      </c>
      <c r="Q179" t="n">
        <v>2</v>
      </c>
      <c r="R179" s="2" t="inlineStr">
        <is>
          <t>Desmeknopp
Spillkråka</t>
        </is>
      </c>
      <c r="S179">
        <f>HYPERLINK("https://klasma.github.io/Logging_1290/artfynd/A 30246-2024 artfynd.xlsx", "A 30246-2024")</f>
        <v/>
      </c>
      <c r="T179">
        <f>HYPERLINK("https://klasma.github.io/Logging_1290/kartor/A 30246-2024 karta.png", "A 30246-2024")</f>
        <v/>
      </c>
      <c r="V179">
        <f>HYPERLINK("https://klasma.github.io/Logging_1290/klagomål/A 30246-2024 FSC-klagomål.docx", "A 30246-2024")</f>
        <v/>
      </c>
      <c r="W179">
        <f>HYPERLINK("https://klasma.github.io/Logging_1290/klagomålsmail/A 30246-2024 FSC-klagomål mail.docx", "A 30246-2024")</f>
        <v/>
      </c>
      <c r="X179">
        <f>HYPERLINK("https://klasma.github.io/Logging_1290/tillsyn/A 30246-2024 tillsynsbegäran.docx", "A 30246-2024")</f>
        <v/>
      </c>
      <c r="Y179">
        <f>HYPERLINK("https://klasma.github.io/Logging_1290/tillsynsmail/A 30246-2024 tillsynsbegäran mail.docx", "A 30246-2024")</f>
        <v/>
      </c>
      <c r="Z179">
        <f>HYPERLINK("https://klasma.github.io/Logging_1290/fåglar/A 30246-2024 prioriterade fågelarter.docx", "A 30246-2024")</f>
        <v/>
      </c>
    </row>
    <row r="180" ht="15" customHeight="1">
      <c r="A180" t="inlineStr">
        <is>
          <t>A 31923-2024</t>
        </is>
      </c>
      <c r="B180" s="1" t="n">
        <v>45510</v>
      </c>
      <c r="C180" s="1" t="n">
        <v>45749</v>
      </c>
      <c r="D180" t="inlineStr">
        <is>
          <t>SKÅNE LÄN</t>
        </is>
      </c>
      <c r="E180" t="inlineStr">
        <is>
          <t>ÖRKELLJUNGA</t>
        </is>
      </c>
      <c r="G180" t="n">
        <v>3.3</v>
      </c>
      <c r="H180" t="n">
        <v>0</v>
      </c>
      <c r="I180" t="n">
        <v>2</v>
      </c>
      <c r="J180" t="n">
        <v>0</v>
      </c>
      <c r="K180" t="n">
        <v>0</v>
      </c>
      <c r="L180" t="n">
        <v>0</v>
      </c>
      <c r="M180" t="n">
        <v>0</v>
      </c>
      <c r="N180" t="n">
        <v>0</v>
      </c>
      <c r="O180" t="n">
        <v>0</v>
      </c>
      <c r="P180" t="n">
        <v>0</v>
      </c>
      <c r="Q180" t="n">
        <v>2</v>
      </c>
      <c r="R180" s="2" t="inlineStr">
        <is>
          <t>Havstulpanlav
Västlig hakmossa</t>
        </is>
      </c>
      <c r="S180">
        <f>HYPERLINK("https://klasma.github.io/Logging_1257/artfynd/A 31923-2024 artfynd.xlsx", "A 31923-2024")</f>
        <v/>
      </c>
      <c r="T180">
        <f>HYPERLINK("https://klasma.github.io/Logging_1257/kartor/A 31923-2024 karta.png", "A 31923-2024")</f>
        <v/>
      </c>
      <c r="V180">
        <f>HYPERLINK("https://klasma.github.io/Logging_1257/klagomål/A 31923-2024 FSC-klagomål.docx", "A 31923-2024")</f>
        <v/>
      </c>
      <c r="W180">
        <f>HYPERLINK("https://klasma.github.io/Logging_1257/klagomålsmail/A 31923-2024 FSC-klagomål mail.docx", "A 31923-2024")</f>
        <v/>
      </c>
      <c r="X180">
        <f>HYPERLINK("https://klasma.github.io/Logging_1257/tillsyn/A 31923-2024 tillsynsbegäran.docx", "A 31923-2024")</f>
        <v/>
      </c>
      <c r="Y180">
        <f>HYPERLINK("https://klasma.github.io/Logging_1257/tillsynsmail/A 31923-2024 tillsynsbegäran mail.docx", "A 31923-2024")</f>
        <v/>
      </c>
    </row>
    <row r="181" ht="15" customHeight="1">
      <c r="A181" t="inlineStr">
        <is>
          <t>A 37585-2024</t>
        </is>
      </c>
      <c r="B181" s="1" t="n">
        <v>45541</v>
      </c>
      <c r="C181" s="1" t="n">
        <v>45749</v>
      </c>
      <c r="D181" t="inlineStr">
        <is>
          <t>SKÅNE LÄN</t>
        </is>
      </c>
      <c r="E181" t="inlineStr">
        <is>
          <t>ÖSTRA GÖINGE</t>
        </is>
      </c>
      <c r="G181" t="n">
        <v>22.7</v>
      </c>
      <c r="H181" t="n">
        <v>1</v>
      </c>
      <c r="I181" t="n">
        <v>0</v>
      </c>
      <c r="J181" t="n">
        <v>1</v>
      </c>
      <c r="K181" t="n">
        <v>0</v>
      </c>
      <c r="L181" t="n">
        <v>0</v>
      </c>
      <c r="M181" t="n">
        <v>0</v>
      </c>
      <c r="N181" t="n">
        <v>0</v>
      </c>
      <c r="O181" t="n">
        <v>1</v>
      </c>
      <c r="P181" t="n">
        <v>0</v>
      </c>
      <c r="Q181" t="n">
        <v>2</v>
      </c>
      <c r="R181" s="2" t="inlineStr">
        <is>
          <t>Gullklöver
Fläcknycklar</t>
        </is>
      </c>
      <c r="S181">
        <f>HYPERLINK("https://klasma.github.io/Logging_1256/artfynd/A 37585-2024 artfynd.xlsx", "A 37585-2024")</f>
        <v/>
      </c>
      <c r="T181">
        <f>HYPERLINK("https://klasma.github.io/Logging_1256/kartor/A 37585-2024 karta.png", "A 37585-2024")</f>
        <v/>
      </c>
      <c r="V181">
        <f>HYPERLINK("https://klasma.github.io/Logging_1256/klagomål/A 37585-2024 FSC-klagomål.docx", "A 37585-2024")</f>
        <v/>
      </c>
      <c r="W181">
        <f>HYPERLINK("https://klasma.github.io/Logging_1256/klagomålsmail/A 37585-2024 FSC-klagomål mail.docx", "A 37585-2024")</f>
        <v/>
      </c>
      <c r="X181">
        <f>HYPERLINK("https://klasma.github.io/Logging_1256/tillsyn/A 37585-2024 tillsynsbegäran.docx", "A 37585-2024")</f>
        <v/>
      </c>
      <c r="Y181">
        <f>HYPERLINK("https://klasma.github.io/Logging_1256/tillsynsmail/A 37585-2024 tillsynsbegäran mail.docx", "A 37585-2024")</f>
        <v/>
      </c>
    </row>
    <row r="182" ht="15" customHeight="1">
      <c r="A182" t="inlineStr">
        <is>
          <t>A 37966-2024</t>
        </is>
      </c>
      <c r="B182" s="1" t="n">
        <v>45544</v>
      </c>
      <c r="C182" s="1" t="n">
        <v>45749</v>
      </c>
      <c r="D182" t="inlineStr">
        <is>
          <t>SKÅNE LÄN</t>
        </is>
      </c>
      <c r="E182" t="inlineStr">
        <is>
          <t>KLIPPAN</t>
        </is>
      </c>
      <c r="G182" t="n">
        <v>2.7</v>
      </c>
      <c r="H182" t="n">
        <v>2</v>
      </c>
      <c r="I182" t="n">
        <v>0</v>
      </c>
      <c r="J182" t="n">
        <v>0</v>
      </c>
      <c r="K182" t="n">
        <v>0</v>
      </c>
      <c r="L182" t="n">
        <v>0</v>
      </c>
      <c r="M182" t="n">
        <v>0</v>
      </c>
      <c r="N182" t="n">
        <v>0</v>
      </c>
      <c r="O182" t="n">
        <v>0</v>
      </c>
      <c r="P182" t="n">
        <v>0</v>
      </c>
      <c r="Q182" t="n">
        <v>2</v>
      </c>
      <c r="R182" s="2" t="inlineStr">
        <is>
          <t>Större vattensalamander
Vanlig padda</t>
        </is>
      </c>
      <c r="S182">
        <f>HYPERLINK("https://klasma.github.io/Logging_1276/artfynd/A 37966-2024 artfynd.xlsx", "A 37966-2024")</f>
        <v/>
      </c>
      <c r="T182">
        <f>HYPERLINK("https://klasma.github.io/Logging_1276/kartor/A 37966-2024 karta.png", "A 37966-2024")</f>
        <v/>
      </c>
      <c r="V182">
        <f>HYPERLINK("https://klasma.github.io/Logging_1276/klagomål/A 37966-2024 FSC-klagomål.docx", "A 37966-2024")</f>
        <v/>
      </c>
      <c r="W182">
        <f>HYPERLINK("https://klasma.github.io/Logging_1276/klagomålsmail/A 37966-2024 FSC-klagomål mail.docx", "A 37966-2024")</f>
        <v/>
      </c>
      <c r="X182">
        <f>HYPERLINK("https://klasma.github.io/Logging_1276/tillsyn/A 37966-2024 tillsynsbegäran.docx", "A 37966-2024")</f>
        <v/>
      </c>
      <c r="Y182">
        <f>HYPERLINK("https://klasma.github.io/Logging_1276/tillsynsmail/A 37966-2024 tillsynsbegäran mail.docx", "A 37966-2024")</f>
        <v/>
      </c>
    </row>
    <row r="183" ht="15" customHeight="1">
      <c r="A183" t="inlineStr">
        <is>
          <t>A 39165-2024</t>
        </is>
      </c>
      <c r="B183" s="1" t="n">
        <v>45548</v>
      </c>
      <c r="C183" s="1" t="n">
        <v>45749</v>
      </c>
      <c r="D183" t="inlineStr">
        <is>
          <t>SKÅNE LÄN</t>
        </is>
      </c>
      <c r="E183" t="inlineStr">
        <is>
          <t>SVALÖV</t>
        </is>
      </c>
      <c r="G183" t="n">
        <v>2.9</v>
      </c>
      <c r="H183" t="n">
        <v>0</v>
      </c>
      <c r="I183" t="n">
        <v>0</v>
      </c>
      <c r="J183" t="n">
        <v>0</v>
      </c>
      <c r="K183" t="n">
        <v>0</v>
      </c>
      <c r="L183" t="n">
        <v>1</v>
      </c>
      <c r="M183" t="n">
        <v>1</v>
      </c>
      <c r="N183" t="n">
        <v>0</v>
      </c>
      <c r="O183" t="n">
        <v>2</v>
      </c>
      <c r="P183" t="n">
        <v>2</v>
      </c>
      <c r="Q183" t="n">
        <v>2</v>
      </c>
      <c r="R183" s="2" t="inlineStr">
        <is>
          <t>Skogsalm
Ask</t>
        </is>
      </c>
      <c r="S183">
        <f>HYPERLINK("https://klasma.github.io/Logging_1214/artfynd/A 39165-2024 artfynd.xlsx", "A 39165-2024")</f>
        <v/>
      </c>
      <c r="T183">
        <f>HYPERLINK("https://klasma.github.io/Logging_1214/kartor/A 39165-2024 karta.png", "A 39165-2024")</f>
        <v/>
      </c>
      <c r="V183">
        <f>HYPERLINK("https://klasma.github.io/Logging_1214/klagomål/A 39165-2024 FSC-klagomål.docx", "A 39165-2024")</f>
        <v/>
      </c>
      <c r="W183">
        <f>HYPERLINK("https://klasma.github.io/Logging_1214/klagomålsmail/A 39165-2024 FSC-klagomål mail.docx", "A 39165-2024")</f>
        <v/>
      </c>
      <c r="X183">
        <f>HYPERLINK("https://klasma.github.io/Logging_1214/tillsyn/A 39165-2024 tillsynsbegäran.docx", "A 39165-2024")</f>
        <v/>
      </c>
      <c r="Y183">
        <f>HYPERLINK("https://klasma.github.io/Logging_1214/tillsynsmail/A 39165-2024 tillsynsbegäran mail.docx", "A 39165-2024")</f>
        <v/>
      </c>
    </row>
    <row r="184" ht="15" customHeight="1">
      <c r="A184" t="inlineStr">
        <is>
          <t>A 45911-2024</t>
        </is>
      </c>
      <c r="B184" s="1" t="n">
        <v>45580</v>
      </c>
      <c r="C184" s="1" t="n">
        <v>45749</v>
      </c>
      <c r="D184" t="inlineStr">
        <is>
          <t>SKÅNE LÄN</t>
        </is>
      </c>
      <c r="E184" t="inlineStr">
        <is>
          <t>KRISTIANSTAD</t>
        </is>
      </c>
      <c r="G184" t="n">
        <v>2.2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61064-2024</t>
        </is>
      </c>
      <c r="B185" s="1" t="n">
        <v>45645</v>
      </c>
      <c r="C185" s="1" t="n">
        <v>45749</v>
      </c>
      <c r="D185" t="inlineStr">
        <is>
          <t>SKÅNE LÄN</t>
        </is>
      </c>
      <c r="E185" t="inlineStr">
        <is>
          <t>SVALÖV</t>
        </is>
      </c>
      <c r="G185" t="n">
        <v>5.6</v>
      </c>
      <c r="H185" t="n">
        <v>1</v>
      </c>
      <c r="I185" t="n">
        <v>1</v>
      </c>
      <c r="J185" t="n">
        <v>0</v>
      </c>
      <c r="K185" t="n">
        <v>0</v>
      </c>
      <c r="L185" t="n">
        <v>1</v>
      </c>
      <c r="M185" t="n">
        <v>0</v>
      </c>
      <c r="N185" t="n">
        <v>0</v>
      </c>
      <c r="O185" t="n">
        <v>1</v>
      </c>
      <c r="P185" t="n">
        <v>1</v>
      </c>
      <c r="Q185" t="n">
        <v>2</v>
      </c>
      <c r="R185" s="2" t="inlineStr">
        <is>
          <t>Ask
Skogsknipprot</t>
        </is>
      </c>
      <c r="S185">
        <f>HYPERLINK("https://klasma.github.io/Logging_1214/artfynd/A 61064-2024 artfynd.xlsx", "A 61064-2024")</f>
        <v/>
      </c>
      <c r="T185">
        <f>HYPERLINK("https://klasma.github.io/Logging_1214/kartor/A 61064-2024 karta.png", "A 61064-2024")</f>
        <v/>
      </c>
      <c r="V185">
        <f>HYPERLINK("https://klasma.github.io/Logging_1214/klagomål/A 61064-2024 FSC-klagomål.docx", "A 61064-2024")</f>
        <v/>
      </c>
      <c r="W185">
        <f>HYPERLINK("https://klasma.github.io/Logging_1214/klagomålsmail/A 61064-2024 FSC-klagomål mail.docx", "A 61064-2024")</f>
        <v/>
      </c>
      <c r="X185">
        <f>HYPERLINK("https://klasma.github.io/Logging_1214/tillsyn/A 61064-2024 tillsynsbegäran.docx", "A 61064-2024")</f>
        <v/>
      </c>
      <c r="Y185">
        <f>HYPERLINK("https://klasma.github.io/Logging_1214/tillsynsmail/A 61064-2024 tillsynsbegäran mail.docx", "A 61064-2024")</f>
        <v/>
      </c>
    </row>
    <row r="186" ht="15" customHeight="1">
      <c r="A186" t="inlineStr">
        <is>
          <t>A 419-2025</t>
        </is>
      </c>
      <c r="B186" s="1" t="n">
        <v>45663</v>
      </c>
      <c r="C186" s="1" t="n">
        <v>45749</v>
      </c>
      <c r="D186" t="inlineStr">
        <is>
          <t>SKÅNE LÄN</t>
        </is>
      </c>
      <c r="E186" t="inlineStr">
        <is>
          <t>KRISTIANSTAD</t>
        </is>
      </c>
      <c r="G186" t="n">
        <v>14.5</v>
      </c>
      <c r="H186" t="n">
        <v>1</v>
      </c>
      <c r="I186" t="n">
        <v>1</v>
      </c>
      <c r="J186" t="n">
        <v>0</v>
      </c>
      <c r="K186" t="n">
        <v>0</v>
      </c>
      <c r="L186" t="n">
        <v>0</v>
      </c>
      <c r="M186" t="n">
        <v>0</v>
      </c>
      <c r="N186" t="n">
        <v>0</v>
      </c>
      <c r="O186" t="n">
        <v>0</v>
      </c>
      <c r="P186" t="n">
        <v>0</v>
      </c>
      <c r="Q186" t="n">
        <v>2</v>
      </c>
      <c r="R186" s="2" t="inlineStr">
        <is>
          <t>Murgröna
Vanlig groda</t>
        </is>
      </c>
      <c r="S186">
        <f>HYPERLINK("https://klasma.github.io/Logging_1290/artfynd/A 419-2025 artfynd.xlsx", "A 419-2025")</f>
        <v/>
      </c>
      <c r="T186">
        <f>HYPERLINK("https://klasma.github.io/Logging_1290/kartor/A 419-2025 karta.png", "A 419-2025")</f>
        <v/>
      </c>
      <c r="V186">
        <f>HYPERLINK("https://klasma.github.io/Logging_1290/klagomål/A 419-2025 FSC-klagomål.docx", "A 419-2025")</f>
        <v/>
      </c>
      <c r="W186">
        <f>HYPERLINK("https://klasma.github.io/Logging_1290/klagomålsmail/A 419-2025 FSC-klagomål mail.docx", "A 419-2025")</f>
        <v/>
      </c>
      <c r="X186">
        <f>HYPERLINK("https://klasma.github.io/Logging_1290/tillsyn/A 419-2025 tillsynsbegäran.docx", "A 419-2025")</f>
        <v/>
      </c>
      <c r="Y186">
        <f>HYPERLINK("https://klasma.github.io/Logging_1290/tillsynsmail/A 419-2025 tillsynsbegäran mail.docx", "A 419-2025")</f>
        <v/>
      </c>
    </row>
    <row r="187" ht="15" customHeight="1">
      <c r="A187" t="inlineStr">
        <is>
          <t>A 2194-2025</t>
        </is>
      </c>
      <c r="B187" s="1" t="n">
        <v>45673</v>
      </c>
      <c r="C187" s="1" t="n">
        <v>45749</v>
      </c>
      <c r="D187" t="inlineStr">
        <is>
          <t>SKÅNE LÄN</t>
        </is>
      </c>
      <c r="E187" t="inlineStr">
        <is>
          <t>HÄSSLEHOLM</t>
        </is>
      </c>
      <c r="G187" t="n">
        <v>3.4</v>
      </c>
      <c r="H187" t="n">
        <v>1</v>
      </c>
      <c r="I187" t="n">
        <v>0</v>
      </c>
      <c r="J187" t="n">
        <v>1</v>
      </c>
      <c r="K187" t="n">
        <v>0</v>
      </c>
      <c r="L187" t="n">
        <v>1</v>
      </c>
      <c r="M187" t="n">
        <v>0</v>
      </c>
      <c r="N187" t="n">
        <v>0</v>
      </c>
      <c r="O187" t="n">
        <v>2</v>
      </c>
      <c r="P187" t="n">
        <v>1</v>
      </c>
      <c r="Q187" t="n">
        <v>2</v>
      </c>
      <c r="R187" s="2" t="inlineStr">
        <is>
          <t>Flodpärlmussla
Utter</t>
        </is>
      </c>
      <c r="S187">
        <f>HYPERLINK("https://klasma.github.io/Logging_1293/artfynd/A 2194-2025 artfynd.xlsx", "A 2194-2025")</f>
        <v/>
      </c>
      <c r="T187">
        <f>HYPERLINK("https://klasma.github.io/Logging_1293/kartor/A 2194-2025 karta.png", "A 2194-2025")</f>
        <v/>
      </c>
      <c r="V187">
        <f>HYPERLINK("https://klasma.github.io/Logging_1293/klagomål/A 2194-2025 FSC-klagomål.docx", "A 2194-2025")</f>
        <v/>
      </c>
      <c r="W187">
        <f>HYPERLINK("https://klasma.github.io/Logging_1293/klagomålsmail/A 2194-2025 FSC-klagomål mail.docx", "A 2194-2025")</f>
        <v/>
      </c>
      <c r="X187">
        <f>HYPERLINK("https://klasma.github.io/Logging_1293/tillsyn/A 2194-2025 tillsynsbegäran.docx", "A 2194-2025")</f>
        <v/>
      </c>
      <c r="Y187">
        <f>HYPERLINK("https://klasma.github.io/Logging_1293/tillsynsmail/A 2194-2025 tillsynsbegäran mail.docx", "A 2194-2025")</f>
        <v/>
      </c>
    </row>
    <row r="188" ht="15" customHeight="1">
      <c r="A188" t="inlineStr">
        <is>
          <t>A 4112-2025</t>
        </is>
      </c>
      <c r="B188" s="1" t="n">
        <v>45684</v>
      </c>
      <c r="C188" s="1" t="n">
        <v>45749</v>
      </c>
      <c r="D188" t="inlineStr">
        <is>
          <t>SKÅNE LÄN</t>
        </is>
      </c>
      <c r="E188" t="inlineStr">
        <is>
          <t>ÖRKELLJUNGA</t>
        </is>
      </c>
      <c r="G188" t="n">
        <v>11.4</v>
      </c>
      <c r="H188" t="n">
        <v>2</v>
      </c>
      <c r="I188" t="n">
        <v>0</v>
      </c>
      <c r="J188" t="n">
        <v>1</v>
      </c>
      <c r="K188" t="n">
        <v>0</v>
      </c>
      <c r="L188" t="n">
        <v>0</v>
      </c>
      <c r="M188" t="n">
        <v>0</v>
      </c>
      <c r="N188" t="n">
        <v>0</v>
      </c>
      <c r="O188" t="n">
        <v>1</v>
      </c>
      <c r="P188" t="n">
        <v>0</v>
      </c>
      <c r="Q188" t="n">
        <v>2</v>
      </c>
      <c r="R188" s="2" t="inlineStr">
        <is>
          <t>Utter
Vanlig padda</t>
        </is>
      </c>
      <c r="S188">
        <f>HYPERLINK("https://klasma.github.io/Logging_1257/artfynd/A 4112-2025 artfynd.xlsx", "A 4112-2025")</f>
        <v/>
      </c>
      <c r="T188">
        <f>HYPERLINK("https://klasma.github.io/Logging_1257/kartor/A 4112-2025 karta.png", "A 4112-2025")</f>
        <v/>
      </c>
      <c r="V188">
        <f>HYPERLINK("https://klasma.github.io/Logging_1257/klagomål/A 4112-2025 FSC-klagomål.docx", "A 4112-2025")</f>
        <v/>
      </c>
      <c r="W188">
        <f>HYPERLINK("https://klasma.github.io/Logging_1257/klagomålsmail/A 4112-2025 FSC-klagomål mail.docx", "A 4112-2025")</f>
        <v/>
      </c>
      <c r="X188">
        <f>HYPERLINK("https://klasma.github.io/Logging_1257/tillsyn/A 4112-2025 tillsynsbegäran.docx", "A 4112-2025")</f>
        <v/>
      </c>
      <c r="Y188">
        <f>HYPERLINK("https://klasma.github.io/Logging_1257/tillsynsmail/A 4112-2025 tillsynsbegäran mail.docx", "A 4112-2025")</f>
        <v/>
      </c>
    </row>
    <row r="189" ht="15" customHeight="1">
      <c r="A189" t="inlineStr">
        <is>
          <t>A 4595-2025</t>
        </is>
      </c>
      <c r="B189" s="1" t="n">
        <v>45687</v>
      </c>
      <c r="C189" s="1" t="n">
        <v>45749</v>
      </c>
      <c r="D189" t="inlineStr">
        <is>
          <t>SKÅNE LÄN</t>
        </is>
      </c>
      <c r="E189" t="inlineStr">
        <is>
          <t>HÄSSLEHOLM</t>
        </is>
      </c>
      <c r="G189" t="n">
        <v>2.6</v>
      </c>
      <c r="H189" t="n">
        <v>1</v>
      </c>
      <c r="I189" t="n">
        <v>1</v>
      </c>
      <c r="J189" t="n">
        <v>0</v>
      </c>
      <c r="K189" t="n">
        <v>0</v>
      </c>
      <c r="L189" t="n">
        <v>0</v>
      </c>
      <c r="M189" t="n">
        <v>0</v>
      </c>
      <c r="N189" t="n">
        <v>0</v>
      </c>
      <c r="O189" t="n">
        <v>0</v>
      </c>
      <c r="P189" t="n">
        <v>0</v>
      </c>
      <c r="Q189" t="n">
        <v>2</v>
      </c>
      <c r="R189" s="2" t="inlineStr">
        <is>
          <t>Blåmossa
Tjäder</t>
        </is>
      </c>
      <c r="S189">
        <f>HYPERLINK("https://klasma.github.io/Logging_1293/artfynd/A 4595-2025 artfynd.xlsx", "A 4595-2025")</f>
        <v/>
      </c>
      <c r="T189">
        <f>HYPERLINK("https://klasma.github.io/Logging_1293/kartor/A 4595-2025 karta.png", "A 4595-2025")</f>
        <v/>
      </c>
      <c r="V189">
        <f>HYPERLINK("https://klasma.github.io/Logging_1293/klagomål/A 4595-2025 FSC-klagomål.docx", "A 4595-2025")</f>
        <v/>
      </c>
      <c r="W189">
        <f>HYPERLINK("https://klasma.github.io/Logging_1293/klagomålsmail/A 4595-2025 FSC-klagomål mail.docx", "A 4595-2025")</f>
        <v/>
      </c>
      <c r="X189">
        <f>HYPERLINK("https://klasma.github.io/Logging_1293/tillsyn/A 4595-2025 tillsynsbegäran.docx", "A 4595-2025")</f>
        <v/>
      </c>
      <c r="Y189">
        <f>HYPERLINK("https://klasma.github.io/Logging_1293/tillsynsmail/A 4595-2025 tillsynsbegäran mail.docx", "A 4595-2025")</f>
        <v/>
      </c>
      <c r="Z189">
        <f>HYPERLINK("https://klasma.github.io/Logging_1293/fåglar/A 4595-2025 prioriterade fågelarter.docx", "A 4595-2025")</f>
        <v/>
      </c>
    </row>
    <row r="190" ht="15" customHeight="1">
      <c r="A190" t="inlineStr">
        <is>
          <t>A 10617-2025</t>
        </is>
      </c>
      <c r="B190" s="1" t="n">
        <v>45721</v>
      </c>
      <c r="C190" s="1" t="n">
        <v>45749</v>
      </c>
      <c r="D190" t="inlineStr">
        <is>
          <t>SKÅNE LÄN</t>
        </is>
      </c>
      <c r="E190" t="inlineStr">
        <is>
          <t>LUND</t>
        </is>
      </c>
      <c r="G190" t="n">
        <v>1.9</v>
      </c>
      <c r="H190" t="n">
        <v>2</v>
      </c>
      <c r="I190" t="n">
        <v>0</v>
      </c>
      <c r="J190" t="n">
        <v>1</v>
      </c>
      <c r="K190" t="n">
        <v>1</v>
      </c>
      <c r="L190" t="n">
        <v>0</v>
      </c>
      <c r="M190" t="n">
        <v>0</v>
      </c>
      <c r="N190" t="n">
        <v>0</v>
      </c>
      <c r="O190" t="n">
        <v>2</v>
      </c>
      <c r="P190" t="n">
        <v>1</v>
      </c>
      <c r="Q190" t="n">
        <v>2</v>
      </c>
      <c r="R190" s="2" t="inlineStr">
        <is>
          <t>Lökgroda
Strandpadda</t>
        </is>
      </c>
      <c r="S190">
        <f>HYPERLINK("https://klasma.github.io/Logging_121281/artfynd/A 10617-2025 artfynd.xlsx", "A 10617-2025")</f>
        <v/>
      </c>
      <c r="T190">
        <f>HYPERLINK("https://klasma.github.io/Logging_121281/kartor/A 10617-2025 karta.png", "A 10617-2025")</f>
        <v/>
      </c>
      <c r="V190">
        <f>HYPERLINK("https://klasma.github.io/Logging_121281/klagomål/A 10617-2025 FSC-klagomål.docx", "A 10617-2025")</f>
        <v/>
      </c>
      <c r="W190">
        <f>HYPERLINK("https://klasma.github.io/Logging_121281/klagomålsmail/A 10617-2025 FSC-klagomål mail.docx", "A 10617-2025")</f>
        <v/>
      </c>
      <c r="X190">
        <f>HYPERLINK("https://klasma.github.io/Logging_121281/tillsyn/A 10617-2025 tillsynsbegäran.docx", "A 10617-2025")</f>
        <v/>
      </c>
      <c r="Y190">
        <f>HYPERLINK("https://klasma.github.io/Logging_121281/tillsynsmail/A 10617-2025 tillsynsbegäran mail.docx", "A 10617-2025")</f>
        <v/>
      </c>
    </row>
    <row r="191" ht="15" customHeight="1">
      <c r="A191" t="inlineStr">
        <is>
          <t>A 20427-2019</t>
        </is>
      </c>
      <c r="B191" s="1" t="n">
        <v>43571</v>
      </c>
      <c r="C191" s="1" t="n">
        <v>45749</v>
      </c>
      <c r="D191" t="inlineStr">
        <is>
          <t>SKÅNE LÄN</t>
        </is>
      </c>
      <c r="E191" t="inlineStr">
        <is>
          <t>SJÖBO</t>
        </is>
      </c>
      <c r="G191" t="n">
        <v>4.5</v>
      </c>
      <c r="H191" t="n">
        <v>0</v>
      </c>
      <c r="I191" t="n">
        <v>0</v>
      </c>
      <c r="J191" t="n">
        <v>0</v>
      </c>
      <c r="K191" t="n">
        <v>0</v>
      </c>
      <c r="L191" t="n">
        <v>1</v>
      </c>
      <c r="M191" t="n">
        <v>0</v>
      </c>
      <c r="N191" t="n">
        <v>0</v>
      </c>
      <c r="O191" t="n">
        <v>1</v>
      </c>
      <c r="P191" t="n">
        <v>1</v>
      </c>
      <c r="Q191" t="n">
        <v>1</v>
      </c>
      <c r="R191" s="2" t="inlineStr">
        <is>
          <t>Ask</t>
        </is>
      </c>
      <c r="S191">
        <f>HYPERLINK("https://klasma.github.io/Logging_1265/artfynd/A 20427-2019 artfynd.xlsx", "A 20427-2019")</f>
        <v/>
      </c>
      <c r="T191">
        <f>HYPERLINK("https://klasma.github.io/Logging_1265/kartor/A 20427-2019 karta.png", "A 20427-2019")</f>
        <v/>
      </c>
      <c r="V191">
        <f>HYPERLINK("https://klasma.github.io/Logging_1265/klagomål/A 20427-2019 FSC-klagomål.docx", "A 20427-2019")</f>
        <v/>
      </c>
      <c r="W191">
        <f>HYPERLINK("https://klasma.github.io/Logging_1265/klagomålsmail/A 20427-2019 FSC-klagomål mail.docx", "A 20427-2019")</f>
        <v/>
      </c>
      <c r="X191">
        <f>HYPERLINK("https://klasma.github.io/Logging_1265/tillsyn/A 20427-2019 tillsynsbegäran.docx", "A 20427-2019")</f>
        <v/>
      </c>
      <c r="Y191">
        <f>HYPERLINK("https://klasma.github.io/Logging_1265/tillsynsmail/A 20427-2019 tillsynsbegäran mail.docx", "A 20427-2019")</f>
        <v/>
      </c>
    </row>
    <row r="192" ht="15" customHeight="1">
      <c r="A192" t="inlineStr">
        <is>
          <t>A 24820-2019</t>
        </is>
      </c>
      <c r="B192" s="1" t="n">
        <v>43602</v>
      </c>
      <c r="C192" s="1" t="n">
        <v>45749</v>
      </c>
      <c r="D192" t="inlineStr">
        <is>
          <t>SKÅNE LÄN</t>
        </is>
      </c>
      <c r="E192" t="inlineStr">
        <is>
          <t>SJÖBO</t>
        </is>
      </c>
      <c r="G192" t="n">
        <v>5.7</v>
      </c>
      <c r="H192" t="n">
        <v>1</v>
      </c>
      <c r="I192" t="n">
        <v>0</v>
      </c>
      <c r="J192" t="n">
        <v>0</v>
      </c>
      <c r="K192" t="n">
        <v>0</v>
      </c>
      <c r="L192" t="n">
        <v>1</v>
      </c>
      <c r="M192" t="n">
        <v>0</v>
      </c>
      <c r="N192" t="n">
        <v>0</v>
      </c>
      <c r="O192" t="n">
        <v>1</v>
      </c>
      <c r="P192" t="n">
        <v>1</v>
      </c>
      <c r="Q192" t="n">
        <v>1</v>
      </c>
      <c r="R192" s="2" t="inlineStr">
        <is>
          <t>Dvärgjohannesört</t>
        </is>
      </c>
      <c r="S192">
        <f>HYPERLINK("https://klasma.github.io/Logging_1265/artfynd/A 24820-2019 artfynd.xlsx", "A 24820-2019")</f>
        <v/>
      </c>
      <c r="T192">
        <f>HYPERLINK("https://klasma.github.io/Logging_1265/kartor/A 24820-2019 karta.png", "A 24820-2019")</f>
        <v/>
      </c>
      <c r="V192">
        <f>HYPERLINK("https://klasma.github.io/Logging_1265/klagomål/A 24820-2019 FSC-klagomål.docx", "A 24820-2019")</f>
        <v/>
      </c>
      <c r="W192">
        <f>HYPERLINK("https://klasma.github.io/Logging_1265/klagomålsmail/A 24820-2019 FSC-klagomål mail.docx", "A 24820-2019")</f>
        <v/>
      </c>
      <c r="X192">
        <f>HYPERLINK("https://klasma.github.io/Logging_1265/tillsyn/A 24820-2019 tillsynsbegäran.docx", "A 24820-2019")</f>
        <v/>
      </c>
      <c r="Y192">
        <f>HYPERLINK("https://klasma.github.io/Logging_1265/tillsynsmail/A 24820-2019 tillsynsbegäran mail.docx", "A 24820-2019")</f>
        <v/>
      </c>
    </row>
    <row r="193" ht="15" customHeight="1">
      <c r="A193" t="inlineStr">
        <is>
          <t>A 28988-2019</t>
        </is>
      </c>
      <c r="B193" s="1" t="n">
        <v>43620</v>
      </c>
      <c r="C193" s="1" t="n">
        <v>45749</v>
      </c>
      <c r="D193" t="inlineStr">
        <is>
          <t>SKÅNE LÄN</t>
        </is>
      </c>
      <c r="E193" t="inlineStr">
        <is>
          <t>HÄSSLEHOLM</t>
        </is>
      </c>
      <c r="G193" t="n">
        <v>1</v>
      </c>
      <c r="H193" t="n">
        <v>0</v>
      </c>
      <c r="I193" t="n">
        <v>0</v>
      </c>
      <c r="J193" t="n">
        <v>0</v>
      </c>
      <c r="K193" t="n">
        <v>1</v>
      </c>
      <c r="L193" t="n">
        <v>0</v>
      </c>
      <c r="M193" t="n">
        <v>0</v>
      </c>
      <c r="N193" t="n">
        <v>0</v>
      </c>
      <c r="O193" t="n">
        <v>1</v>
      </c>
      <c r="P193" t="n">
        <v>1</v>
      </c>
      <c r="Q193" t="n">
        <v>1</v>
      </c>
      <c r="R193" s="2" t="inlineStr">
        <is>
          <t>Slåttergubbe</t>
        </is>
      </c>
      <c r="S193">
        <f>HYPERLINK("https://klasma.github.io/Logging_1293/artfynd/A 28988-2019 artfynd.xlsx", "A 28988-2019")</f>
        <v/>
      </c>
      <c r="T193">
        <f>HYPERLINK("https://klasma.github.io/Logging_1293/kartor/A 28988-2019 karta.png", "A 28988-2019")</f>
        <v/>
      </c>
      <c r="V193">
        <f>HYPERLINK("https://klasma.github.io/Logging_1293/klagomål/A 28988-2019 FSC-klagomål.docx", "A 28988-2019")</f>
        <v/>
      </c>
      <c r="W193">
        <f>HYPERLINK("https://klasma.github.io/Logging_1293/klagomålsmail/A 28988-2019 FSC-klagomål mail.docx", "A 28988-2019")</f>
        <v/>
      </c>
      <c r="X193">
        <f>HYPERLINK("https://klasma.github.io/Logging_1293/tillsyn/A 28988-2019 tillsynsbegäran.docx", "A 28988-2019")</f>
        <v/>
      </c>
      <c r="Y193">
        <f>HYPERLINK("https://klasma.github.io/Logging_1293/tillsynsmail/A 28988-2019 tillsynsbegäran mail.docx", "A 28988-2019")</f>
        <v/>
      </c>
    </row>
    <row r="194" ht="15" customHeight="1">
      <c r="A194" t="inlineStr">
        <is>
          <t>A 29223-2019</t>
        </is>
      </c>
      <c r="B194" s="1" t="n">
        <v>43629</v>
      </c>
      <c r="C194" s="1" t="n">
        <v>45749</v>
      </c>
      <c r="D194" t="inlineStr">
        <is>
          <t>SKÅNE LÄN</t>
        </is>
      </c>
      <c r="E194" t="inlineStr">
        <is>
          <t>HÄSSLEHOLM</t>
        </is>
      </c>
      <c r="G194" t="n">
        <v>1.6</v>
      </c>
      <c r="H194" t="n">
        <v>0</v>
      </c>
      <c r="I194" t="n">
        <v>0</v>
      </c>
      <c r="J194" t="n">
        <v>1</v>
      </c>
      <c r="K194" t="n">
        <v>0</v>
      </c>
      <c r="L194" t="n">
        <v>0</v>
      </c>
      <c r="M194" t="n">
        <v>0</v>
      </c>
      <c r="N194" t="n">
        <v>0</v>
      </c>
      <c r="O194" t="n">
        <v>1</v>
      </c>
      <c r="P194" t="n">
        <v>0</v>
      </c>
      <c r="Q194" t="n">
        <v>1</v>
      </c>
      <c r="R194" s="2" t="inlineStr">
        <is>
          <t>Brandbitterskivling</t>
        </is>
      </c>
      <c r="S194">
        <f>HYPERLINK("https://klasma.github.io/Logging_1293/artfynd/A 29223-2019 artfynd.xlsx", "A 29223-2019")</f>
        <v/>
      </c>
      <c r="T194">
        <f>HYPERLINK("https://klasma.github.io/Logging_1293/kartor/A 29223-2019 karta.png", "A 29223-2019")</f>
        <v/>
      </c>
      <c r="V194">
        <f>HYPERLINK("https://klasma.github.io/Logging_1293/klagomål/A 29223-2019 FSC-klagomål.docx", "A 29223-2019")</f>
        <v/>
      </c>
      <c r="W194">
        <f>HYPERLINK("https://klasma.github.io/Logging_1293/klagomålsmail/A 29223-2019 FSC-klagomål mail.docx", "A 29223-2019")</f>
        <v/>
      </c>
      <c r="X194">
        <f>HYPERLINK("https://klasma.github.io/Logging_1293/tillsyn/A 29223-2019 tillsynsbegäran.docx", "A 29223-2019")</f>
        <v/>
      </c>
      <c r="Y194">
        <f>HYPERLINK("https://klasma.github.io/Logging_1293/tillsynsmail/A 29223-2019 tillsynsbegäran mail.docx", "A 29223-2019")</f>
        <v/>
      </c>
    </row>
    <row r="195" ht="15" customHeight="1">
      <c r="A195" t="inlineStr">
        <is>
          <t>A 29765-2019</t>
        </is>
      </c>
      <c r="B195" s="1" t="n">
        <v>43632</v>
      </c>
      <c r="C195" s="1" t="n">
        <v>45749</v>
      </c>
      <c r="D195" t="inlineStr">
        <is>
          <t>SKÅNE LÄN</t>
        </is>
      </c>
      <c r="E195" t="inlineStr">
        <is>
          <t>HÄSSLEHOLM</t>
        </is>
      </c>
      <c r="G195" t="n">
        <v>13.9</v>
      </c>
      <c r="H195" t="n">
        <v>0</v>
      </c>
      <c r="I195" t="n">
        <v>0</v>
      </c>
      <c r="J195" t="n">
        <v>0</v>
      </c>
      <c r="K195" t="n">
        <v>0</v>
      </c>
      <c r="L195" t="n">
        <v>0</v>
      </c>
      <c r="M195" t="n">
        <v>1</v>
      </c>
      <c r="N195" t="n">
        <v>0</v>
      </c>
      <c r="O195" t="n">
        <v>1</v>
      </c>
      <c r="P195" t="n">
        <v>1</v>
      </c>
      <c r="Q195" t="n">
        <v>1</v>
      </c>
      <c r="R195" s="2" t="inlineStr">
        <is>
          <t>Flodkräfta</t>
        </is>
      </c>
      <c r="S195">
        <f>HYPERLINK("https://klasma.github.io/Logging_1293/artfynd/A 29765-2019 artfynd.xlsx", "A 29765-2019")</f>
        <v/>
      </c>
      <c r="T195">
        <f>HYPERLINK("https://klasma.github.io/Logging_1293/kartor/A 29765-2019 karta.png", "A 29765-2019")</f>
        <v/>
      </c>
      <c r="V195">
        <f>HYPERLINK("https://klasma.github.io/Logging_1293/klagomål/A 29765-2019 FSC-klagomål.docx", "A 29765-2019")</f>
        <v/>
      </c>
      <c r="W195">
        <f>HYPERLINK("https://klasma.github.io/Logging_1293/klagomålsmail/A 29765-2019 FSC-klagomål mail.docx", "A 29765-2019")</f>
        <v/>
      </c>
      <c r="X195">
        <f>HYPERLINK("https://klasma.github.io/Logging_1293/tillsyn/A 29765-2019 tillsynsbegäran.docx", "A 29765-2019")</f>
        <v/>
      </c>
      <c r="Y195">
        <f>HYPERLINK("https://klasma.github.io/Logging_1293/tillsynsmail/A 29765-2019 tillsynsbegäran mail.docx", "A 29765-2019")</f>
        <v/>
      </c>
    </row>
    <row r="196" ht="15" customHeight="1">
      <c r="A196" t="inlineStr">
        <is>
          <t>A 30710-2019</t>
        </is>
      </c>
      <c r="B196" s="1" t="n">
        <v>43636</v>
      </c>
      <c r="C196" s="1" t="n">
        <v>45749</v>
      </c>
      <c r="D196" t="inlineStr">
        <is>
          <t>SKÅNE LÄN</t>
        </is>
      </c>
      <c r="E196" t="inlineStr">
        <is>
          <t>SVEDALA</t>
        </is>
      </c>
      <c r="G196" t="n">
        <v>1.5</v>
      </c>
      <c r="H196" t="n">
        <v>0</v>
      </c>
      <c r="I196" t="n">
        <v>1</v>
      </c>
      <c r="J196" t="n">
        <v>0</v>
      </c>
      <c r="K196" t="n">
        <v>0</v>
      </c>
      <c r="L196" t="n">
        <v>0</v>
      </c>
      <c r="M196" t="n">
        <v>0</v>
      </c>
      <c r="N196" t="n">
        <v>0</v>
      </c>
      <c r="O196" t="n">
        <v>0</v>
      </c>
      <c r="P196" t="n">
        <v>0</v>
      </c>
      <c r="Q196" t="n">
        <v>1</v>
      </c>
      <c r="R196" s="2" t="inlineStr">
        <is>
          <t>Bokoxe</t>
        </is>
      </c>
      <c r="S196">
        <f>HYPERLINK("https://klasma.github.io/Logging_1263/artfynd/A 30710-2019 artfynd.xlsx", "A 30710-2019")</f>
        <v/>
      </c>
      <c r="T196">
        <f>HYPERLINK("https://klasma.github.io/Logging_1263/kartor/A 30710-2019 karta.png", "A 30710-2019")</f>
        <v/>
      </c>
      <c r="V196">
        <f>HYPERLINK("https://klasma.github.io/Logging_1263/klagomål/A 30710-2019 FSC-klagomål.docx", "A 30710-2019")</f>
        <v/>
      </c>
      <c r="W196">
        <f>HYPERLINK("https://klasma.github.io/Logging_1263/klagomålsmail/A 30710-2019 FSC-klagomål mail.docx", "A 30710-2019")</f>
        <v/>
      </c>
      <c r="X196">
        <f>HYPERLINK("https://klasma.github.io/Logging_1263/tillsyn/A 30710-2019 tillsynsbegäran.docx", "A 30710-2019")</f>
        <v/>
      </c>
      <c r="Y196">
        <f>HYPERLINK("https://klasma.github.io/Logging_1263/tillsynsmail/A 30710-2019 tillsynsbegäran mail.docx", "A 30710-2019")</f>
        <v/>
      </c>
    </row>
    <row r="197" ht="15" customHeight="1">
      <c r="A197" t="inlineStr">
        <is>
          <t>A 32997-2019</t>
        </is>
      </c>
      <c r="B197" s="1" t="n">
        <v>43649</v>
      </c>
      <c r="C197" s="1" t="n">
        <v>45749</v>
      </c>
      <c r="D197" t="inlineStr">
        <is>
          <t>SKÅNE LÄN</t>
        </is>
      </c>
      <c r="E197" t="inlineStr">
        <is>
          <t>HÄSSLEHOLM</t>
        </is>
      </c>
      <c r="G197" t="n">
        <v>3.9</v>
      </c>
      <c r="H197" t="n">
        <v>1</v>
      </c>
      <c r="I197" t="n">
        <v>0</v>
      </c>
      <c r="J197" t="n">
        <v>0</v>
      </c>
      <c r="K197" t="n">
        <v>1</v>
      </c>
      <c r="L197" t="n">
        <v>0</v>
      </c>
      <c r="M197" t="n">
        <v>0</v>
      </c>
      <c r="N197" t="n">
        <v>0</v>
      </c>
      <c r="O197" t="n">
        <v>1</v>
      </c>
      <c r="P197" t="n">
        <v>1</v>
      </c>
      <c r="Q197" t="n">
        <v>1</v>
      </c>
      <c r="R197" s="2" t="inlineStr">
        <is>
          <t>Knärot</t>
        </is>
      </c>
      <c r="S197">
        <f>HYPERLINK("https://klasma.github.io/Logging_1293/artfynd/A 32997-2019 artfynd.xlsx", "A 32997-2019")</f>
        <v/>
      </c>
      <c r="T197">
        <f>HYPERLINK("https://klasma.github.io/Logging_1293/kartor/A 32997-2019 karta.png", "A 32997-2019")</f>
        <v/>
      </c>
      <c r="U197">
        <f>HYPERLINK("https://klasma.github.io/Logging_1293/knärot/A 32997-2019 karta knärot.png", "A 32997-2019")</f>
        <v/>
      </c>
      <c r="V197">
        <f>HYPERLINK("https://klasma.github.io/Logging_1293/klagomål/A 32997-2019 FSC-klagomål.docx", "A 32997-2019")</f>
        <v/>
      </c>
      <c r="W197">
        <f>HYPERLINK("https://klasma.github.io/Logging_1293/klagomålsmail/A 32997-2019 FSC-klagomål mail.docx", "A 32997-2019")</f>
        <v/>
      </c>
      <c r="X197">
        <f>HYPERLINK("https://klasma.github.io/Logging_1293/tillsyn/A 32997-2019 tillsynsbegäran.docx", "A 32997-2019")</f>
        <v/>
      </c>
      <c r="Y197">
        <f>HYPERLINK("https://klasma.github.io/Logging_1293/tillsynsmail/A 32997-2019 tillsynsbegäran mail.docx", "A 32997-2019")</f>
        <v/>
      </c>
    </row>
    <row r="198" ht="15" customHeight="1">
      <c r="A198" t="inlineStr">
        <is>
          <t>A 33889-2019</t>
        </is>
      </c>
      <c r="B198" s="1" t="n">
        <v>43653</v>
      </c>
      <c r="C198" s="1" t="n">
        <v>45749</v>
      </c>
      <c r="D198" t="inlineStr">
        <is>
          <t>SKÅNE LÄN</t>
        </is>
      </c>
      <c r="E198" t="inlineStr">
        <is>
          <t>KLIPPAN</t>
        </is>
      </c>
      <c r="G198" t="n">
        <v>3.7</v>
      </c>
      <c r="H198" t="n">
        <v>1</v>
      </c>
      <c r="I198" t="n">
        <v>0</v>
      </c>
      <c r="J198" t="n">
        <v>0</v>
      </c>
      <c r="K198" t="n">
        <v>0</v>
      </c>
      <c r="L198" t="n">
        <v>0</v>
      </c>
      <c r="M198" t="n">
        <v>0</v>
      </c>
      <c r="N198" t="n">
        <v>0</v>
      </c>
      <c r="O198" t="n">
        <v>0</v>
      </c>
      <c r="P198" t="n">
        <v>0</v>
      </c>
      <c r="Q198" t="n">
        <v>1</v>
      </c>
      <c r="R198" s="2" t="inlineStr">
        <is>
          <t>Vanlig padda</t>
        </is>
      </c>
      <c r="S198">
        <f>HYPERLINK("https://klasma.github.io/Logging_1276/artfynd/A 33889-2019 artfynd.xlsx", "A 33889-2019")</f>
        <v/>
      </c>
      <c r="T198">
        <f>HYPERLINK("https://klasma.github.io/Logging_1276/kartor/A 33889-2019 karta.png", "A 33889-2019")</f>
        <v/>
      </c>
      <c r="V198">
        <f>HYPERLINK("https://klasma.github.io/Logging_1276/klagomål/A 33889-2019 FSC-klagomål.docx", "A 33889-2019")</f>
        <v/>
      </c>
      <c r="W198">
        <f>HYPERLINK("https://klasma.github.io/Logging_1276/klagomålsmail/A 33889-2019 FSC-klagomål mail.docx", "A 33889-2019")</f>
        <v/>
      </c>
      <c r="X198">
        <f>HYPERLINK("https://klasma.github.io/Logging_1276/tillsyn/A 33889-2019 tillsynsbegäran.docx", "A 33889-2019")</f>
        <v/>
      </c>
      <c r="Y198">
        <f>HYPERLINK("https://klasma.github.io/Logging_1276/tillsynsmail/A 33889-2019 tillsynsbegäran mail.docx", "A 33889-2019")</f>
        <v/>
      </c>
    </row>
    <row r="199" ht="15" customHeight="1">
      <c r="A199" t="inlineStr">
        <is>
          <t>A 38268-2019</t>
        </is>
      </c>
      <c r="B199" s="1" t="n">
        <v>43684</v>
      </c>
      <c r="C199" s="1" t="n">
        <v>45749</v>
      </c>
      <c r="D199" t="inlineStr">
        <is>
          <t>SKÅNE LÄN</t>
        </is>
      </c>
      <c r="E199" t="inlineStr">
        <is>
          <t>OSBY</t>
        </is>
      </c>
      <c r="G199" t="n">
        <v>0.4</v>
      </c>
      <c r="H199" t="n">
        <v>0</v>
      </c>
      <c r="I199" t="n">
        <v>0</v>
      </c>
      <c r="J199" t="n">
        <v>0</v>
      </c>
      <c r="K199" t="n">
        <v>0</v>
      </c>
      <c r="L199" t="n">
        <v>1</v>
      </c>
      <c r="M199" t="n">
        <v>0</v>
      </c>
      <c r="N199" t="n">
        <v>0</v>
      </c>
      <c r="O199" t="n">
        <v>1</v>
      </c>
      <c r="P199" t="n">
        <v>1</v>
      </c>
      <c r="Q199" t="n">
        <v>1</v>
      </c>
      <c r="R199" s="2" t="inlineStr">
        <is>
          <t>Ask</t>
        </is>
      </c>
      <c r="S199">
        <f>HYPERLINK("https://klasma.github.io/Logging_1273/artfynd/A 38268-2019 artfynd.xlsx", "A 38268-2019")</f>
        <v/>
      </c>
      <c r="T199">
        <f>HYPERLINK("https://klasma.github.io/Logging_1273/kartor/A 38268-2019 karta.png", "A 38268-2019")</f>
        <v/>
      </c>
      <c r="V199">
        <f>HYPERLINK("https://klasma.github.io/Logging_1273/klagomål/A 38268-2019 FSC-klagomål.docx", "A 38268-2019")</f>
        <v/>
      </c>
      <c r="W199">
        <f>HYPERLINK("https://klasma.github.io/Logging_1273/klagomålsmail/A 38268-2019 FSC-klagomål mail.docx", "A 38268-2019")</f>
        <v/>
      </c>
      <c r="X199">
        <f>HYPERLINK("https://klasma.github.io/Logging_1273/tillsyn/A 38268-2019 tillsynsbegäran.docx", "A 38268-2019")</f>
        <v/>
      </c>
      <c r="Y199">
        <f>HYPERLINK("https://klasma.github.io/Logging_1273/tillsynsmail/A 38268-2019 tillsynsbegäran mail.docx", "A 38268-2019")</f>
        <v/>
      </c>
    </row>
    <row r="200" ht="15" customHeight="1">
      <c r="A200" t="inlineStr">
        <is>
          <t>A 38678-2019</t>
        </is>
      </c>
      <c r="B200" s="1" t="n">
        <v>43684</v>
      </c>
      <c r="C200" s="1" t="n">
        <v>45749</v>
      </c>
      <c r="D200" t="inlineStr">
        <is>
          <t>SKÅNE LÄN</t>
        </is>
      </c>
      <c r="E200" t="inlineStr">
        <is>
          <t>KRISTIANSTAD</t>
        </is>
      </c>
      <c r="G200" t="n">
        <v>2.5</v>
      </c>
      <c r="H200" t="n">
        <v>1</v>
      </c>
      <c r="I200" t="n">
        <v>0</v>
      </c>
      <c r="J200" t="n">
        <v>0</v>
      </c>
      <c r="K200" t="n">
        <v>1</v>
      </c>
      <c r="L200" t="n">
        <v>0</v>
      </c>
      <c r="M200" t="n">
        <v>0</v>
      </c>
      <c r="N200" t="n">
        <v>0</v>
      </c>
      <c r="O200" t="n">
        <v>1</v>
      </c>
      <c r="P200" t="n">
        <v>1</v>
      </c>
      <c r="Q200" t="n">
        <v>1</v>
      </c>
      <c r="R200" s="2" t="inlineStr">
        <is>
          <t>Backsippa</t>
        </is>
      </c>
      <c r="S200">
        <f>HYPERLINK("https://klasma.github.io/Logging_1290/artfynd/A 38678-2019 artfynd.xlsx", "A 38678-2019")</f>
        <v/>
      </c>
      <c r="T200">
        <f>HYPERLINK("https://klasma.github.io/Logging_1290/kartor/A 38678-2019 karta.png", "A 38678-2019")</f>
        <v/>
      </c>
      <c r="V200">
        <f>HYPERLINK("https://klasma.github.io/Logging_1290/klagomål/A 38678-2019 FSC-klagomål.docx", "A 38678-2019")</f>
        <v/>
      </c>
      <c r="W200">
        <f>HYPERLINK("https://klasma.github.io/Logging_1290/klagomålsmail/A 38678-2019 FSC-klagomål mail.docx", "A 38678-2019")</f>
        <v/>
      </c>
      <c r="X200">
        <f>HYPERLINK("https://klasma.github.io/Logging_1290/tillsyn/A 38678-2019 tillsynsbegäran.docx", "A 38678-2019")</f>
        <v/>
      </c>
      <c r="Y200">
        <f>HYPERLINK("https://klasma.github.io/Logging_1290/tillsynsmail/A 38678-2019 tillsynsbegäran mail.docx", "A 38678-2019")</f>
        <v/>
      </c>
    </row>
    <row r="201" ht="15" customHeight="1">
      <c r="A201" t="inlineStr">
        <is>
          <t>A 39800-2019</t>
        </is>
      </c>
      <c r="B201" s="1" t="n">
        <v>43689</v>
      </c>
      <c r="C201" s="1" t="n">
        <v>45749</v>
      </c>
      <c r="D201" t="inlineStr">
        <is>
          <t>SKÅNE LÄN</t>
        </is>
      </c>
      <c r="E201" t="inlineStr">
        <is>
          <t>HÖÖR</t>
        </is>
      </c>
      <c r="G201" t="n">
        <v>4.4</v>
      </c>
      <c r="H201" t="n">
        <v>0</v>
      </c>
      <c r="I201" t="n">
        <v>0</v>
      </c>
      <c r="J201" t="n">
        <v>0</v>
      </c>
      <c r="K201" t="n">
        <v>1</v>
      </c>
      <c r="L201" t="n">
        <v>0</v>
      </c>
      <c r="M201" t="n">
        <v>0</v>
      </c>
      <c r="N201" t="n">
        <v>0</v>
      </c>
      <c r="O201" t="n">
        <v>1</v>
      </c>
      <c r="P201" t="n">
        <v>1</v>
      </c>
      <c r="Q201" t="n">
        <v>1</v>
      </c>
      <c r="R201" s="2" t="inlineStr">
        <is>
          <t>Småvänderot</t>
        </is>
      </c>
      <c r="S201">
        <f>HYPERLINK("https://klasma.github.io/Logging_1267/artfynd/A 39800-2019 artfynd.xlsx", "A 39800-2019")</f>
        <v/>
      </c>
      <c r="T201">
        <f>HYPERLINK("https://klasma.github.io/Logging_1267/kartor/A 39800-2019 karta.png", "A 39800-2019")</f>
        <v/>
      </c>
      <c r="V201">
        <f>HYPERLINK("https://klasma.github.io/Logging_1267/klagomål/A 39800-2019 FSC-klagomål.docx", "A 39800-2019")</f>
        <v/>
      </c>
      <c r="W201">
        <f>HYPERLINK("https://klasma.github.io/Logging_1267/klagomålsmail/A 39800-2019 FSC-klagomål mail.docx", "A 39800-2019")</f>
        <v/>
      </c>
      <c r="X201">
        <f>HYPERLINK("https://klasma.github.io/Logging_1267/tillsyn/A 39800-2019 tillsynsbegäran.docx", "A 39800-2019")</f>
        <v/>
      </c>
      <c r="Y201">
        <f>HYPERLINK("https://klasma.github.io/Logging_1267/tillsynsmail/A 39800-2019 tillsynsbegäran mail.docx", "A 39800-2019")</f>
        <v/>
      </c>
    </row>
    <row r="202" ht="15" customHeight="1">
      <c r="A202" t="inlineStr">
        <is>
          <t>A 41120-2019</t>
        </is>
      </c>
      <c r="B202" s="1" t="n">
        <v>43698</v>
      </c>
      <c r="C202" s="1" t="n">
        <v>45749</v>
      </c>
      <c r="D202" t="inlineStr">
        <is>
          <t>SKÅNE LÄN</t>
        </is>
      </c>
      <c r="E202" t="inlineStr">
        <is>
          <t>HÄSSLEHOLM</t>
        </is>
      </c>
      <c r="G202" t="n">
        <v>7.9</v>
      </c>
      <c r="H202" t="n">
        <v>0</v>
      </c>
      <c r="I202" t="n">
        <v>0</v>
      </c>
      <c r="J202" t="n">
        <v>0</v>
      </c>
      <c r="K202" t="n">
        <v>1</v>
      </c>
      <c r="L202" t="n">
        <v>0</v>
      </c>
      <c r="M202" t="n">
        <v>0</v>
      </c>
      <c r="N202" t="n">
        <v>0</v>
      </c>
      <c r="O202" t="n">
        <v>1</v>
      </c>
      <c r="P202" t="n">
        <v>1</v>
      </c>
      <c r="Q202" t="n">
        <v>1</v>
      </c>
      <c r="R202" s="2" t="inlineStr">
        <is>
          <t>Småvänderot</t>
        </is>
      </c>
      <c r="S202">
        <f>HYPERLINK("https://klasma.github.io/Logging_1293/artfynd/A 41120-2019 artfynd.xlsx", "A 41120-2019")</f>
        <v/>
      </c>
      <c r="T202">
        <f>HYPERLINK("https://klasma.github.io/Logging_1293/kartor/A 41120-2019 karta.png", "A 41120-2019")</f>
        <v/>
      </c>
      <c r="V202">
        <f>HYPERLINK("https://klasma.github.io/Logging_1293/klagomål/A 41120-2019 FSC-klagomål.docx", "A 41120-2019")</f>
        <v/>
      </c>
      <c r="W202">
        <f>HYPERLINK("https://klasma.github.io/Logging_1293/klagomålsmail/A 41120-2019 FSC-klagomål mail.docx", "A 41120-2019")</f>
        <v/>
      </c>
      <c r="X202">
        <f>HYPERLINK("https://klasma.github.io/Logging_1293/tillsyn/A 41120-2019 tillsynsbegäran.docx", "A 41120-2019")</f>
        <v/>
      </c>
      <c r="Y202">
        <f>HYPERLINK("https://klasma.github.io/Logging_1293/tillsynsmail/A 41120-2019 tillsynsbegäran mail.docx", "A 41120-2019")</f>
        <v/>
      </c>
    </row>
    <row r="203" ht="15" customHeight="1">
      <c r="A203" t="inlineStr">
        <is>
          <t>A 46202-2019</t>
        </is>
      </c>
      <c r="B203" s="1" t="n">
        <v>43713</v>
      </c>
      <c r="C203" s="1" t="n">
        <v>45749</v>
      </c>
      <c r="D203" t="inlineStr">
        <is>
          <t>SKÅNE LÄN</t>
        </is>
      </c>
      <c r="E203" t="inlineStr">
        <is>
          <t>SVEDALA</t>
        </is>
      </c>
      <c r="G203" t="n">
        <v>2.5</v>
      </c>
      <c r="H203" t="n">
        <v>0</v>
      </c>
      <c r="I203" t="n">
        <v>0</v>
      </c>
      <c r="J203" t="n">
        <v>0</v>
      </c>
      <c r="K203" t="n">
        <v>0</v>
      </c>
      <c r="L203" t="n">
        <v>1</v>
      </c>
      <c r="M203" t="n">
        <v>0</v>
      </c>
      <c r="N203" t="n">
        <v>0</v>
      </c>
      <c r="O203" t="n">
        <v>1</v>
      </c>
      <c r="P203" t="n">
        <v>1</v>
      </c>
      <c r="Q203" t="n">
        <v>1</v>
      </c>
      <c r="R203" s="2" t="inlineStr">
        <is>
          <t>Ask</t>
        </is>
      </c>
      <c r="S203">
        <f>HYPERLINK("https://klasma.github.io/Logging_1263/artfynd/A 46202-2019 artfynd.xlsx", "A 46202-2019")</f>
        <v/>
      </c>
      <c r="T203">
        <f>HYPERLINK("https://klasma.github.io/Logging_1263/kartor/A 46202-2019 karta.png", "A 46202-2019")</f>
        <v/>
      </c>
      <c r="V203">
        <f>HYPERLINK("https://klasma.github.io/Logging_1263/klagomål/A 46202-2019 FSC-klagomål.docx", "A 46202-2019")</f>
        <v/>
      </c>
      <c r="W203">
        <f>HYPERLINK("https://klasma.github.io/Logging_1263/klagomålsmail/A 46202-2019 FSC-klagomål mail.docx", "A 46202-2019")</f>
        <v/>
      </c>
      <c r="X203">
        <f>HYPERLINK("https://klasma.github.io/Logging_1263/tillsyn/A 46202-2019 tillsynsbegäran.docx", "A 46202-2019")</f>
        <v/>
      </c>
      <c r="Y203">
        <f>HYPERLINK("https://klasma.github.io/Logging_1263/tillsynsmail/A 46202-2019 tillsynsbegäran mail.docx", "A 46202-2019")</f>
        <v/>
      </c>
    </row>
    <row r="204" ht="15" customHeight="1">
      <c r="A204" t="inlineStr">
        <is>
          <t>A 46680-2019</t>
        </is>
      </c>
      <c r="B204" s="1" t="n">
        <v>43717</v>
      </c>
      <c r="C204" s="1" t="n">
        <v>45749</v>
      </c>
      <c r="D204" t="inlineStr">
        <is>
          <t>SKÅNE LÄN</t>
        </is>
      </c>
      <c r="E204" t="inlineStr">
        <is>
          <t>KRISTIANSTAD</t>
        </is>
      </c>
      <c r="G204" t="n">
        <v>2</v>
      </c>
      <c r="H204" t="n">
        <v>0</v>
      </c>
      <c r="I204" t="n">
        <v>1</v>
      </c>
      <c r="J204" t="n">
        <v>0</v>
      </c>
      <c r="K204" t="n">
        <v>0</v>
      </c>
      <c r="L204" t="n">
        <v>0</v>
      </c>
      <c r="M204" t="n">
        <v>0</v>
      </c>
      <c r="N204" t="n">
        <v>0</v>
      </c>
      <c r="O204" t="n">
        <v>0</v>
      </c>
      <c r="P204" t="n">
        <v>0</v>
      </c>
      <c r="Q204" t="n">
        <v>1</v>
      </c>
      <c r="R204" s="2" t="inlineStr">
        <is>
          <t>Kransrams</t>
        </is>
      </c>
      <c r="S204">
        <f>HYPERLINK("https://klasma.github.io/Logging_1290/artfynd/A 46680-2019 artfynd.xlsx", "A 46680-2019")</f>
        <v/>
      </c>
      <c r="T204">
        <f>HYPERLINK("https://klasma.github.io/Logging_1290/kartor/A 46680-2019 karta.png", "A 46680-2019")</f>
        <v/>
      </c>
      <c r="V204">
        <f>HYPERLINK("https://klasma.github.io/Logging_1290/klagomål/A 46680-2019 FSC-klagomål.docx", "A 46680-2019")</f>
        <v/>
      </c>
      <c r="W204">
        <f>HYPERLINK("https://klasma.github.io/Logging_1290/klagomålsmail/A 46680-2019 FSC-klagomål mail.docx", "A 46680-2019")</f>
        <v/>
      </c>
      <c r="X204">
        <f>HYPERLINK("https://klasma.github.io/Logging_1290/tillsyn/A 46680-2019 tillsynsbegäran.docx", "A 46680-2019")</f>
        <v/>
      </c>
      <c r="Y204">
        <f>HYPERLINK("https://klasma.github.io/Logging_1290/tillsynsmail/A 46680-2019 tillsynsbegäran mail.docx", "A 46680-2019")</f>
        <v/>
      </c>
    </row>
    <row r="205" ht="15" customHeight="1">
      <c r="A205" t="inlineStr">
        <is>
          <t>A 47468-2019</t>
        </is>
      </c>
      <c r="B205" s="1" t="n">
        <v>43724</v>
      </c>
      <c r="C205" s="1" t="n">
        <v>45749</v>
      </c>
      <c r="D205" t="inlineStr">
        <is>
          <t>SKÅNE LÄN</t>
        </is>
      </c>
      <c r="E205" t="inlineStr">
        <is>
          <t>HÄSSLEHOLM</t>
        </is>
      </c>
      <c r="G205" t="n">
        <v>3.3</v>
      </c>
      <c r="H205" t="n">
        <v>1</v>
      </c>
      <c r="I205" t="n">
        <v>0</v>
      </c>
      <c r="J205" t="n">
        <v>0</v>
      </c>
      <c r="K205" t="n">
        <v>0</v>
      </c>
      <c r="L205" t="n">
        <v>0</v>
      </c>
      <c r="M205" t="n">
        <v>0</v>
      </c>
      <c r="N205" t="n">
        <v>0</v>
      </c>
      <c r="O205" t="n">
        <v>0</v>
      </c>
      <c r="P205" t="n">
        <v>0</v>
      </c>
      <c r="Q205" t="n">
        <v>1</v>
      </c>
      <c r="R205" s="2" t="inlineStr">
        <is>
          <t>Gullviva</t>
        </is>
      </c>
      <c r="S205">
        <f>HYPERLINK("https://klasma.github.io/Logging_1293/artfynd/A 47468-2019 artfynd.xlsx", "A 47468-2019")</f>
        <v/>
      </c>
      <c r="T205">
        <f>HYPERLINK("https://klasma.github.io/Logging_1293/kartor/A 47468-2019 karta.png", "A 47468-2019")</f>
        <v/>
      </c>
      <c r="V205">
        <f>HYPERLINK("https://klasma.github.io/Logging_1293/klagomål/A 47468-2019 FSC-klagomål.docx", "A 47468-2019")</f>
        <v/>
      </c>
      <c r="W205">
        <f>HYPERLINK("https://klasma.github.io/Logging_1293/klagomålsmail/A 47468-2019 FSC-klagomål mail.docx", "A 47468-2019")</f>
        <v/>
      </c>
      <c r="X205">
        <f>HYPERLINK("https://klasma.github.io/Logging_1293/tillsyn/A 47468-2019 tillsynsbegäran.docx", "A 47468-2019")</f>
        <v/>
      </c>
      <c r="Y205">
        <f>HYPERLINK("https://klasma.github.io/Logging_1293/tillsynsmail/A 47468-2019 tillsynsbegäran mail.docx", "A 47468-2019")</f>
        <v/>
      </c>
    </row>
    <row r="206" ht="15" customHeight="1">
      <c r="A206" t="inlineStr">
        <is>
          <t>A 47678-2019</t>
        </is>
      </c>
      <c r="B206" s="1" t="n">
        <v>43724</v>
      </c>
      <c r="C206" s="1" t="n">
        <v>45749</v>
      </c>
      <c r="D206" t="inlineStr">
        <is>
          <t>SKÅNE LÄN</t>
        </is>
      </c>
      <c r="E206" t="inlineStr">
        <is>
          <t>HÄSSLEHOLM</t>
        </is>
      </c>
      <c r="G206" t="n">
        <v>3.7</v>
      </c>
      <c r="H206" t="n">
        <v>0</v>
      </c>
      <c r="I206" t="n">
        <v>0</v>
      </c>
      <c r="J206" t="n">
        <v>1</v>
      </c>
      <c r="K206" t="n">
        <v>0</v>
      </c>
      <c r="L206" t="n">
        <v>0</v>
      </c>
      <c r="M206" t="n">
        <v>0</v>
      </c>
      <c r="N206" t="n">
        <v>0</v>
      </c>
      <c r="O206" t="n">
        <v>1</v>
      </c>
      <c r="P206" t="n">
        <v>0</v>
      </c>
      <c r="Q206" t="n">
        <v>1</v>
      </c>
      <c r="R206" s="2" t="inlineStr">
        <is>
          <t>Nålbjörnbär</t>
        </is>
      </c>
      <c r="S206">
        <f>HYPERLINK("https://klasma.github.io/Logging_1293/artfynd/A 47678-2019 artfynd.xlsx", "A 47678-2019")</f>
        <v/>
      </c>
      <c r="T206">
        <f>HYPERLINK("https://klasma.github.io/Logging_1293/kartor/A 47678-2019 karta.png", "A 47678-2019")</f>
        <v/>
      </c>
      <c r="V206">
        <f>HYPERLINK("https://klasma.github.io/Logging_1293/klagomål/A 47678-2019 FSC-klagomål.docx", "A 47678-2019")</f>
        <v/>
      </c>
      <c r="W206">
        <f>HYPERLINK("https://klasma.github.io/Logging_1293/klagomålsmail/A 47678-2019 FSC-klagomål mail.docx", "A 47678-2019")</f>
        <v/>
      </c>
      <c r="X206">
        <f>HYPERLINK("https://klasma.github.io/Logging_1293/tillsyn/A 47678-2019 tillsynsbegäran.docx", "A 47678-2019")</f>
        <v/>
      </c>
      <c r="Y206">
        <f>HYPERLINK("https://klasma.github.io/Logging_1293/tillsynsmail/A 47678-2019 tillsynsbegäran mail.docx", "A 47678-2019")</f>
        <v/>
      </c>
    </row>
    <row r="207" ht="15" customHeight="1">
      <c r="A207" t="inlineStr">
        <is>
          <t>A 51114-2019</t>
        </is>
      </c>
      <c r="B207" s="1" t="n">
        <v>43732</v>
      </c>
      <c r="C207" s="1" t="n">
        <v>45749</v>
      </c>
      <c r="D207" t="inlineStr">
        <is>
          <t>SKÅNE LÄN</t>
        </is>
      </c>
      <c r="E207" t="inlineStr">
        <is>
          <t>ÄNGELHOLM</t>
        </is>
      </c>
      <c r="G207" t="n">
        <v>10</v>
      </c>
      <c r="H207" t="n">
        <v>0</v>
      </c>
      <c r="I207" t="n">
        <v>0</v>
      </c>
      <c r="J207" t="n">
        <v>1</v>
      </c>
      <c r="K207" t="n">
        <v>0</v>
      </c>
      <c r="L207" t="n">
        <v>0</v>
      </c>
      <c r="M207" t="n">
        <v>0</v>
      </c>
      <c r="N207" t="n">
        <v>0</v>
      </c>
      <c r="O207" t="n">
        <v>1</v>
      </c>
      <c r="P207" t="n">
        <v>0</v>
      </c>
      <c r="Q207" t="n">
        <v>1</v>
      </c>
      <c r="R207" s="2" t="inlineStr">
        <is>
          <t>Borsttåg</t>
        </is>
      </c>
      <c r="S207">
        <f>HYPERLINK("https://klasma.github.io/Logging_1292/artfynd/A 51114-2019 artfynd.xlsx", "A 51114-2019")</f>
        <v/>
      </c>
      <c r="T207">
        <f>HYPERLINK("https://klasma.github.io/Logging_1292/kartor/A 51114-2019 karta.png", "A 51114-2019")</f>
        <v/>
      </c>
      <c r="V207">
        <f>HYPERLINK("https://klasma.github.io/Logging_1292/klagomål/A 51114-2019 FSC-klagomål.docx", "A 51114-2019")</f>
        <v/>
      </c>
      <c r="W207">
        <f>HYPERLINK("https://klasma.github.io/Logging_1292/klagomålsmail/A 51114-2019 FSC-klagomål mail.docx", "A 51114-2019")</f>
        <v/>
      </c>
      <c r="X207">
        <f>HYPERLINK("https://klasma.github.io/Logging_1292/tillsyn/A 51114-2019 tillsynsbegäran.docx", "A 51114-2019")</f>
        <v/>
      </c>
      <c r="Y207">
        <f>HYPERLINK("https://klasma.github.io/Logging_1292/tillsynsmail/A 51114-2019 tillsynsbegäran mail.docx", "A 51114-2019")</f>
        <v/>
      </c>
    </row>
    <row r="208" ht="15" customHeight="1">
      <c r="A208" t="inlineStr">
        <is>
          <t>A 51102-2019</t>
        </is>
      </c>
      <c r="B208" s="1" t="n">
        <v>43732</v>
      </c>
      <c r="C208" s="1" t="n">
        <v>45749</v>
      </c>
      <c r="D208" t="inlineStr">
        <is>
          <t>SKÅNE LÄN</t>
        </is>
      </c>
      <c r="E208" t="inlineStr">
        <is>
          <t>ÖRKELLJUNGA</t>
        </is>
      </c>
      <c r="G208" t="n">
        <v>15</v>
      </c>
      <c r="H208" t="n">
        <v>0</v>
      </c>
      <c r="I208" t="n">
        <v>0</v>
      </c>
      <c r="J208" t="n">
        <v>1</v>
      </c>
      <c r="K208" t="n">
        <v>0</v>
      </c>
      <c r="L208" t="n">
        <v>0</v>
      </c>
      <c r="M208" t="n">
        <v>0</v>
      </c>
      <c r="N208" t="n">
        <v>0</v>
      </c>
      <c r="O208" t="n">
        <v>1</v>
      </c>
      <c r="P208" t="n">
        <v>0</v>
      </c>
      <c r="Q208" t="n">
        <v>1</v>
      </c>
      <c r="R208" s="2" t="inlineStr">
        <is>
          <t>Svinrot</t>
        </is>
      </c>
      <c r="S208">
        <f>HYPERLINK("https://klasma.github.io/Logging_1257/artfynd/A 51102-2019 artfynd.xlsx", "A 51102-2019")</f>
        <v/>
      </c>
      <c r="T208">
        <f>HYPERLINK("https://klasma.github.io/Logging_1257/kartor/A 51102-2019 karta.png", "A 51102-2019")</f>
        <v/>
      </c>
      <c r="V208">
        <f>HYPERLINK("https://klasma.github.io/Logging_1257/klagomål/A 51102-2019 FSC-klagomål.docx", "A 51102-2019")</f>
        <v/>
      </c>
      <c r="W208">
        <f>HYPERLINK("https://klasma.github.io/Logging_1257/klagomålsmail/A 51102-2019 FSC-klagomål mail.docx", "A 51102-2019")</f>
        <v/>
      </c>
      <c r="X208">
        <f>HYPERLINK("https://klasma.github.io/Logging_1257/tillsyn/A 51102-2019 tillsynsbegäran.docx", "A 51102-2019")</f>
        <v/>
      </c>
      <c r="Y208">
        <f>HYPERLINK("https://klasma.github.io/Logging_1257/tillsynsmail/A 51102-2019 tillsynsbegäran mail.docx", "A 51102-2019")</f>
        <v/>
      </c>
    </row>
    <row r="209" ht="15" customHeight="1">
      <c r="A209" t="inlineStr">
        <is>
          <t>A 51847-2019</t>
        </is>
      </c>
      <c r="B209" s="1" t="n">
        <v>43734</v>
      </c>
      <c r="C209" s="1" t="n">
        <v>45749</v>
      </c>
      <c r="D209" t="inlineStr">
        <is>
          <t>SKÅNE LÄN</t>
        </is>
      </c>
      <c r="E209" t="inlineStr">
        <is>
          <t>SJÖBO</t>
        </is>
      </c>
      <c r="G209" t="n">
        <v>1.6</v>
      </c>
      <c r="H209" t="n">
        <v>0</v>
      </c>
      <c r="I209" t="n">
        <v>1</v>
      </c>
      <c r="J209" t="n">
        <v>0</v>
      </c>
      <c r="K209" t="n">
        <v>0</v>
      </c>
      <c r="L209" t="n">
        <v>0</v>
      </c>
      <c r="M209" t="n">
        <v>0</v>
      </c>
      <c r="N209" t="n">
        <v>0</v>
      </c>
      <c r="O209" t="n">
        <v>0</v>
      </c>
      <c r="P209" t="n">
        <v>0</v>
      </c>
      <c r="Q209" t="n">
        <v>1</v>
      </c>
      <c r="R209" s="2" t="inlineStr">
        <is>
          <t>Kamtuffmossa</t>
        </is>
      </c>
      <c r="S209">
        <f>HYPERLINK("https://klasma.github.io/Logging_1265/artfynd/A 51847-2019 artfynd.xlsx", "A 51847-2019")</f>
        <v/>
      </c>
      <c r="T209">
        <f>HYPERLINK("https://klasma.github.io/Logging_1265/kartor/A 51847-2019 karta.png", "A 51847-2019")</f>
        <v/>
      </c>
      <c r="V209">
        <f>HYPERLINK("https://klasma.github.io/Logging_1265/klagomål/A 51847-2019 FSC-klagomål.docx", "A 51847-2019")</f>
        <v/>
      </c>
      <c r="W209">
        <f>HYPERLINK("https://klasma.github.io/Logging_1265/klagomålsmail/A 51847-2019 FSC-klagomål mail.docx", "A 51847-2019")</f>
        <v/>
      </c>
      <c r="X209">
        <f>HYPERLINK("https://klasma.github.io/Logging_1265/tillsyn/A 51847-2019 tillsynsbegäran.docx", "A 51847-2019")</f>
        <v/>
      </c>
      <c r="Y209">
        <f>HYPERLINK("https://klasma.github.io/Logging_1265/tillsynsmail/A 51847-2019 tillsynsbegäran mail.docx", "A 51847-2019")</f>
        <v/>
      </c>
    </row>
    <row r="210" ht="15" customHeight="1">
      <c r="A210" t="inlineStr">
        <is>
          <t>A 50573-2019</t>
        </is>
      </c>
      <c r="B210" s="1" t="n">
        <v>43735</v>
      </c>
      <c r="C210" s="1" t="n">
        <v>45749</v>
      </c>
      <c r="D210" t="inlineStr">
        <is>
          <t>SKÅNE LÄN</t>
        </is>
      </c>
      <c r="E210" t="inlineStr">
        <is>
          <t>OSBY</t>
        </is>
      </c>
      <c r="F210" t="inlineStr">
        <is>
          <t>Naturvårdsverket</t>
        </is>
      </c>
      <c r="G210" t="n">
        <v>5.1</v>
      </c>
      <c r="H210" t="n">
        <v>0</v>
      </c>
      <c r="I210" t="n">
        <v>0</v>
      </c>
      <c r="J210" t="n">
        <v>1</v>
      </c>
      <c r="K210" t="n">
        <v>0</v>
      </c>
      <c r="L210" t="n">
        <v>0</v>
      </c>
      <c r="M210" t="n">
        <v>0</v>
      </c>
      <c r="N210" t="n">
        <v>0</v>
      </c>
      <c r="O210" t="n">
        <v>1</v>
      </c>
      <c r="P210" t="n">
        <v>0</v>
      </c>
      <c r="Q210" t="n">
        <v>1</v>
      </c>
      <c r="R210" s="2" t="inlineStr">
        <is>
          <t>Backmåra</t>
        </is>
      </c>
      <c r="S210">
        <f>HYPERLINK("https://klasma.github.io/Logging_1273/artfynd/A 50573-2019 artfynd.xlsx", "A 50573-2019")</f>
        <v/>
      </c>
      <c r="T210">
        <f>HYPERLINK("https://klasma.github.io/Logging_1273/kartor/A 50573-2019 karta.png", "A 50573-2019")</f>
        <v/>
      </c>
      <c r="V210">
        <f>HYPERLINK("https://klasma.github.io/Logging_1273/klagomål/A 50573-2019 FSC-klagomål.docx", "A 50573-2019")</f>
        <v/>
      </c>
      <c r="W210">
        <f>HYPERLINK("https://klasma.github.io/Logging_1273/klagomålsmail/A 50573-2019 FSC-klagomål mail.docx", "A 50573-2019")</f>
        <v/>
      </c>
      <c r="X210">
        <f>HYPERLINK("https://klasma.github.io/Logging_1273/tillsyn/A 50573-2019 tillsynsbegäran.docx", "A 50573-2019")</f>
        <v/>
      </c>
      <c r="Y210">
        <f>HYPERLINK("https://klasma.github.io/Logging_1273/tillsynsmail/A 50573-2019 tillsynsbegäran mail.docx", "A 50573-2019")</f>
        <v/>
      </c>
    </row>
    <row r="211" ht="15" customHeight="1">
      <c r="A211" t="inlineStr">
        <is>
          <t>A 53436-2019</t>
        </is>
      </c>
      <c r="B211" s="1" t="n">
        <v>43748</v>
      </c>
      <c r="C211" s="1" t="n">
        <v>45749</v>
      </c>
      <c r="D211" t="inlineStr">
        <is>
          <t>SKÅNE LÄN</t>
        </is>
      </c>
      <c r="E211" t="inlineStr">
        <is>
          <t>OSBY</t>
        </is>
      </c>
      <c r="G211" t="n">
        <v>2.8</v>
      </c>
      <c r="H211" t="n">
        <v>1</v>
      </c>
      <c r="I211" t="n">
        <v>0</v>
      </c>
      <c r="J211" t="n">
        <v>0</v>
      </c>
      <c r="K211" t="n">
        <v>0</v>
      </c>
      <c r="L211" t="n">
        <v>0</v>
      </c>
      <c r="M211" t="n">
        <v>0</v>
      </c>
      <c r="N211" t="n">
        <v>0</v>
      </c>
      <c r="O211" t="n">
        <v>0</v>
      </c>
      <c r="P211" t="n">
        <v>0</v>
      </c>
      <c r="Q211" t="n">
        <v>1</v>
      </c>
      <c r="R211" s="2" t="inlineStr">
        <is>
          <t>Revlummer</t>
        </is>
      </c>
      <c r="S211">
        <f>HYPERLINK("https://klasma.github.io/Logging_1273/artfynd/A 53436-2019 artfynd.xlsx", "A 53436-2019")</f>
        <v/>
      </c>
      <c r="T211">
        <f>HYPERLINK("https://klasma.github.io/Logging_1273/kartor/A 53436-2019 karta.png", "A 53436-2019")</f>
        <v/>
      </c>
      <c r="V211">
        <f>HYPERLINK("https://klasma.github.io/Logging_1273/klagomål/A 53436-2019 FSC-klagomål.docx", "A 53436-2019")</f>
        <v/>
      </c>
      <c r="W211">
        <f>HYPERLINK("https://klasma.github.io/Logging_1273/klagomålsmail/A 53436-2019 FSC-klagomål mail.docx", "A 53436-2019")</f>
        <v/>
      </c>
      <c r="X211">
        <f>HYPERLINK("https://klasma.github.io/Logging_1273/tillsyn/A 53436-2019 tillsynsbegäran.docx", "A 53436-2019")</f>
        <v/>
      </c>
      <c r="Y211">
        <f>HYPERLINK("https://klasma.github.io/Logging_1273/tillsynsmail/A 53436-2019 tillsynsbegäran mail.docx", "A 53436-2019")</f>
        <v/>
      </c>
    </row>
    <row r="212" ht="15" customHeight="1">
      <c r="A212" t="inlineStr">
        <is>
          <t>A 57275-2019</t>
        </is>
      </c>
      <c r="B212" s="1" t="n">
        <v>43760</v>
      </c>
      <c r="C212" s="1" t="n">
        <v>45749</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45749</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45749</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45749</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45749</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45749</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45749</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45749</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45749</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45749</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45749</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45749</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45749</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45749</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45749</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45749</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45749</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45749</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45749</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45749</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45749</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45749</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45749</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45749</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45749</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45749</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45749</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45749</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45749</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45749</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45749</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45749</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45749</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45749</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45749</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45749</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45749</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45749</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45749</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45749</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45749</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45749</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45749</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45749</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45749</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45749</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45749</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45749</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45749</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45749</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45749</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45749</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45749</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45749</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45749</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45749</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45749</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45749</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45749</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45749</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45749</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45749</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45749</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45749</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45749</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45749</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45749</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45749</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45749</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45749</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45749</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45749</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45749</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45749</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45749</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45749</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45749</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45749</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45749</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45749</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45749</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45749</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45749</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45749</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45749</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45749</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45749</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45749</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45749</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45749</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45749</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45749</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45749</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45749</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45749</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45749</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45749</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45749</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45749</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45749</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45749</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45749</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45749</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45749</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45749</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45749</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45749</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45749</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45749</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45749</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45749</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45749</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45749</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45749</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45749</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45749</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45749</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45749</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45749</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45749</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45749</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45749</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45749</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45749</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45749</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45749</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45749</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45749</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45749</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45749</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45749</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45749</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45749</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45749</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45749</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45749</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45749</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45749</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45749</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45749</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45749</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45749</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45749</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45749</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45749</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45749</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45749</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45749</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45749</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45749</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45749</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45749</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45749</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45749</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45749</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45749</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45749</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45749</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45749</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45749</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45749</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45749</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45749</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45749</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45749</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45749</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45749</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45749</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45749</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45749</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45749</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45749</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45749</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45749</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45749</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45749</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45749</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45749</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45749</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45749</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45749</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45749</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45749</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45749</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45749</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45749</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45749</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45749</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45749</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45749</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45749</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45749</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45749</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45749</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45749</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45749</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45749</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45749</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45749</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45749</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45749</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45749</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HYPERLINK("https://klasma.github.io/Logging_121276/artfynd/A 10000-2025 artfynd.xlsx", "A 10000-2025")</f>
        <v/>
      </c>
      <c r="T413">
        <f>HYPERLINK("https://klasma.github.io/Logging_121276/kartor/A 10000-2025 karta.png", "A 10000-2025")</f>
        <v/>
      </c>
      <c r="V413">
        <f>HYPERLINK("https://klasma.github.io/Logging_121276/klagomål/A 10000-2025 FSC-klagomål.docx", "A 10000-2025")</f>
        <v/>
      </c>
      <c r="W413">
        <f>HYPERLINK("https://klasma.github.io/Logging_121276/klagomålsmail/A 10000-2025 FSC-klagomål mail.docx", "A 10000-2025")</f>
        <v/>
      </c>
      <c r="X413">
        <f>HYPERLINK("https://klasma.github.io/Logging_121276/tillsyn/A 10000-2025 tillsynsbegäran.docx", "A 10000-2025")</f>
        <v/>
      </c>
      <c r="Y413">
        <f>HYPERLINK("https://klasma.github.io/Logging_121276/tillsynsmail/A 10000-2025 tillsynsbegäran mail.docx", "A 10000-2025")</f>
        <v/>
      </c>
    </row>
    <row r="414" ht="15" customHeight="1">
      <c r="A414" t="inlineStr">
        <is>
          <t>A 11720-2025</t>
        </is>
      </c>
      <c r="B414" s="1" t="n">
        <v>45727</v>
      </c>
      <c r="C414" s="1" t="n">
        <v>45749</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HYPERLINK("https://klasma.github.io/Logging_121290/artfynd/A 11720-2025 artfynd.xlsx", "A 11720-2025")</f>
        <v/>
      </c>
      <c r="T414">
        <f>HYPERLINK("https://klasma.github.io/Logging_121290/kartor/A 11720-2025 karta.png", "A 11720-2025")</f>
        <v/>
      </c>
      <c r="V414">
        <f>HYPERLINK("https://klasma.github.io/Logging_121290/klagomål/A 11720-2025 FSC-klagomål.docx", "A 11720-2025")</f>
        <v/>
      </c>
      <c r="W414">
        <f>HYPERLINK("https://klasma.github.io/Logging_121290/klagomålsmail/A 11720-2025 FSC-klagomål mail.docx", "A 11720-2025")</f>
        <v/>
      </c>
      <c r="X414">
        <f>HYPERLINK("https://klasma.github.io/Logging_121290/tillsyn/A 11720-2025 tillsynsbegäran.docx", "A 11720-2025")</f>
        <v/>
      </c>
      <c r="Y414">
        <f>HYPERLINK("https://klasma.github.io/Logging_121290/tillsynsmail/A 11720-2025 tillsynsbegäran mail.docx", "A 11720-2025")</f>
        <v/>
      </c>
    </row>
    <row r="415" ht="15" customHeight="1">
      <c r="A415" t="inlineStr">
        <is>
          <t>A 12159-2025</t>
        </is>
      </c>
      <c r="B415" s="1" t="n">
        <v>45729</v>
      </c>
      <c r="C415" s="1" t="n">
        <v>45749</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HYPERLINK("https://klasma.github.io/Logging_121272/artfynd/A 12159-2025 artfynd.xlsx", "A 12159-2025")</f>
        <v/>
      </c>
      <c r="T415">
        <f>HYPERLINK("https://klasma.github.io/Logging_121272/kartor/A 12159-2025 karta.png", "A 12159-2025")</f>
        <v/>
      </c>
      <c r="V415">
        <f>HYPERLINK("https://klasma.github.io/Logging_121272/klagomål/A 12159-2025 FSC-klagomål.docx", "A 12159-2025")</f>
        <v/>
      </c>
      <c r="W415">
        <f>HYPERLINK("https://klasma.github.io/Logging_121272/klagomålsmail/A 12159-2025 FSC-klagomål mail.docx", "A 12159-2025")</f>
        <v/>
      </c>
      <c r="X415">
        <f>HYPERLINK("https://klasma.github.io/Logging_121272/tillsyn/A 12159-2025 tillsynsbegäran.docx", "A 12159-2025")</f>
        <v/>
      </c>
      <c r="Y415">
        <f>HYPERLINK("https://klasma.github.io/Logging_121272/tillsynsmail/A 12159-2025 tillsynsbegäran mail.docx", "A 12159-2025")</f>
        <v/>
      </c>
    </row>
    <row r="416" ht="15" customHeight="1">
      <c r="A416" t="inlineStr">
        <is>
          <t>A 13182-2025</t>
        </is>
      </c>
      <c r="B416" s="1" t="n">
        <v>45735</v>
      </c>
      <c r="C416" s="1" t="n">
        <v>45749</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HYPERLINK("https://klasma.github.io/Logging_121281/artfynd/A 13182-2025 artfynd.xlsx", "A 13182-2025")</f>
        <v/>
      </c>
      <c r="T416">
        <f>HYPERLINK("https://klasma.github.io/Logging_121281/kartor/A 13182-2025 karta.png", "A 13182-2025")</f>
        <v/>
      </c>
      <c r="V416">
        <f>HYPERLINK("https://klasma.github.io/Logging_121281/klagomål/A 13182-2025 FSC-klagomål.docx", "A 13182-2025")</f>
        <v/>
      </c>
      <c r="W416">
        <f>HYPERLINK("https://klasma.github.io/Logging_121281/klagomålsmail/A 13182-2025 FSC-klagomål mail.docx", "A 13182-2025")</f>
        <v/>
      </c>
      <c r="X416">
        <f>HYPERLINK("https://klasma.github.io/Logging_121281/tillsyn/A 13182-2025 tillsynsbegäran.docx", "A 13182-2025")</f>
        <v/>
      </c>
      <c r="Y416">
        <f>HYPERLINK("https://klasma.github.io/Logging_121281/tillsynsmail/A 13182-2025 tillsynsbegäran mail.docx", "A 13182-2025")</f>
        <v/>
      </c>
    </row>
    <row r="417" ht="15" customHeight="1">
      <c r="A417" t="inlineStr">
        <is>
          <t>A 18175-2019</t>
        </is>
      </c>
      <c r="B417" s="1" t="n">
        <v>43556</v>
      </c>
      <c r="C417" s="1" t="n">
        <v>45749</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45749</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45749</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45749</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45749</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45749</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45749</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45749</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45749</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45749</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45749</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45749</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45749</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45749</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45749</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45749</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45749</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45749</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45749</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45749</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45749</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45749</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45749</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45749</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45749</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45749</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45749</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45749</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45749</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45749</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45749</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45749</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45749</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45749</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45749</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45749</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45749</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45749</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45749</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45749</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45749</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45749</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45749</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45749</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45749</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45749</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45749</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45749</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45749</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45749</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45749</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45749</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45749</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45749</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45749</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45749</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45749</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45749</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45749</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45749</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45749</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45749</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45749</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45749</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45749</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45749</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45749</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45749</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45749</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45749</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45749</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45749</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45749</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45749</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45749</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45749</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45749</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45749</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45749</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45749</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45749</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45749</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45749</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45749</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45749</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45749</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45749</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45749</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45749</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45749</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45749</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45749</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45749</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45749</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45749</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45749</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45749</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45749</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45749</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45749</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45749</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45749</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45749</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45749</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45749</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45749</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45749</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45749</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45749</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45749</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45749</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45749</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45749</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45749</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45749</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45749</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45749</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45749</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45749</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45749</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45749</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45749</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45749</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45749</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45749</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45749</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45749</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45749</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45749</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45749</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45749</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45749</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45749</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45749</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45749</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45749</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45749</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45749</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45749</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45749</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45749</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45749</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45749</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45749</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45749</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45749</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45749</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45749</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45749</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45749</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45749</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45749</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45749</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45749</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45749</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45749</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45749</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45749</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45749</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45749</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45749</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45749</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45749</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45749</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45749</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45749</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45749</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45749</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45749</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45749</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45749</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45749</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45749</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45749</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45749</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45749</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45749</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45749</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45749</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45749</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45749</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45749</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45749</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45749</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45749</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45749</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45749</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45749</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45749</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45749</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45749</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45749</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45749</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45749</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45749</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45749</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45749</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45749</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45749</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45749</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45749</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45749</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45749</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45749</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45749</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45749</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45749</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45749</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45749</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45749</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45749</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45749</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45749</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45749</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45749</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45749</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45749</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45749</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45749</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45749</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45749</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45749</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45749</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45749</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45749</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45749</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45749</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45749</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45749</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45749</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45749</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45749</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45749</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45749</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45749</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45749</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45749</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45749</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45749</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45749</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45749</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45749</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45749</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45749</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45749</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45749</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45749</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45749</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45749</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45749</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45749</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45749</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45749</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45749</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45749</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45749</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45749</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45749</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45749</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45749</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45749</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45749</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45749</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45749</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45749</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45749</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45749</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45749</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45749</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45749</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45749</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45749</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45749</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45749</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45749</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45749</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45749</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45749</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45749</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45749</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45749</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45749</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45749</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45749</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45749</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45749</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45749</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45749</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45749</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45749</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45749</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45749</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45749</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45749</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45749</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45749</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45749</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45749</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45749</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45749</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45749</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45749</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45749</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45749</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45749</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45749</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45749</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45749</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45749</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45749</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45749</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45749</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45749</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45749</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45749</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45749</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45749</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45749</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45749</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45749</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45749</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45749</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45749</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45749</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45749</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45749</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45749</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45749</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45749</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45749</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45749</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45749</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45749</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45749</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45749</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45749</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45749</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45749</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45749</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45749</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45749</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45749</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45749</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45749</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45749</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45749</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45749</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45749</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45749</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45749</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45749</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45749</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45749</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45749</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45749</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45749</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45749</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45749</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45749</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45749</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45749</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45749</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45749</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45749</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45749</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45749</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45749</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45749</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45749</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45749</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45749</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45749</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45749</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45749</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45749</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45749</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45749</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45749</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45749</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45749</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45749</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45749</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45749</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45749</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45749</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45749</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45749</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45749</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45749</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45749</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45749</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45749</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45749</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45749</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45749</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45749</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45749</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45749</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45749</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45749</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45749</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45749</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45749</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45749</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45749</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45749</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45749</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45749</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45749</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45749</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45749</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45749</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45749</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45749</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45749</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45749</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45749</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45749</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45749</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45749</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45749</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45749</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45749</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45749</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45749</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45749</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45749</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45749</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45749</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45749</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45749</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45749</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45749</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45749</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45749</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45749</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45749</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45749</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45749</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45749</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45749</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45749</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45749</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45749</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45749</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45749</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45749</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45749</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45749</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45749</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45749</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45749</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45749</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45749</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45749</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45749</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45749</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45749</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45749</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45749</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45749</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45749</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45749</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45749</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45749</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45749</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45749</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45749</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45749</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45749</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45749</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45749</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45749</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45749</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45749</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45749</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45749</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45749</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45749</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45749</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45749</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45749</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45749</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45749</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45749</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45749</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45749</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45749</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45749</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45749</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45749</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45749</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45749</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45749</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45749</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45749</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45749</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45749</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45749</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45749</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45749</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45749</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45749</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45749</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45749</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45749</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45749</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45749</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45749</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45749</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45749</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45749</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45749</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45749</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45749</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45749</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45749</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45749</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45749</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45749</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45749</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45749</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45749</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45749</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45749</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45749</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45749</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45749</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45749</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45749</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45749</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45749</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45749</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45749</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45749</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45749</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45749</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45749</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45749</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45749</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45749</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45749</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45749</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45749</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45749</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45749</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45749</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45749</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45749</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45749</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45749</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45749</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45749</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45749</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45749</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45749</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45749</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45749</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45749</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45749</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45749</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45749</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45749</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45749</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45749</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45749</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45749</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45749</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45749</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45749</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45749</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45749</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45749</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45749</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45749</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45749</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45749</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45749</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45749</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45749</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45749</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45749</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45749</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45749</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45749</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45749</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45749</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45749</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45749</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45749</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45749</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45749</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45749</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45749</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45749</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45749</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45749</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45749</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45749</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45749</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45749</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45749</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45749</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45749</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45749</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45749</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45749</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45749</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45749</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45749</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45749</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45749</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45749</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45749</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45749</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45749</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45749</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45749</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45749</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45749</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45749</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45749</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45749</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45749</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45749</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45749</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45749</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45749</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45749</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45749</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45749</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45749</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45749</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45749</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45749</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45749</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45749</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45749</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45749</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45749</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45749</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45749</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45749</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45749</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45749</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45749</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45749</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45749</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45749</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45749</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45749</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45749</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45749</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45749</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45749</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45749</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45749</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45749</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45749</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45749</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45749</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45749</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45749</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45749</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45749</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45749</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45749</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45749</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45749</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45749</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45749</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45749</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45749</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45749</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45749</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45749</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45749</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45749</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45749</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45749</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45749</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45749</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45749</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45749</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45749</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45749</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45749</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45749</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45749</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45749</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45749</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45749</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45749</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45749</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45749</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45749</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45749</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45749</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45749</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45749</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45749</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45749</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45749</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45749</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45749</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45749</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45749</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45749</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45749</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45749</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45749</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45749</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45749</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45749</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45749</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45749</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45749</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45749</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45749</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45749</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45749</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45749</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45749</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45749</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45749</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45749</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45749</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45749</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45749</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45749</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45749</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45749</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45749</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45749</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45749</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45749</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45749</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45749</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45749</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45749</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45749</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45749</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45749</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45749</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45749</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45749</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45749</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45749</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45749</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45749</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45749</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45749</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45749</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45749</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45749</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45749</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45749</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45749</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45749</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45749</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45749</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45749</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45749</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45749</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45749</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45749</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45749</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45749</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45749</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45749</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45749</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45749</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45749</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45749</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45749</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45749</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45749</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45749</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45749</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45749</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45749</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45749</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45749</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45749</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45749</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45749</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45749</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45749</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45749</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45749</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45749</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45749</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45749</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45749</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45749</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45749</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45749</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45749</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45749</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45749</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45749</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45749</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45749</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45749</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45749</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45749</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45749</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45749</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45749</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45749</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45749</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45749</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45749</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45749</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45749</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45749</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45749</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45749</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45749</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45749</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45749</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45749</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45749</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45749</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45749</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45749</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45749</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45749</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45749</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45749</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45749</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45749</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45749</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45749</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45749</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45749</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45749</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45749</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45749</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45749</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45749</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45749</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45749</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45749</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45749</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45749</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45749</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45749</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45749</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45749</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45749</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45749</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45749</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45749</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45749</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45749</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45749</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45749</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45749</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45749</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45749</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45749</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45749</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45749</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45749</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45749</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45749</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45749</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45749</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45749</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45749</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45749</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45749</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45749</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45749</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45749</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45749</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45749</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45749</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45749</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45749</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45749</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45749</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45749</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45749</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45749</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45749</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45749</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45749</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45749</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45749</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45749</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45749</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45749</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45749</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45749</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45749</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45749</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45749</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45749</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45749</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45749</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45749</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45749</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45749</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45749</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45749</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45749</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45749</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45749</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45749</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45749</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45749</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45749</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45749</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45749</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45749</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45749</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45749</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45749</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45749</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45749</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45749</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45749</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45749</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45749</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45749</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45749</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45749</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45749</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45749</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45749</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45749</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45749</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45749</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45749</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45749</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45749</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45749</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45749</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45749</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45749</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45749</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45749</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45749</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45749</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45749</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45749</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45749</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45749</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45749</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45749</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45749</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45749</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45749</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45749</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45749</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45749</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45749</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45749</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45749</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45749</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45749</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45749</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45749</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45749</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45749</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45749</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45749</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45749</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45749</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45749</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45749</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45749</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45749</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45749</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45749</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45749</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45749</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45749</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45749</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45749</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45749</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45749</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45749</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45749</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45749</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45749</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45749</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45749</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45749</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45749</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45749</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45749</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45749</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45749</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45749</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45749</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45749</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45749</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45749</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45749</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45749</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45749</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45749</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45749</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45749</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45749</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45749</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45749</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45749</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45749</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45749</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45749</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45749</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45749</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45749</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45749</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45749</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45749</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45749</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45749</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45749</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45749</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45749</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45749</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45749</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45749</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45749</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45749</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45749</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45749</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45749</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45749</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45749</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45749</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45749</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45749</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45749</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45749</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45749</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45749</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45749</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45749</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45749</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45749</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45749</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45749</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45749</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45749</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45749</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45749</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45749</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45749</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45749</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45749</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45749</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45749</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45749</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45749</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45749</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45749</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45749</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45749</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45749</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45749</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45749</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45749</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45749</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45749</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45749</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45749</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45749</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45749</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45749</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45749</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45749</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45749</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45749</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45749</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45749</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45749</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45749</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45749</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45749</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45749</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45749</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45749</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45749</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45749</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45749</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45749</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45749</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45749</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45749</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45749</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45749</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45749</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45749</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45749</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45749</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45749</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45749</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45749</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45749</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45749</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45749</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45749</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45749</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45749</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45749</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45749</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45749</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45749</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45749</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45749</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45749</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45749</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45749</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45749</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45749</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45749</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45749</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45749</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45749</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45749</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45749</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45749</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45749</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45749</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45749</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45749</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45749</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45749</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45749</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45749</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45749</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45749</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45749</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45749</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45749</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45749</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45749</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45749</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45749</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45749</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45749</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45749</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45749</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45749</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45749</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45749</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45749</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45749</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45749</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45749</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45749</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45749</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45749</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45749</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45749</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45749</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45749</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45749</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45749</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45749</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45749</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45749</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45749</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45749</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45749</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45749</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45749</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45749</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45749</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45749</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45749</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45749</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45749</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45749</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45749</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45749</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45749</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45749</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45749</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45749</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45749</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45749</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45749</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45749</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45749</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45749</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45749</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45749</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45749</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45749</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45749</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45749</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45749</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45749</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45749</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45749</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45749</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45749</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45749</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45749</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45749</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45749</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45749</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45749</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45749</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45749</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45749</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45749</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45749</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45749</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45749</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45749</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45749</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45749</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45749</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45749</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45749</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45749</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45749</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45749</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45749</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45749</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45749</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45749</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45749</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45749</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45749</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45749</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45749</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45749</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45749</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45749</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45749</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45749</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45749</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45749</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45749</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45749</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45749</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45749</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45749</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45749</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45749</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45749</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45749</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45749</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45749</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45749</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45749</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45749</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45749</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45749</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45749</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45749</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45749</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45749</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45749</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45749</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45749</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45749</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45749</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45749</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45749</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45749</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45749</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45749</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45749</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45749</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45749</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45749</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45749</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45749</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45749</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45749</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45749</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45749</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45749</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45749</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45749</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45749</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45749</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45749</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45749</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45749</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45749</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45749</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45749</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45749</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45749</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45749</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45749</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45749</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45749</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45749</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45749</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45749</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45749</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45749</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45749</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45749</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45749</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45749</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45749</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45749</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45749</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45749</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45749</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45749</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45749</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45749</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45749</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45749</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45749</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45749</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45749</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45749</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45749</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45749</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45749</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45749</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45749</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45749</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45749</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45749</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45749</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45749</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45749</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45749</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45749</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45749</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45749</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45749</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45749</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45749</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45749</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45749</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45749</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45749</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45749</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45749</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45749</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45749</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45749</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45749</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45749</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45749</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45749</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45749</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45749</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45749</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45749</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45749</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45749</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45749</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45749</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45749</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45749</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45749</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45749</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45749</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45749</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45749</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45749</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45749</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45749</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45749</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45749</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45749</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45749</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45749</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45749</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45749</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45749</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45749</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45749</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45749</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45749</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45749</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45749</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45749</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45749</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45749</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45749</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45749</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45749</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45749</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45749</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45749</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45749</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45749</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45749</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45749</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45749</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45749</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45749</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45749</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45749</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45749</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45749</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45749</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45749</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45749</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45749</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45749</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45749</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45749</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45749</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45749</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45749</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45749</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45749</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45749</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45749</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45749</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45749</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45749</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45749</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45749</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45749</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45749</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45749</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45749</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45749</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45749</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45749</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45749</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45749</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45749</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45749</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45749</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45749</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45749</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45749</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45749</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45749</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45749</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45749</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45749</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45749</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45749</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45749</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45749</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45749</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45749</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45749</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45749</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45749</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45749</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45749</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45749</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45749</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45749</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45749</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45749</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45749</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45749</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45749</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45749</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45749</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45749</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45749</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45749</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45749</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45749</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45749</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45749</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45749</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45749</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45749</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45749</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45749</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45749</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45749</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45749</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45749</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45749</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45749</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45749</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45749</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45749</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45749</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45749</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45749</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45749</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45749</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45749</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45749</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45749</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45749</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45749</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45749</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45749</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45749</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45749</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45749</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45749</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45749</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45749</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45749</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45749</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45749</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45749</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45749</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45749</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45749</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45749</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45749</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45749</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45749</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45749</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45749</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45749</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45749</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45749</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45749</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45749</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45749</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45749</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45749</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45749</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45749</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45749</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45749</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45749</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45749</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45749</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45749</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45749</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45749</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45749</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45749</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45749</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45749</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45749</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45749</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45749</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45749</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45749</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45749</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45749</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45749</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45749</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45749</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45749</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45749</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45749</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45749</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45749</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45749</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45749</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45749</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45749</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45749</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45749</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45749</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45749</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45749</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45749</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45749</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45749</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45749</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45749</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45749</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45749</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45749</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45749</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45749</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45749</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45749</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45749</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45749</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45749</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45749</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45749</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45749</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45749</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45749</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45749</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45749</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45749</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45749</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45749</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45749</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45749</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45749</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45749</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45749</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45749</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45749</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45749</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45749</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45749</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45749</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45749</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45749</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45749</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45749</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45749</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45749</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45749</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45749</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45749</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45749</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45749</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45749</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45749</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45749</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45749</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45749</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45749</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45749</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45749</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45749</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45749</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45749</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45749</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45749</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45749</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45749</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45749</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45749</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45749</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45749</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45749</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45749</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45749</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45749</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45749</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45749</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45749</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45749</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45749</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45749</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45749</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45749</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45749</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45749</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45749</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45749</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45749</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45749</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45749</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45749</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45749</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45749</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45749</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45749</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45749</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45749</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45749</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45749</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45749</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45749</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45749</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45749</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45749</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45749</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45749</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45749</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45749</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45749</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45749</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45749</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45749</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45749</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45749</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45749</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45749</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45749</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45749</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45749</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45749</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45749</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45749</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45749</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45749</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45749</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45749</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45749</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45749</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45749</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45749</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45749</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45749</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45749</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45749</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45749</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45749</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45749</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45749</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45749</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45749</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45749</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45749</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45749</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45749</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45749</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45749</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45749</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45749</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45749</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45749</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45749</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45749</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45749</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45749</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45749</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45749</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45749</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45749</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45749</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45749</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45749</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45749</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45749</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45749</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45749</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45749</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45749</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45749</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45749</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45749</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45749</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45749</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45749</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45749</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45749</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45749</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45749</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45749</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45749</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45749</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45749</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45749</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45749</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45749</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45749</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45749</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45749</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45749</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45749</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45749</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45749</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45749</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45749</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45749</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45749</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45749</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45749</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45749</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45749</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45749</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45749</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45749</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45749</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45749</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45749</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45749</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45749</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45749</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45749</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45749</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45749</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45749</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45749</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45749</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45749</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45749</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45749</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45749</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45749</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45749</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45749</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45749</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45749</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45749</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45749</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45749</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45749</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45749</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45749</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45749</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45749</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45749</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45749</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45749</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45749</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45749</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45749</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45749</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45749</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45749</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45749</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45749</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45749</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45749</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45749</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45749</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45749</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45749</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45749</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45749</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45749</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45749</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45749</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45749</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45749</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45749</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45749</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45749</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45749</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45749</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45749</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45749</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45749</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45749</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45749</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45749</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45749</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45749</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45749</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45749</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45749</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45749</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45749</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45749</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45749</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45749</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45749</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45749</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45749</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45749</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45749</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45749</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45749</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45749</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45749</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45749</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45749</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45749</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45749</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45749</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45749</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45749</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45749</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45749</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45749</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45749</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45749</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45749</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45749</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45749</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45749</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45749</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45749</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45749</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45749</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45749</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45749</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45749</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45749</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45749</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45749</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45749</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45749</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45749</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45749</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45749</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45749</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45749</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45749</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45749</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45749</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45749</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45749</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45749</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45749</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45749</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45749</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45749</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45749</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45749</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45749</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45749</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45749</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45749</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45749</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45749</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45749</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45749</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45749</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45749</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45749</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45749</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45749</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45749</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45749</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45749</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45749</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45749</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45749</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45749</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45749</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45749</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45749</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45749</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45749</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45749</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45749</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45749</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45749</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45749</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45749</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45749</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45749</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45749</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45749</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45749</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45749</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45749</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45749</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45749</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45749</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45749</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45749</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45749</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45749</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45749</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45749</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45749</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45749</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45749</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45749</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45749</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45749</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45749</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45749</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45749</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45749</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45749</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45749</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45749</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45749</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45749</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45749</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45749</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45749</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45749</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45749</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45749</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45749</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45749</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45749</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45749</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45749</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45749</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45749</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45749</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45749</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45749</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45749</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45749</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45749</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45749</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45749</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45749</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45749</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45749</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45749</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45749</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45749</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45749</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45749</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45749</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45749</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45749</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45749</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45749</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45749</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45749</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45749</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45749</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45749</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45749</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45749</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45749</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45749</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45749</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45749</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45749</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45749</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45749</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45749</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45749</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45749</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45749</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45749</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45749</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45749</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45749</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45749</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45749</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45749</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45749</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45749</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45749</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45749</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45749</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45749</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45749</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45749</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45749</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45749</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45749</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45749</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45749</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45749</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45749</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45749</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45749</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45749</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45749</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45749</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45749</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45749</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45749</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45749</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45749</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45749</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45749</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45749</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45749</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45749</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45749</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45749</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45749</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45749</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45749</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45749</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45749</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45749</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45749</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45749</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45749</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45749</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45749</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45749</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45749</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45749</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45749</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45749</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45749</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45749</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45749</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45749</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45749</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45749</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45749</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45749</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45749</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45749</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45749</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45749</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45749</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45749</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45749</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45749</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45749</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45749</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45749</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45749</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45749</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45749</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45749</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45749</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45749</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45749</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45749</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45749</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45749</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45749</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45749</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45749</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45749</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45749</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45749</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45749</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45749</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45749</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45749</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45749</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45749</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45749</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45749</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45749</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45749</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45749</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45749</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45749</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45749</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45749</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45749</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45749</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45749</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45749</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45749</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45749</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45749</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45749</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45749</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45749</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45749</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45749</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45749</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45749</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45749</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45749</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45749</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45749</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45749</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45749</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45749</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45749</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45749</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45749</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45749</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45749</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45749</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45749</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45749</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45749</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45749</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45749</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45749</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45749</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45749</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45749</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45749</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45749</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45749</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45749</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45749</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45749</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45749</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45749</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45749</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45749</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45749</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45749</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45749</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45749</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45749</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45749</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45749</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45749</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45749</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45749</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45749</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45749</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45749</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45749</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45749</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45749</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45749</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45749</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45749</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45749</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45749</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45749</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45749</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45749</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45749</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45749</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45749</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45749</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45749</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45749</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45749</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45749</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45749</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45749</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45749</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45749</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45749</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45749</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45749</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45749</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45749</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45749</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45749</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45749</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45749</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45749</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45749</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45749</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45749</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45749</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45749</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45749</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45749</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45749</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45749</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45749</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45749</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45749</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45749</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45749</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45749</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45749</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45749</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45749</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45749</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45749</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45749</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45749</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45749</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45749</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45749</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45749</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45749</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45749</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45749</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45749</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45749</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45749</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45749</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45749</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45749</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45749</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45749</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45749</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45749</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45749</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45749</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45749</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45749</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45749</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45749</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45749</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45749</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45749</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45749</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45749</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45749</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45749</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45749</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45749</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45749</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45749</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45749</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45749</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45749</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45749</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45749</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45749</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45749</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45749</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45749</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45749</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45749</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45749</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45749</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45749</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45749</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45749</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45749</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45749</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45749</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45749</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45749</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45749</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45749</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45749</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45749</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45749</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45749</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45749</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45749</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45749</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45749</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45749</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45749</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45749</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45749</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45749</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45749</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45749</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45749</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45749</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45749</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45749</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45749</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45749</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45749</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45749</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45749</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45749</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45749</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45749</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45749</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45749</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45749</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45749</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45749</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45749</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45749</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45749</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45749</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45749</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45749</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45749</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45749</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45749</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45749</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45749</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45749</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45749</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45749</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45749</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45749</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45749</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45749</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45749</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45749</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45749</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45749</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45749</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45749</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45749</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45749</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45749</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45749</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45749</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45749</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45749</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45749</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45749</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45749</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45749</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45749</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45749</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45749</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45749</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45749</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45749</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45749</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45749</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45749</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45749</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45749</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45749</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45749</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45749</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45749</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45749</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45749</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45749</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45749</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45749</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45749</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45749</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45749</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45749</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45749</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45749</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45749</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45749</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45749</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45749</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45749</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45749</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45749</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45749</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45749</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45749</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45749</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45749</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45749</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45749</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45749</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45749</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45749</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45749</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45749</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45749</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45749</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45749</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45749</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45749</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45749</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45749</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45749</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45749</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45749</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45749</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45749</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45749</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45749</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45749</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45749</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45749</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45749</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45749</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45749</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45749</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45749</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45749</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45749</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45749</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45749</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45749</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45749</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45749</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45749</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45749</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45749</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45749</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45749</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45749</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45749</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45749</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45749</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45749</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45749</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45749</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45749</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45749</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45749</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45749</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45749</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45749</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45749</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45749</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45749</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45749</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45749</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45749</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45749</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45749</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45749</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45749</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45749</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45749</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45749</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45749</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45749</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45749</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45749</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45749</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45749</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45749</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45749</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45749</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45749</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45749</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45749</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45749</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45749</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45749</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45749</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45749</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45749</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45749</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45749</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45749</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45749</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45749</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45749</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45749</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45749</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45749</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45749</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45749</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45749</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45749</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45749</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45749</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45749</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45749</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45749</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45749</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45749</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45749</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45749</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45749</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45749</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45749</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45749</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45749</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45749</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45749</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45749</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45749</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45749</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45749</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45749</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45749</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45749</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45749</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45749</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45749</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45749</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45749</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45749</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45749</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45749</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45749</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45749</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45749</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45749</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45749</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45749</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45749</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45749</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45749</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45749</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45749</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45749</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45749</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45749</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45749</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45749</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45749</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45749</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45749</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45749</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45749</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45749</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45749</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45749</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45749</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45749</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45749</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45749</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45749</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45749</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45749</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45749</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45749</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45749</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45749</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45749</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45749</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45749</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45749</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45749</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45749</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45749</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45749</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45749</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45749</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45749</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45749</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45749</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45749</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45749</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45749</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45749</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45749</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45749</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45749</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45749</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45749</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45749</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45749</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45749</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45749</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45749</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45749</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45749</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45749</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45749</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45749</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45749</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45749</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45749</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45749</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45749</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45749</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45749</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45749</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45749</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45749</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45749</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45749</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45749</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45749</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45749</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45749</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45749</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45749</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45749</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45749</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45749</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45749</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45749</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45749</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45749</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45749</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45749</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45749</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45749</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45749</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45749</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45749</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45749</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45749</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45749</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45749</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45749</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45749</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45749</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45749</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45749</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45749</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45749</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45749</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45749</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45749</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45749</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45749</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45749</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45749</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45749</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45749</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45749</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45749</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45749</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45749</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45749</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45749</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45749</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45749</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45749</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45749</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45749</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45749</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45749</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45749</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45749</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45749</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45749</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45749</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45749</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45749</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45749</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45749</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45749</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45749</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45749</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45749</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45749</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45749</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45749</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45749</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45749</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45749</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45749</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45749</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45749</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45749</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45749</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45749</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45749</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45749</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45749</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45749</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45749</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45749</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45749</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45749</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45749</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45749</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45749</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45749</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45749</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45749</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45749</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45749</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45749</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45749</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45749</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45749</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45749</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45749</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45749</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45749</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45749</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45749</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45749</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45749</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45749</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45749</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45749</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45749</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45749</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45749</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45749</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45749</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45749</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45749</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45749</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45749</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45749</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45749</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45749</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45749</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45749</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45749</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45749</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45749</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45749</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45749</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45749</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45749</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45749</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45749</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45749</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45749</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45749</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45749</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45749</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45749</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45749</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45749</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45749</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45749</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45749</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45749</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45749</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45749</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45749</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45749</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45749</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45749</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45749</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45749</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45749</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45749</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45749</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45749</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45749</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45749</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45749</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45749</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45749</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45749</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45749</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45749</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45749</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45749</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45749</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45749</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45749</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45749</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45749</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45749</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45749</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45749</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45749</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45749</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45749</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45749</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45749</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45749</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45749</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45749</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45749</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45749</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45749</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45749</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45749</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45749</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45749</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45749</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45749</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45749</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45749</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45749</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45749</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45749</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45749</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45749</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45749</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45749</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45749</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45749</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45749</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45749</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45749</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45749</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45749</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45749</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45749</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45749</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45749</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45749</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45749</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45749</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45749</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45749</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45749</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45749</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45749</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45749</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45749</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45749</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45749</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45749</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45749</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45749</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45749</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45749</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45749</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45749</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45749</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45749</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45749</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45749</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45749</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45749</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45749</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45749</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45749</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45749</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45749</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45749</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45749</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45749</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45749</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45749</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45749</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45749</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45749</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45749</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45749</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45749</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45749</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45749</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45749</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45749</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45749</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45749</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45749</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45749</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45749</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45749</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45749</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45749</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45749</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45749</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45749</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45749</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45749</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45749</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45749</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45749</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45749</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45749</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45749</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45749</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45749</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45749</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45749</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45749</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45749</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45749</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45749</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45749</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45749</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45749</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45749</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45749</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45749</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45749</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45749</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45749</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45749</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45749</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45749</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45749</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45749</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45749</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45749</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45749</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45749</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45749</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45749</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45749</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45749</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45749</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45749</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45749</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45749</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45749</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45749</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45749</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45749</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45749</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45749</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45749</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45749</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45749</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45749</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45749</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45749</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45749</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45749</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45749</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45749</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45749</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45749</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45749</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45749</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45749</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45749</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45749</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45749</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45749</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45749</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45749</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45749</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45749</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45749</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45749</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45749</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45749</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45749</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45749</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45749</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45749</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45749</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45749</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45749</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45749</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45749</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45749</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45749</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45749</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45749</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45749</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45749</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45749</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45749</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45749</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45749</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45749</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45749</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45749</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45749</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45749</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45749</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45749</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45749</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45749</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45749</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45749</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45749</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45749</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45749</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45749</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45749</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45749</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45749</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45749</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45749</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45749</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45749</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45749</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45749</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45749</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45749</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45749</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45749</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45749</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45749</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45749</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45749</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45749</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45749</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45749</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45749</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45749</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45749</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45749</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45749</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45749</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45749</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45749</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45749</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45749</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45749</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45749</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45749</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45749</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45749</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45749</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45749</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45749</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45749</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45749</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45749</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45749</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45749</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45749</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45749</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45749</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45749</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45749</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45749</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45749</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45749</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45749</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45749</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45749</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45749</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45749</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45749</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45749</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45749</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45749</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45749</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45749</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45749</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45749</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45749</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45749</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45749</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45749</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45749</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45749</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45749</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45749</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45749</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45749</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45749</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45749</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45749</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45749</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45749</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45749</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45749</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45749</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45749</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45749</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45749</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45749</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45749</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45749</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45749</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45749</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45749</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45749</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45749</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45749</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45749</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45749</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45749</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45749</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45749</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45749</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45749</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45749</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45749</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45749</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45749</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45749</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45749</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45749</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45749</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45749</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45749</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45749</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45749</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45749</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45749</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45749</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45749</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45749</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45749</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45749</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45749</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45749</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45749</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45749</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45749</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45749</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45749</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45749</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45749</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45749</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45749</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45749</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45749</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45749</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45749</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45749</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45749</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45749</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45749</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45749</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45749</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45749</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45749</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45749</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45749</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45749</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45749</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45749</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45749</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45749</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45749</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45749</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45749</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45749</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45749</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45749</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45749</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45749</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45749</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45749</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45749</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45749</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45749</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45749</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45749</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45749</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45749</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45749</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45749</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45749</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45749</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45749</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45749</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45749</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45749</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45749</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45749</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45749</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45749</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45749</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45749</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45749</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45749</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45749</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45749</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45749</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45749</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45749</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45749</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45749</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45749</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45749</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45749</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45749</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45749</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45749</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45749</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45749</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45749</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45749</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45749</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45749</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45749</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45749</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45749</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45749</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45749</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45749</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45749</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45749</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45749</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45749</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45749</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45749</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45749</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45749</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45749</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45749</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45749</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45749</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45749</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45749</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45749</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45749</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45749</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45749</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45749</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45749</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45749</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45749</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45749</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45749</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45749</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45749</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45749</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45749</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45749</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45749</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45749</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45749</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45749</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45749</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45749</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45749</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45749</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45749</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45749</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45749</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45749</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45749</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45749</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45749</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45749</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45749</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45749</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45749</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45749</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45749</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45749</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45749</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45749</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45749</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45749</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45749</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45749</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45749</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45749</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45749</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45749</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45749</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45749</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45749</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45749</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45749</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45749</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45749</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45749</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45749</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45749</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45749</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45749</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45749</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45749</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45749</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45749</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45749</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45749</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45749</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45749</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45749</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45749</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45749</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45749</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45749</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45749</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45749</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45749</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45749</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45749</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45749</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45749</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45749</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45749</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45749</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45749</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45749</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45749</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45749</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45749</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45749</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45749</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45749</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45749</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45749</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45749</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45749</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45749</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45749</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45749</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45749</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45749</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45749</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45749</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45749</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45749</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45749</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45749</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45749</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45749</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45749</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45749</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45749</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45749</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45749</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45749</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45749</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45749</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45749</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45749</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45749</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45749</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45749</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45749</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45749</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45749</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45749</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45749</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45749</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45749</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45749</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45749</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45749</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45749</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45749</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45749</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45749</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45749</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45749</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45749</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45749</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45749</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45749</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45749</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45749</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45749</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45749</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45749</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45749</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45749</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45749</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45749</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45749</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45749</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45749</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45749</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45749</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45749</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45749</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45749</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45749</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45749</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45749</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45749</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45749</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45749</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45749</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45749</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45749</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45749</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45749</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45749</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45749</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45749</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45749</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45749</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45749</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45749</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45749</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45749</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45749</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45749</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45749</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45749</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45749</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45749</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45749</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45749</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45749</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45749</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45749</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45749</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45749</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45749</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45749</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45749</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45749</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45749</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45749</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45749</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45749</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45749</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45749</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45749</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45749</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45749</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45749</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45749</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45749</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45749</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45749</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45749</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45749</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45749</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45749</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45749</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45749</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45749</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45749</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45749</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45749</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45749</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45749</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45749</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45749</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45749</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45749</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45749</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45749</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45749</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45749</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45749</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45749</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45749</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45749</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45749</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45749</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45749</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45749</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45749</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45749</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45749</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45749</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45749</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45749</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45749</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45749</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45749</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45749</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45749</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45749</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45749</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45749</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45749</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45749</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45749</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45749</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45749</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45749</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45749</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45749</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45749</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45749</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45749</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45749</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45749</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45749</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45749</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45749</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45749</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45749</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45749</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45749</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45749</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45749</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45749</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45749</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45749</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45749</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45749</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45749</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45749</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45749</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45749</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45749</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45749</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45749</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45749</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45749</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45749</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45749</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45749</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45749</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45749</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45749</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45749</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45749</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45749</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45749</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45749</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45749</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45749</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45749</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45749</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45749</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45749</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45749</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45749</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45749</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45749</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45749</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45749</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45749</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45749</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45749</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45749</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45749</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45749</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45749</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45749</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45749</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45749</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45749</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45749</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45749</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45749</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45749</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45749</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45749</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45749</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45749</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45749</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45749</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45749</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45749</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45749</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45749</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45749</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45749</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45749</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45749</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45749</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45749</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45749</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45749</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45749</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45749</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45749</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45749</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45749</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45749</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45749</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45749</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45749</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45749</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45749</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45749</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45749</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45749</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45749</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45749</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45749</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45749</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45749</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45749</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45749</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45749</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45749</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45749</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45749</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45749</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45749</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45749</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45749</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45749</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45749</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45749</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45749</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45749</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45749</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45749</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45749</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45749</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45749</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45749</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45749</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45749</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45749</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45749</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45749</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45749</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45749</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45749</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45749</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45749</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45749</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45749</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45749</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45749</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45749</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45749</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45749</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45749</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45749</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45749</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45749</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45749</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45749</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45749</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45749</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45749</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45749</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45749</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45749</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45749</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45749</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45749</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45749</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45749</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45749</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45749</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45749</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45749</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45749</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45749</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45749</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45749</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45749</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45749</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45749</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45749</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45749</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45749</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45749</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45749</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45749</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45749</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45749</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45749</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45749</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45749</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45749</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45749</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45749</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45749</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45749</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45749</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45749</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45749</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45749</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45749</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45749</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45749</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45749</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45749</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45749</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45749</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45749</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45749</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45749</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45749</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45749</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45749</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45749</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45749</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45749</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45749</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45749</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45749</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45749</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45749</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45749</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45749</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45749</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45749</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45749</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45749</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45749</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45749</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45749</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45749</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45749</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45749</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45749</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45749</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45749</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45749</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45749</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45749</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45749</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45749</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45749</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45749</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45749</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45749</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45749</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45749</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45749</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45749</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45749</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45749</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45749</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45749</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45749</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45749</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45749</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45749</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45749</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45749</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45749</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45749</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45749</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45749</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45749</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45749</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45749</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45749</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45749</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45749</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45749</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45749</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45749</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45749</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45749</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45749</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45749</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45749</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45749</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45749</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45749</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45749</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45749</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45749</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45749</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45749</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45749</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45749</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45749</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45749</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45749</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45749</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45749</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45749</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45749</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45749</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45749</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45749</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45749</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45749</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45749</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45749</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45749</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45749</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45749</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45749</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45749</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45749</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45749</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45749</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45749</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45749</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45749</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45749</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45749</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45749</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45749</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45749</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45749</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45749</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45749</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45749</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45749</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45749</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45749</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45749</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45749</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45749</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45749</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45749</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45749</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45749</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45749</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45749</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45749</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45749</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45749</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45749</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45749</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45749</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45749</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45749</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45749</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45749</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45749</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45749</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45749</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45749</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45749</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45749</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45749</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45749</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45749</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45749</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45749</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45749</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45749</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45749</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45749</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45749</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45749</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45749</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45749</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45749</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45749</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45749</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45749</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45749</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45749</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45749</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45749</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45749</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45749</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45749</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45749</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45749</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45749</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45749</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45749</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45749</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45749</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45749</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45749</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45749</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45749</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45749</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45749</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45749</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45749</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45749</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45749</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45749</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45749</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45749</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45749</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45749</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45749</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45749</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45749</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45749</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45749</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45749</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45749</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45749</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45749</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45749</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45749</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45749</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45749</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45749</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45749</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45749</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45749</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45749</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45749</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45749</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45749</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45749</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45749</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45749</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45749</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45749</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45749</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45749</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45749</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45749</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45749</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45749</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45749</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45749</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45749</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45749</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45749</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45749</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45749</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45749</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45749</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45749</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45749</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45749</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45749</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45749</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45749</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45749</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45749</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45749</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45749</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45749</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45749</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45749</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45749</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45749</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45749</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45749</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45749</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45749</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45749</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45749</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45749</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45749</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45749</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45749</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45749</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45749</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45749</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45749</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45749</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45749</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45749</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45749</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45749</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45749</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45749</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45749</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45749</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45749</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45749</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45749</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45749</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45749</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45749</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45749</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45749</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45749</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45749</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45749</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45749</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45749</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45749</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45749</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45749</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45749</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45749</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45749</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45749</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45749</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45749</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45749</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45749</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45749</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45749</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45749</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45749</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45749</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45749</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45749</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45749</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45749</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45749</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45749</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45749</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45749</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45749</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45749</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45749</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45749</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45749</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45749</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45749</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45749</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45749</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45749</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45749</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45749</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45749</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45749</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45749</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45749</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45749</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45749</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45749</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45749</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45749</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45749</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45749</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45749</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45749</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45749</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45749</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45749</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45749</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45749</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45749</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45749</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45749</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45749</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45749</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45749</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45749</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45749</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45749</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45749</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45749</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45749</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45749</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45749</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45749</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45749</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45749</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45749</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45749</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45749</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45749</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45749</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45749</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45749</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45749</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45749</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45749</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45749</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45749</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45749</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45749</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45749</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45749</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45749</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45749</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45749</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45749</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45749</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45749</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45749</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45749</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45749</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45749</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45749</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45749</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45749</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45749</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45749</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45749</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45749</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45749</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45749</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45749</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45749</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45749</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45749</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45749</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45749</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45749</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45749</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45749</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45749</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45749</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45749</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45749</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45749</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45749</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45749</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45749</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45749</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45749</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45749</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45749</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45749</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45749</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45749</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45749</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45749</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45749</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45749</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45749</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45749</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45749</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45749</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45749</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45749</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45749</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45749</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45749</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45749</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45749</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45749</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45749</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45749</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45749</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45749</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45749</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45749</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45749</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45749</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45749</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45749</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45749</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45749</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45749</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45749</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45749</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45749</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45749</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45749</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45749</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45749</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45749</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45749</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45749</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45749</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45749</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45749</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45749</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45749</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45749</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45749</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45749</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45749</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45749</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45749</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45749</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45749</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45749</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45749</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45749</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45749</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45749</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45749</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45749</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45749</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45749</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45749</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45749</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45749</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45749</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45749</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45749</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45749</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45749</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45749</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45749</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45749</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45749</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45749</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45749</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45749</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45749</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45749</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45749</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45749</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45749</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45749</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45749</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45749</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45749</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45749</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45749</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45749</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45749</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45749</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45749</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45749</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45749</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45749</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45749</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45749</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45749</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45749</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45749</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45749</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45749</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45749</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45749</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45749</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45749</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45749</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45749</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45749</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45749</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45749</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45749</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45749</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45749</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45749</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45749</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45749</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45749</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45749</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45749</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45749</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45749</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45749</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45749</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45749</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45749</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45749</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45749</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45749</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45749</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45749</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45749</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45749</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45749</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45749</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45749</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45749</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45749</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45749</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45749</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45749</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45749</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45749</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45749</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45749</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45749</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45749</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45749</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45749</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45749</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45749</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45749</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45749</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45749</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45749</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45749</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45749</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45749</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45749</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45749</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45749</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45749</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45749</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45749</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45749</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45749</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45749</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45749</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45749</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45749</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45749</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45749</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45749</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45749</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45749</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45749</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45749</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45749</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45749</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45749</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45749</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45749</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45749</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45749</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45749</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45749</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45749</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45749</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45749</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45749</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45749</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45749</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45749</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45749</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45749</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45749</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45749</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45749</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45749</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45749</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45749</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45749</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45749</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45749</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45749</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45749</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45749</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45749</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45749</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45749</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45749</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45749</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45749</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45749</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45749</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45749</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45749</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45749</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45749</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45749</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45749</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45749</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45749</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45749</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45749</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45749</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45749</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45749</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45749</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45749</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45749</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45749</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45749</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45749</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45749</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45749</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45749</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45749</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45749</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45749</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45749</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45749</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45749</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45749</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45749</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45749</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45749</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45749</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45749</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45749</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45749</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45749</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45749</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45749</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45749</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45749</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45749</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45749</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45749</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45749</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45749</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45749</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45749</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45749</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45749</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45749</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45749</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45749</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45749</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45749</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45749</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45749</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45749</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45749</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45749</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45749</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45749</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45749</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45749</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45749</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45749</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45749</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45749</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45749</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45749</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45749</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45749</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45749</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45749</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45749</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45749</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45749</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45749</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45749</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45749</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45749</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45749</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45749</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45749</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45749</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45749</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45749</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45749</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45749</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45749</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45749</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45749</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45749</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45749</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45749</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45749</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45749</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45749</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45749</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45749</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45749</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45749</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45749</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45749</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45749</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45749</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45749</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45749</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45749</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45749</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45749</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45749</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45749</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45749</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45749</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45749</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45749</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45749</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45749</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45749</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45749</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45749</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45749</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45749</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45749</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45749</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45749</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45749</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45749</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45749</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45749</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45749</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45749</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45749</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45749</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45749</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45749</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45749</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45749</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45749</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45749</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45749</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45749</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45749</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45749</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45749</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45749</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45749</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45749</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45749</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45749</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45749</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45749</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45749</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45749</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45749</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45749</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45749</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45749</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45749</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45749</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45749</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45749</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45749</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45749</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45749</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45749</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45749</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45749</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45749</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45749</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45749</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45749</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45749</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45749</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45749</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45749</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45749</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45749</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45749</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45749</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45749</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45749</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45749</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45749</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45749</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45749</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45749</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45749</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45749</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45749</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45749</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45749</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45749</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45749</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45749</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45749</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45749</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45749</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45749</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45749</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45749</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45749</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45749</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45749</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45749</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45749</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45749</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45749</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45749</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45749</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45749</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45749</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45749</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45749</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45749</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45749</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45749</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45749</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45749</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45749</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45749</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45749</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45749</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45749</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45749</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45749</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45749</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45749</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45749</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45749</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45749</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45749</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45749</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45749</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45749</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45749</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45749</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45749</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45749</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45749</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45749</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45749</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45749</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45749</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45749</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45749</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45749</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45749</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45749</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45749</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45749</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45749</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45749</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45749</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45749</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45749</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45749</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45749</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45749</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45749</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45749</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45749</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45749</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45749</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45749</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45749</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45749</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45749</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45749</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45749</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45749</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45749</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45749</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45749</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45749</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45749</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45749</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45749</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45749</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45749</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45749</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45749</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45749</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45749</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45749</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45749</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45749</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45749</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45749</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45749</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45749</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45749</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45749</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45749</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45749</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45749</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45749</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45749</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45749</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45749</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45749</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45749</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45749</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45749</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45749</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45749</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45749</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45749</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45749</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45749</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45749</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45749</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45749</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45749</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45749</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45749</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45749</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45749</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45749</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45749</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45749</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45749</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45749</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45749</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45749</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45749</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45749</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45749</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45749</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45749</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45749</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45749</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45749</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45749</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45749</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45749</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45749</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45749</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45749</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45749</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45749</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45749</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45749</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45749</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45749</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45749</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45749</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45749</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45749</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45749</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45749</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45749</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45749</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45749</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45749</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45749</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45749</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45749</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45749</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45749</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45749</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45749</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45749</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45749</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45749</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45749</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45749</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45749</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45749</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45749</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45749</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45749</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45749</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45749</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45749</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45749</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45749</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45749</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45749</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45749</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45749</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45749</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45749</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45749</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45749</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45749</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45749</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45749</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45749</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45749</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45749</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45749</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45749</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45749</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45749</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45749</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45749</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45749</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45749</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45749</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45749</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45749</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45749</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45749</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45749</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45749</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45749</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45749</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45749</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45749</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45749</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45749</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45749</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45749</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45749</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45749</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45749</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45749</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45749</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45749</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45749</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45749</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45749</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45749</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45749</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45749</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45749</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45749</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45749</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45749</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45749</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45749</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45749</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45749</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45749</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45749</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45749</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45749</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45749</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45749</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45749</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45749</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45749</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45749</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45749</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45749</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45749</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45749</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45749</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45749</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45749</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45749</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45749</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45749</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45749</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45749</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45749</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45749</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45749</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45749</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45749</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45749</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45749</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45749</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45749</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45749</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45749</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45749</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45749</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45749</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45749</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45749</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45749</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45749</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45749</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45749</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45749</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45749</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45749</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45749</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45749</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45749</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45749</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45749</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45749</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45749</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45749</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45749</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45749</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45749</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45749</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45749</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45749</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45749</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45749</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45749</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45749</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45749</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45749</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45749</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45749</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45749</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45749</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45749</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45749</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45749</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45749</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45749</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45749</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45749</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45749</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45749</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45749</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45749</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45749</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45749</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45749</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45749</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45749</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45749</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45749</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45749</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45749</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45749</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45749</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45749</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45749</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45749</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45749</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45749</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45749</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45749</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45749</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45749</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45749</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45749</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45749</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45749</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45749</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45749</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45749</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45749</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45749</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45749</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45749</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45749</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45749</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45749</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45749</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45749</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45749</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45749</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45749</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45749</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45749</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45749</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45749</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45749</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45749</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45749</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45749</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45749</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45749</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45749</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45749</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45749</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45749</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45749</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45749</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45749</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45749</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45749</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45749</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45749</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45749</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45749</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45749</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45749</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45749</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45749</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45749</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45749</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45749</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45749</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45749</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45749</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45749</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45749</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45749</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45749</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45749</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45749</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45749</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45749</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45749</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45749</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45749</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45749</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45749</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45749</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45749</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45749</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45749</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45749</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45749</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45749</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45749</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45749</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45749</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45749</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45749</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45749</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45749</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45749</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45749</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45749</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45749</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45749</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45749</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45749</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45749</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45749</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45749</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45749</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45749</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45749</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45749</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45749</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45749</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45749</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45749</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45749</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45749</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45749</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45749</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45749</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45749</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45749</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45749</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45749</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45749</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45749</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45749</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45749</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45749</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45749</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45749</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45749</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45749</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45749</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45749</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45749</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45749</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45749</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45749</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45749</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45749</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45749</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45749</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45749</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45749</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45749</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45749</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45749</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45749</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45749</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45749</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45749</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45749</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45749</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45749</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45749</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45749</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45749</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45749</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45749</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45749</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45749</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45749</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45749</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45749</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45749</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45749</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45749</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45749</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45749</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45749</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45749</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45749</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45749</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45749</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45749</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45749</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45749</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45749</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45749</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45749</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45749</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45749</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45749</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45749</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45749</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45749</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45749</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45749</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45749</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45749</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45749</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45749</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45749</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45749</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45749</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45749</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45749</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45749</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45749</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45749</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45749</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45749</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45749</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45749</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45749</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45749</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45749</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45749</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45749</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45749</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45749</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45749</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45749</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45749</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45749</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45749</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45749</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45749</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45749</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45749</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45749</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45749</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45749</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45749</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45749</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45749</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45749</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45749</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45749</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45749</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45749</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45749</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45749</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45749</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45749</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45749</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45749</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45749</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45749</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45749</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45749</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45749</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45749</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45749</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45749</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45749</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45749</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45749</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45749</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45749</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45749</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45749</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45749</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45749</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45749</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45749</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45749</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45749</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45749</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45749</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45749</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45749</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45749</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45749</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45749</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45749</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45749</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45749</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45749</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45749</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45749</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45749</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45749</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45749</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45749</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45749</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45749</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45749</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45749</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45749</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45749</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45749</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45749</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45749</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45749</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45749</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45749</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45749</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45749</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45749</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45749</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45749</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45749</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45749</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45749</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45749</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45749</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45749</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45749</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45749</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45749</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45749</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45749</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45749</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45749</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45749</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45749</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45749</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45749</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45749</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45749</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45749</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45749</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45749</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45749</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45749</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45749</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45749</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45749</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45749</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45749</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45749</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45749</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45749</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45749</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45749</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45749</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45749</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45749</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45749</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45749</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45749</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45749</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45749</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45749</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45749</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45749</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45749</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45749</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45749</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45749</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45749</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45749</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45749</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45749</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45749</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45749</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45749</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45749</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45749</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45749</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45749</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45749</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45749</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45749</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45749</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45749</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45749</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45749</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45749</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45749</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45749</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45749</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45749</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45749</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45749</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45749</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45749</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45749</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45749</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45749</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45749</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45749</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45749</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45749</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45749</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45749</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45749</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45749</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45749</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45749</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45749</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45749</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45749</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45749</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45749</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45749</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45749</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45749</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45749</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45749</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45749</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45749</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45749</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45749</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45749</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45749</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45749</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45749</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45749</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45749</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45749</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45749</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45749</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45749</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45749</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45749</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45749</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45749</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45749</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45749</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45749</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45749</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45749</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45749</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45749</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45749</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45749</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45749</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45749</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45749</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45749</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45749</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45749</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45749</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45749</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45749</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45749</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45749</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45749</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45749</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45749</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45749</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45749</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45749</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45749</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45749</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45749</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45749</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45749</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45749</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45749</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45749</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45749</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45749</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45749</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45749</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45749</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45749</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45749</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45749</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45749</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45749</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45749</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45749</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45749</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45749</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45749</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45749</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45749</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45749</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45749</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45749</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45749</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45749</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45749</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45749</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45749</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45749</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45749</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45749</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45749</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45749</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45749</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45749</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45749</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45749</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45749</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45749</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45749</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45749</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45749</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45749</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45749</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45749</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45749</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45749</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45749</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45749</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45749</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45749</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45749</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45749</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45749</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45749</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45749</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45749</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45749</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45749</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45749</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45749</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45749</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45749</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45749</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45749</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45749</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45749</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45749</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45749</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45749</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45749</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45749</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45749</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45749</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45749</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45749</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45749</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45749</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45749</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45749</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45749</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45749</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45749</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45749</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45749</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45749</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45749</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45749</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45749</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45749</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45749</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45749</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45749</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45749</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45749</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45749</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45749</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45749</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45749</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45749</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45749</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45749</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45749</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45749</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45749</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45749</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45749</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45749</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45749</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45749</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45749</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45749</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45749</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45749</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45749</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45749</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45749</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45749</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45749</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45749</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45749</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45749</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45749</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45749</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45749</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45749</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45749</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45749</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45749</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45749</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45749</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45749</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45749</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45749</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45749</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45749</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45749</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45749</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45749</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45749</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45749</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45749</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45749</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45749</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45749</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45749</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45749</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45749</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45749</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45749</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45749</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45749</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45749</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45749</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45749</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45749</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45749</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45749</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45749</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45749</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45749</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45749</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45749</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45749</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45749</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45749</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45749</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45749</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45749</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45749</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45749</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45749</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45749</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45749</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45749</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45749</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45749</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45749</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45749</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45749</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45749</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45749</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45749</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45749</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45749</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45749</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45749</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45749</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45749</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45749</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45749</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45749</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45749</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45749</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45749</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45749</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45749</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45749</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45749</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45749</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45749</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45749</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45749</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45749</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45749</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45749</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45749</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45749</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45749</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45749</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45749</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45749</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45749</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45749</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45749</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45749</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45749</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45749</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45749</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45749</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45749</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45749</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45749</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45749</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45749</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45749</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45749</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45749</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45749</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45749</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45749</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45749</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45749</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45749</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45749</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45749</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45749</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45749</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45749</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45749</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45749</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45749</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45749</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45749</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45749</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45749</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45749</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45749</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45749</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45749</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45749</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45749</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45749</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45749</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45749</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45749</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45749</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45749</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45749</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45749</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45749</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45749</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45749</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45749</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45749</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45749</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45749</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45749</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45749</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45749</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45749</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45749</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45749</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45749</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45749</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45749</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45749</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45749</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45749</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45749</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45749</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45749</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45749</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45749</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45749</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45749</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45749</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45749</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45749</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45749</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45749</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45749</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45749</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45749</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45749</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45749</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45749</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45749</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45749</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45749</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45749</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45749</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45749</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45749</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45749</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45749</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45749</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45749</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45749</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45749</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45749</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45749</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45749</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45749</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45749</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45749</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45749</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45749</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45749</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45749</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45749</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45749</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45749</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45749</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45749</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45749</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45749</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45749</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45749</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45749</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45749</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45749</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45749</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45749</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45749</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45749</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45749</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45749</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45749</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45749</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45749</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45749</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45749</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45749</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45749</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45749</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45749</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45749</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45749</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45749</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45749</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45749</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45749</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45749</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45749</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45749</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45749</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45749</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45749</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45749</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45749</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45749</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45749</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45749</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45749</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45749</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45749</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45749</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45749</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45749</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45749</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45749</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45749</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45749</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45749</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45749</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45749</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45749</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45749</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45749</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45749</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45749</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45749</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45749</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45749</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45749</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45749</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45749</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45749</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45749</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45749</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45749</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45749</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45749</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45749</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45749</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45749</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45749</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45749</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45749</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45749</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45749</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45749</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45749</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45749</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45749</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45749</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45749</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45749</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45749</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45749</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45749</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45749</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45749</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45749</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45749</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45749</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45749</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45749</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45749</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45749</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45749</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45749</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45749</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45749</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45749</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45749</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45749</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45749</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45749</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45749</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45749</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45749</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45749</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45749</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45749</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45749</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45749</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45749</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45749</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45749</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45749</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45749</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45749</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45749</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45749</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45749</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45749</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45749</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45749</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45749</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45749</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45749</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45749</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45749</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45749</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45749</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45749</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45749</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45749</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45749</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45749</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45749</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45749</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45749</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45749</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45749</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45749</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45749</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45749</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45749</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45749</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45749</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45749</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45749</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45749</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45749</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45749</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45749</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45749</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45749</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45749</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45749</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45749</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45749</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45749</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45749</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45749</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45749</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45749</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45749</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45749</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45749</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45749</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45749</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45749</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45749</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45749</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45749</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45749</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45749</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45749</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45749</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45749</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45749</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45749</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45749</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45749</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45749</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45749</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45749</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45749</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45749</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45749</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45749</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45749</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45749</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45749</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45749</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45749</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45749</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45749</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45749</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45749</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45749</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45749</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45749</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45749</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45749</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45749</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45749</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45749</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45749</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45749</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45749</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45749</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45749</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45749</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45749</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45749</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45749</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45749</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45749</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45749</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45749</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45749</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45749</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45749</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45749</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45749</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45749</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45749</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45749</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45749</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45749</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45749</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45749</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45749</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45749</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45749</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45749</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45749</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45749</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45749</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45749</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45749</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45749</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45749</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45749</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45749</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45749</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45749</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45749</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45749</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45749</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45749</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45749</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45749</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45749</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45749</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45749</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45749</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45749</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45749</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45749</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45749</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45749</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45749</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45749</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45749</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45749</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45749</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45749</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45749</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45749</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45749</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45749</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45749</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45749</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45749</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45749</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45749</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45749</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45749</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45749</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45749</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45749</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45749</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45749</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45749</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45749</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45749</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45749</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45749</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45749</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45749</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45749</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45749</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45749</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45749</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45749</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45749</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45749</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45749</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45749</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45749</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45749</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45749</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45749</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45749</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45749</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45749</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45749</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45749</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45749</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45749</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45749</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45749</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45749</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45749</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45749</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45749</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45749</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45749</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45749</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45749</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45749</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45749</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45749</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45749</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45749</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45749</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45749</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45749</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45749</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45749</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45749</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45749</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45749</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45749</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45749</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45749</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45749</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45749</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45749</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45749</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45749</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45749</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45749</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45749</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45749</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45749</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45749</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45749</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45749</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45749</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45749</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45749</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45749</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45749</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45749</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45749</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45749</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45749</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45749</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45749</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45749</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45749</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45749</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45749</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45749</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45749</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45749</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45749</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45749</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45749</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45749</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45749</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45749</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45749</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45749</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45749</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45749</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45749</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45749</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45749</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45749</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45749</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45749</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45749</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45749</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45749</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45749</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45749</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45749</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45749</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45749</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45749</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45749</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45749</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45749</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45749</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45749</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45749</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45749</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45749</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45749</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45749</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45749</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45749</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45749</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45749</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45749</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45749</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45749</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45749</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45749</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45749</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45749</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45749</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45749</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45749</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45749</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45749</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45749</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45749</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45749</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45749</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45749</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45749</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45749</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45749</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45749</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45749</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45749</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45749</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45749</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45749</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45749</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45749</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45749</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45749</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45749</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45749</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45749</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45749</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45749</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45749</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45749</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45749</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45749</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45749</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45749</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45749</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45749</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45749</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45749</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45749</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45749</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45749</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45749</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45749</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45749</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45749</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45749</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45749</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45749</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45749</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45749</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45749</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45749</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45749</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45749</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45749</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45749</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45749</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45749</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45749</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45749</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45749</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45749</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45749</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45749</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45749</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45749</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45749</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45749</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45749</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45749</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45749</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45749</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45749</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45749</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45749</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45749</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45749</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45749</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45749</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45749</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45749</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45749</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45749</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45749</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45749</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45749</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45749</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45749</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45749</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45749</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45749</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45749</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45749</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45749</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45749</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45749</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45749</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45749</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45749</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45749</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45749</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45749</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45749</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45749</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45749</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45749</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45749</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45749</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45749</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45749</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45749</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45749</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45749</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45749</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45749</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45749</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45749</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45749</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45749</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45749</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45749</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45749</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45749</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45749</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45749</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45749</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45749</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45749</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45749</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45749</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45749</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45749</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45749</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45749</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45749</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45749</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45749</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45749</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45749</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45749</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45749</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45749</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45749</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45749</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45749</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45749</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45749</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45749</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45749</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45749</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45749</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45749</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45749</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45749</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45749</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45749</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45749</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45749</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45749</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45749</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45749</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45749</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45749</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45749</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45749</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45749</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45749</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45749</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45749</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45749</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45749</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45749</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45749</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45749</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45749</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45749</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45749</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45749</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45749</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45749</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45749</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45749</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45749</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45749</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45749</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45749</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45749</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45749</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45749</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45749</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45749</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45749</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45749</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45749</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45749</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45749</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45749</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45749</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45749</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45749</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45749</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45749</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45749</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45749</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45749</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45749</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45749</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45749</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45749</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45749</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45749</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45749</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45749</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45749</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45749</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45749</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45749</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45749</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45749</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45749</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45749</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45749</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45749</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45749</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45749</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45749</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45749</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45749</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45749</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45749</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45749</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45749</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45749</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45749</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45749</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45749</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45749</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45749</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45749</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45749</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45749</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45749</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45749</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45749</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45749</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45749</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45749</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45749</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45749</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45749</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45749</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45749</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45749</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45749</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45749</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45749</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45749</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45749</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45749</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45749</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45749</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45749</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45749</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45749</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45749</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45749</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45749</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45749</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45749</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45749</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45749</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45749</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45749</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45749</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45749</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45749</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45749</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45749</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45749</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45749</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45749</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45749</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45749</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45749</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45749</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45749</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45749</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45749</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45749</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45749</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45749</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45749</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45749</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45749</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45749</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45749</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45749</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45749</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45749</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45749</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45749</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45749</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45749</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45749</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45749</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45749</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45749</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45749</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45749</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45749</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45749</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45749</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45749</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45749</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45749</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45749</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45749</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45749</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45749</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45749</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45749</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45749</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45749</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45749</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45749</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45749</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45749</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45749</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45749</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45749</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45749</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45749</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45749</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45749</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45749</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45749</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45749</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45749</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45749</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45749</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45749</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45749</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45749</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45749</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45749</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45749</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45749</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45749</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45749</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45749</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45749</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45749</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45749</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45749</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45749</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45749</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45749</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45749</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45749</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45749</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45749</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45749</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45749</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45749</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45749</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45749</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45749</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45749</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45749</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45749</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45749</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45749</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45749</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45749</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45749</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45749</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45749</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45749</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45749</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45749</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45749</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45749</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45749</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45749</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45749</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45749</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45749</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45749</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45749</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45749</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45749</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45749</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45749</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45749</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45749</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45749</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45749</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45749</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45749</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45749</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45749</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45749</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45749</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45749</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45749</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45749</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45749</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45749</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45749</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45749</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45749</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45749</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45749</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45749</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45749</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45749</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45749</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45749</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45749</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45749</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45749</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45749</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45749</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45749</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45749</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45749</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45749</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45749</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45749</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45749</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45749</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45749</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45749</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45749</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45749</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45749</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45749</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45749</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45749</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45749</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45749</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45749</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45749</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45749</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45749</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45749</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45749</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45749</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45749</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45749</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45749</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45749</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45749</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45749</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45749</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45749</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45749</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45749</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45749</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45749</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45749</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45749</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45749</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45749</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45749</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45749</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45749</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45749</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45749</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45749</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45749</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45749</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45749</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45749</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45749</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45749</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45749</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45749</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45749</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45749</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45749</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45749</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45749</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45749</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45749</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45749</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45749</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45749</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45749</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45749</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45749</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45749</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45749</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45749</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45749</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45749</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45749</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45749</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45749</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45749</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45749</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45749</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45749</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45749</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45749</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45749</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45749</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45749</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45749</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45749</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45749</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45749</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45749</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45749</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45749</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45749</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45749</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45749</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45749</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45749</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45749</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45749</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45749</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45749</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45749</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45749</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45749</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45749</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45749</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45749</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45749</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45749</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45749</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45749</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45749</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45749</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45749</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45749</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45749</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45749</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45749</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45749</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45749</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45749</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45749</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45749</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45749</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45749</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45749</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45749</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45749</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45749</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45749</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45749</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45749</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45749</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45749</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45749</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45749</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45749</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45749</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45749</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45749</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45749</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45749</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45749</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45749</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45749</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45749</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45749</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45749</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45749</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45749</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45749</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45749</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45749</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45749</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45749</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45749</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45749</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45749</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45749</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45749</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45749</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45749</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45749</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45749</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45749</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45749</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45749</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45749</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45749</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45749</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45749</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45749</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45749</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45749</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45749</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45749</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45749</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45749</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45749</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45749</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45749</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45749</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45749</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45749</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45749</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45749</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45749</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45749</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45749</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45749</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45749</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45749</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45749</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45749</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45749</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45749</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45749</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45749</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45749</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45749</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45749</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45749</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45749</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45749</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45749</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45749</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45749</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45749</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45749</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45749</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45749</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45749</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45749</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45749</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45749</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45749</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45749</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45749</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45749</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45749</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45749</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45749</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45749</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45749</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45749</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45749</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45749</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45749</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45749</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45749</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45749</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45749</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45749</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45749</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45749</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45749</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45749</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45749</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45749</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45749</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45749</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45749</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45749</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45749</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45749</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45749</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45749</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45749</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45749</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45749</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45749</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45749</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45749</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45749</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45749</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45749</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45749</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45749</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45749</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45749</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45749</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45749</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45749</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45749</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45749</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45749</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45749</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45749</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45749</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45749</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45749</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45749</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45749</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45749</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45749</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45749</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45749</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45749</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45749</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45749</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45749</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45749</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45749</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45749</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45749</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45749</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45749</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45749</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45749</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45749</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45749</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45749</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45749</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45749</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45749</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45749</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45749</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45749</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45749</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45749</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45749</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45749</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45749</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45749</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45749</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45749</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45749</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45749</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45749</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45749</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45749</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45749</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45749</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45749</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45749</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45749</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45749</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45749</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45749</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45749</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45749</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45749</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45749</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45749</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45749</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45749</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45749</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45749</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45749</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45749</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45749</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45749</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45749</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45749</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45749</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45749</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45749</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45749</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45749</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45749</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45749</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45749</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45749</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45749</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45749</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45749</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45749</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45749</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45749</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45749</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45749</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45749</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45749</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45749</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45749</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45749</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45749</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45749</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45749</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45749</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45749</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45749</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45749</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45749</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45749</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45749</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45749</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45749</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45749</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45749</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45749</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45749</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45749</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45749</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45749</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45749</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45749</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45749</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45749</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45749</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45749</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45749</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45749</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45749</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45749</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45749</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45749</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45749</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45749</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45749</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45749</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45749</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45749</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45749</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45749</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45749</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45749</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45749</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45749</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45749</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45749</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45749</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45749</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45749</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45749</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45749</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45749</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45749</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45749</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45749</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45749</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45749</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45749</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45749</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45749</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45749</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45749</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45749</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45749</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45749</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45749</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45749</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45749</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45749</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45749</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45749</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45749</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45749</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45749</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45749</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45749</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45749</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45749</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45749</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45749</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45749</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45749</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45749</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45749</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45749</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45749</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45749</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45749</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45749</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45749</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45749</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45749</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45749</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45749</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45749</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45749</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45749</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45749</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45749</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45749</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45749</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45749</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45749</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45749</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45749</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45749</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45749</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45749</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45749</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45749</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45749</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45749</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45749</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45749</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45749</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45749</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45749</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45749</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45749</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45749</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45749</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45749</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45749</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45749</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45749</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45749</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45749</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45749</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45749</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45749</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45749</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45749</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45749</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45749</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45749</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45749</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45749</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45749</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45749</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45749</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45749</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45749</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45749</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45749</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45749</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45749</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45749</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45749</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45749</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45749</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45749</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45749</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45749</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45749</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45749</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45749</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45749</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45749</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45749</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45749</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45749</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45749</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45749</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45749</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45749</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45749</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45749</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45749</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45749</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45749</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45749</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45749</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45749</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45749</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45749</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45749</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45749</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45749</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45749</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45749</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45749</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45749</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45749</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45749</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45749</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45749</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45749</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45749</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45749</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45749</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45749</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45749</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45749</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45749</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45749</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45749</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45749</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45749</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45749</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45749</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45749</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45749</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45749</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45749</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45749</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45749</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45749</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45749</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45749</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45749</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45749</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45749</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45749</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45749</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45749</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45749</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45749</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45749</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45749</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45749</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45749</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45749</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45749</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45749</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45749</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45749</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45749</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45749</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45749</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45749</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45749</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45749</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45749</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45749</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45749</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45749</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45749</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45749</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45749</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45749</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45749</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45749</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45749</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45749</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45749</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45749</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45749</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45749</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45749</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45749</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45749</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45749</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45749</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45749</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45749</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45749</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45749</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45749</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45749</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45749</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45749</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45749</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45749</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45749</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45749</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45749</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45749</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45749</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45749</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45749</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45749</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45749</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45749</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45749</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45749</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45749</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45749</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45749</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45749</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45749</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45749</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45749</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45749</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45749</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45749</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45749</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45749</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45749</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45749</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45749</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45749</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45749</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45749</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45749</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45749</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45749</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45749</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45749</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45749</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45749</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45749</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45749</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45749</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45749</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45749</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45749</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45749</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45749</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45749</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45749</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45749</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45749</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45749</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45749</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45749</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45749</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45749</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45749</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45749</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45749</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45749</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45749</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45749</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45749</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45749</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45749</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45749</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45749</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45749</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45749</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45749</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45749</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45749</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45749</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45749</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45749</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45749</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45749</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45749</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45749</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45749</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45749</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45749</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45749</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45749</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45749</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45749</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45749</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45749</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45749</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45749</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45749</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45749</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45749</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45749</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45749</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45749</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45749</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45749</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45749</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45749</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45749</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45749</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8858-2025</t>
        </is>
      </c>
      <c r="B7532" s="1" t="n">
        <v>45713</v>
      </c>
      <c r="C7532" s="1" t="n">
        <v>45749</v>
      </c>
      <c r="D7532" t="inlineStr">
        <is>
          <t>SKÅNE LÄN</t>
        </is>
      </c>
      <c r="E7532" t="inlineStr">
        <is>
          <t>SJÖBO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45749</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8861-2025</t>
        </is>
      </c>
      <c r="B7534" s="1" t="n">
        <v>45713</v>
      </c>
      <c r="C7534" s="1" t="n">
        <v>45749</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45749</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8862-2025</t>
        </is>
      </c>
      <c r="B7536" s="1" t="n">
        <v>45713</v>
      </c>
      <c r="C7536" s="1" t="n">
        <v>45749</v>
      </c>
      <c r="D7536" t="inlineStr">
        <is>
          <t>SKÅNE LÄN</t>
        </is>
      </c>
      <c r="E7536" t="inlineStr">
        <is>
          <t>SJÖBO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8882-2025</t>
        </is>
      </c>
      <c r="B7537" s="1" t="n">
        <v>45713</v>
      </c>
      <c r="C7537" s="1" t="n">
        <v>45749</v>
      </c>
      <c r="D7537" t="inlineStr">
        <is>
          <t>SKÅNE LÄN</t>
        </is>
      </c>
      <c r="E7537" t="inlineStr">
        <is>
          <t>ÄNGELHOLM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45749</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45749</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45749</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45749</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45749</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9239-2025</t>
        </is>
      </c>
      <c r="B7543" s="1" t="n">
        <v>45714</v>
      </c>
      <c r="C7543" s="1" t="n">
        <v>45749</v>
      </c>
      <c r="D7543" t="inlineStr">
        <is>
          <t>SKÅNE LÄN</t>
        </is>
      </c>
      <c r="E7543" t="inlineStr">
        <is>
          <t>HÄSSLEHOLM</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45749</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45749</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45749</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45749</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45749</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45749</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9166-2025</t>
        </is>
      </c>
      <c r="B7550" s="1" t="n">
        <v>45714</v>
      </c>
      <c r="C7550" s="1" t="n">
        <v>45749</v>
      </c>
      <c r="D7550" t="inlineStr">
        <is>
          <t>SKÅNE LÄN</t>
        </is>
      </c>
      <c r="E7550" t="inlineStr">
        <is>
          <t>BROMÖLLA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9190-2025</t>
        </is>
      </c>
      <c r="B7551" s="1" t="n">
        <v>45714</v>
      </c>
      <c r="C7551" s="1" t="n">
        <v>45749</v>
      </c>
      <c r="D7551" t="inlineStr">
        <is>
          <t>SKÅNE LÄN</t>
        </is>
      </c>
      <c r="E7551" t="inlineStr">
        <is>
          <t>OSBY</t>
        </is>
      </c>
      <c r="F7551" t="inlineStr">
        <is>
          <t>Kommuner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45749</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45749</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9556-2025</t>
        </is>
      </c>
      <c r="B7554" s="1" t="n">
        <v>45714</v>
      </c>
      <c r="C7554" s="1" t="n">
        <v>45749</v>
      </c>
      <c r="D7554" t="inlineStr">
        <is>
          <t>SKÅNE LÄN</t>
        </is>
      </c>
      <c r="E7554" t="inlineStr">
        <is>
          <t>HÄSSLEHOLM</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45749</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9397-2025</t>
        </is>
      </c>
      <c r="B7556" s="1" t="n">
        <v>45715</v>
      </c>
      <c r="C7556" s="1" t="n">
        <v>45749</v>
      </c>
      <c r="D7556" t="inlineStr">
        <is>
          <t>SKÅNE LÄN</t>
        </is>
      </c>
      <c r="E7556" t="inlineStr">
        <is>
          <t>HÄSSLEHOLM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45749</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45749</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9543-2025</t>
        </is>
      </c>
      <c r="B7559" s="1" t="n">
        <v>45715</v>
      </c>
      <c r="C7559" s="1" t="n">
        <v>45749</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45749</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9614-2025</t>
        </is>
      </c>
      <c r="B7561" s="1" t="n">
        <v>45715</v>
      </c>
      <c r="C7561" s="1" t="n">
        <v>45749</v>
      </c>
      <c r="D7561" t="inlineStr">
        <is>
          <t>SKÅNE LÄN</t>
        </is>
      </c>
      <c r="E7561" t="inlineStr">
        <is>
          <t>HÖRBY</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9638-2025</t>
        </is>
      </c>
      <c r="B7562" s="1" t="n">
        <v>45715</v>
      </c>
      <c r="C7562" s="1" t="n">
        <v>45749</v>
      </c>
      <c r="D7562" t="inlineStr">
        <is>
          <t>SKÅNE LÄN</t>
        </is>
      </c>
      <c r="E7562" t="inlineStr">
        <is>
          <t>BROMÖLLA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9596-2025</t>
        </is>
      </c>
      <c r="B7563" s="1" t="n">
        <v>45715</v>
      </c>
      <c r="C7563" s="1" t="n">
        <v>45749</v>
      </c>
      <c r="D7563" t="inlineStr">
        <is>
          <t>SKÅNE LÄN</t>
        </is>
      </c>
      <c r="E7563" t="inlineStr">
        <is>
          <t>KRISTIANSTAD</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9612-2025</t>
        </is>
      </c>
      <c r="B7564" s="1" t="n">
        <v>45715</v>
      </c>
      <c r="C7564" s="1" t="n">
        <v>45749</v>
      </c>
      <c r="D7564" t="inlineStr">
        <is>
          <t>SKÅNE LÄN</t>
        </is>
      </c>
      <c r="E7564" t="inlineStr">
        <is>
          <t>HÖRBY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9615-2025</t>
        </is>
      </c>
      <c r="B7565" s="1" t="n">
        <v>45715</v>
      </c>
      <c r="C7565" s="1" t="n">
        <v>45749</v>
      </c>
      <c r="D7565" t="inlineStr">
        <is>
          <t>SKÅNE LÄN</t>
        </is>
      </c>
      <c r="E7565" t="inlineStr">
        <is>
          <t>HÄSSLEHOLM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9611-2025</t>
        </is>
      </c>
      <c r="B7566" s="1" t="n">
        <v>45715</v>
      </c>
      <c r="C7566" s="1" t="n">
        <v>45749</v>
      </c>
      <c r="D7566" t="inlineStr">
        <is>
          <t>SKÅNE LÄN</t>
        </is>
      </c>
      <c r="E7566" t="inlineStr">
        <is>
          <t>HÄSSLEHOLM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9733-2025</t>
        </is>
      </c>
      <c r="B7567" s="1" t="n">
        <v>45715</v>
      </c>
      <c r="C7567" s="1" t="n">
        <v>45749</v>
      </c>
      <c r="D7567" t="inlineStr">
        <is>
          <t>SKÅNE LÄN</t>
        </is>
      </c>
      <c r="E7567" t="inlineStr">
        <is>
          <t>ÖRKELLJUNGA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9573-2025</t>
        </is>
      </c>
      <c r="B7568" s="1" t="n">
        <v>45715</v>
      </c>
      <c r="C7568" s="1" t="n">
        <v>45749</v>
      </c>
      <c r="D7568" t="inlineStr">
        <is>
          <t>SKÅNE LÄN</t>
        </is>
      </c>
      <c r="E7568" t="inlineStr">
        <is>
          <t>ÖRKELLJUNGA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45749</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9394-2025</t>
        </is>
      </c>
      <c r="B7570" s="1" t="n">
        <v>45715</v>
      </c>
      <c r="C7570" s="1" t="n">
        <v>45749</v>
      </c>
      <c r="D7570" t="inlineStr">
        <is>
          <t>SKÅNE LÄN</t>
        </is>
      </c>
      <c r="E7570" t="inlineStr">
        <is>
          <t>HÄSSLEHOLM</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9396-2025</t>
        </is>
      </c>
      <c r="B7571" s="1" t="n">
        <v>45715</v>
      </c>
      <c r="C7571" s="1" t="n">
        <v>45749</v>
      </c>
      <c r="D7571" t="inlineStr">
        <is>
          <t>SKÅNE LÄN</t>
        </is>
      </c>
      <c r="E7571" t="inlineStr">
        <is>
          <t>HÄSSLEHOLM</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9360-2025</t>
        </is>
      </c>
      <c r="B7572" s="1" t="n">
        <v>45715</v>
      </c>
      <c r="C7572" s="1" t="n">
        <v>45749</v>
      </c>
      <c r="D7572" t="inlineStr">
        <is>
          <t>SKÅNE LÄN</t>
        </is>
      </c>
      <c r="E7572" t="inlineStr">
        <is>
          <t>LUND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9393-2025</t>
        </is>
      </c>
      <c r="B7573" s="1" t="n">
        <v>45715</v>
      </c>
      <c r="C7573" s="1" t="n">
        <v>45749</v>
      </c>
      <c r="D7573" t="inlineStr">
        <is>
          <t>SKÅNE LÄN</t>
        </is>
      </c>
      <c r="E7573" t="inlineStr">
        <is>
          <t>HÄSSLEHOLM</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9466-2025</t>
        </is>
      </c>
      <c r="B7574" s="1" t="n">
        <v>45715</v>
      </c>
      <c r="C7574" s="1" t="n">
        <v>45749</v>
      </c>
      <c r="D7574" t="inlineStr">
        <is>
          <t>SKÅNE LÄN</t>
        </is>
      </c>
      <c r="E7574" t="inlineStr">
        <is>
          <t>HÖÖR</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9358-2025</t>
        </is>
      </c>
      <c r="B7575" s="1" t="n">
        <v>45715</v>
      </c>
      <c r="C7575" s="1" t="n">
        <v>45749</v>
      </c>
      <c r="D7575" t="inlineStr">
        <is>
          <t>SKÅNE LÄN</t>
        </is>
      </c>
      <c r="E7575" t="inlineStr">
        <is>
          <t>ÖRKELLJUNGA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9359-2025</t>
        </is>
      </c>
      <c r="B7576" s="1" t="n">
        <v>45715</v>
      </c>
      <c r="C7576" s="1" t="n">
        <v>45749</v>
      </c>
      <c r="D7576" t="inlineStr">
        <is>
          <t>SKÅNE LÄN</t>
        </is>
      </c>
      <c r="E7576" t="inlineStr">
        <is>
          <t>ÖRKELLJUNGA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9365-2025</t>
        </is>
      </c>
      <c r="B7577" s="1" t="n">
        <v>45715</v>
      </c>
      <c r="C7577" s="1" t="n">
        <v>45749</v>
      </c>
      <c r="D7577" t="inlineStr">
        <is>
          <t>SKÅNE LÄN</t>
        </is>
      </c>
      <c r="E7577" t="inlineStr">
        <is>
          <t>ÖRKELLJUNGA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9899-2025</t>
        </is>
      </c>
      <c r="B7578" s="1" t="n">
        <v>45716</v>
      </c>
      <c r="C7578" s="1" t="n">
        <v>45749</v>
      </c>
      <c r="D7578" t="inlineStr">
        <is>
          <t>SKÅNE LÄN</t>
        </is>
      </c>
      <c r="E7578" t="inlineStr">
        <is>
          <t>KRISTIANSTAD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45749</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9668-2025</t>
        </is>
      </c>
      <c r="B7580" s="1" t="n">
        <v>45716</v>
      </c>
      <c r="C7580" s="1" t="n">
        <v>45749</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45749</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9673-2025</t>
        </is>
      </c>
      <c r="B7582" s="1" t="n">
        <v>45716</v>
      </c>
      <c r="C7582" s="1" t="n">
        <v>45749</v>
      </c>
      <c r="D7582" t="inlineStr">
        <is>
          <t>SKÅNE LÄN</t>
        </is>
      </c>
      <c r="E7582" t="inlineStr">
        <is>
          <t>HÄSSLEHOLM</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9898-2025</t>
        </is>
      </c>
      <c r="B7583" s="1" t="n">
        <v>45716</v>
      </c>
      <c r="C7583" s="1" t="n">
        <v>45749</v>
      </c>
      <c r="D7583" t="inlineStr">
        <is>
          <t>SKÅNE LÄN</t>
        </is>
      </c>
      <c r="E7583" t="inlineStr">
        <is>
          <t>KRISTIANSTAD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9678-2025</t>
        </is>
      </c>
      <c r="B7584" s="1" t="n">
        <v>45716</v>
      </c>
      <c r="C7584" s="1" t="n">
        <v>45749</v>
      </c>
      <c r="D7584" t="inlineStr">
        <is>
          <t>SKÅNE LÄN</t>
        </is>
      </c>
      <c r="E7584" t="inlineStr">
        <is>
          <t>HÄSSLEHOLM</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9667-2025</t>
        </is>
      </c>
      <c r="B7585" s="1" t="n">
        <v>45716</v>
      </c>
      <c r="C7585" s="1" t="n">
        <v>45749</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45749</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10203-2025</t>
        </is>
      </c>
      <c r="B7587" s="1" t="n">
        <v>45719</v>
      </c>
      <c r="C7587" s="1" t="n">
        <v>45749</v>
      </c>
      <c r="D7587" t="inlineStr">
        <is>
          <t>SKÅNE LÄN</t>
        </is>
      </c>
      <c r="E7587" t="inlineStr">
        <is>
          <t>KRISTIANSTAD</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10200-2025</t>
        </is>
      </c>
      <c r="B7588" s="1" t="n">
        <v>45719</v>
      </c>
      <c r="C7588" s="1" t="n">
        <v>45749</v>
      </c>
      <c r="D7588" t="inlineStr">
        <is>
          <t>SKÅNE LÄN</t>
        </is>
      </c>
      <c r="E7588" t="inlineStr">
        <is>
          <t>KRISTIANSTAD</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10044-2025</t>
        </is>
      </c>
      <c r="B7589" s="1" t="n">
        <v>45719</v>
      </c>
      <c r="C7589" s="1" t="n">
        <v>45749</v>
      </c>
      <c r="D7589" t="inlineStr">
        <is>
          <t>SKÅNE LÄN</t>
        </is>
      </c>
      <c r="E7589" t="inlineStr">
        <is>
          <t>KRISTIANSTAD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9999-2025</t>
        </is>
      </c>
      <c r="B7590" s="1" t="n">
        <v>45719</v>
      </c>
      <c r="C7590" s="1" t="n">
        <v>45749</v>
      </c>
      <c r="D7590" t="inlineStr">
        <is>
          <t>SKÅNE LÄN</t>
        </is>
      </c>
      <c r="E7590" t="inlineStr">
        <is>
          <t>KLIPPAN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9972-2025</t>
        </is>
      </c>
      <c r="B7591" s="1" t="n">
        <v>45719</v>
      </c>
      <c r="C7591" s="1" t="n">
        <v>45749</v>
      </c>
      <c r="D7591" t="inlineStr">
        <is>
          <t>SKÅNE LÄN</t>
        </is>
      </c>
      <c r="E7591" t="inlineStr">
        <is>
          <t>KRISTIANSTAD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9983-2025</t>
        </is>
      </c>
      <c r="B7592" s="1" t="n">
        <v>45719</v>
      </c>
      <c r="C7592" s="1" t="n">
        <v>45749</v>
      </c>
      <c r="D7592" t="inlineStr">
        <is>
          <t>SKÅNE LÄN</t>
        </is>
      </c>
      <c r="E7592" t="inlineStr">
        <is>
          <t>OSBY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10086-2025</t>
        </is>
      </c>
      <c r="B7593" s="1" t="n">
        <v>45719</v>
      </c>
      <c r="C7593" s="1" t="n">
        <v>45749</v>
      </c>
      <c r="D7593" t="inlineStr">
        <is>
          <t>SKÅNE LÄN</t>
        </is>
      </c>
      <c r="E7593" t="inlineStr">
        <is>
          <t>OSBY</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9987-2025</t>
        </is>
      </c>
      <c r="B7594" s="1" t="n">
        <v>45719</v>
      </c>
      <c r="C7594" s="1" t="n">
        <v>45749</v>
      </c>
      <c r="D7594" t="inlineStr">
        <is>
          <t>SKÅNE LÄN</t>
        </is>
      </c>
      <c r="E7594" t="inlineStr">
        <is>
          <t>OSBY</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45749</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10197-2025</t>
        </is>
      </c>
      <c r="B7596" s="1" t="n">
        <v>45719</v>
      </c>
      <c r="C7596" s="1" t="n">
        <v>45749</v>
      </c>
      <c r="D7596" t="inlineStr">
        <is>
          <t>SKÅNE LÄN</t>
        </is>
      </c>
      <c r="E7596" t="inlineStr">
        <is>
          <t>KRISTIANSTAD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45749</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45749</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45749</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45749</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10230-2025</t>
        </is>
      </c>
      <c r="B7601" s="1" t="n">
        <v>45720</v>
      </c>
      <c r="C7601" s="1" t="n">
        <v>45749</v>
      </c>
      <c r="D7601" t="inlineStr">
        <is>
          <t>SKÅNE LÄN</t>
        </is>
      </c>
      <c r="E7601" t="inlineStr">
        <is>
          <t>HÄSSLEHOLM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10544-2025</t>
        </is>
      </c>
      <c r="B7602" s="1" t="n">
        <v>45721</v>
      </c>
      <c r="C7602" s="1" t="n">
        <v>45749</v>
      </c>
      <c r="D7602" t="inlineStr">
        <is>
          <t>SKÅNE LÄN</t>
        </is>
      </c>
      <c r="E7602" t="inlineStr">
        <is>
          <t>KLIPPAN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10563-2025</t>
        </is>
      </c>
      <c r="B7603" s="1" t="n">
        <v>45721</v>
      </c>
      <c r="C7603" s="1" t="n">
        <v>45749</v>
      </c>
      <c r="D7603" t="inlineStr">
        <is>
          <t>SKÅNE LÄN</t>
        </is>
      </c>
      <c r="E7603" t="inlineStr">
        <is>
          <t>ÖRKELLJUNGA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10478-2025</t>
        </is>
      </c>
      <c r="B7604" s="1" t="n">
        <v>45721</v>
      </c>
      <c r="C7604" s="1" t="n">
        <v>45749</v>
      </c>
      <c r="D7604" t="inlineStr">
        <is>
          <t>SKÅNE LÄN</t>
        </is>
      </c>
      <c r="E7604" t="inlineStr">
        <is>
          <t>KRISTIANSTAD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45749</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45749</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10673-2025</t>
        </is>
      </c>
      <c r="B7607" s="1" t="n">
        <v>45721</v>
      </c>
      <c r="C7607" s="1" t="n">
        <v>45749</v>
      </c>
      <c r="D7607" t="inlineStr">
        <is>
          <t>SKÅNE LÄN</t>
        </is>
      </c>
      <c r="E7607" t="inlineStr">
        <is>
          <t>OSBY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45749</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10914-2025</t>
        </is>
      </c>
      <c r="B7609" s="1" t="n">
        <v>45722</v>
      </c>
      <c r="C7609" s="1" t="n">
        <v>45749</v>
      </c>
      <c r="D7609" t="inlineStr">
        <is>
          <t>SKÅNE LÄN</t>
        </is>
      </c>
      <c r="E7609" t="inlineStr">
        <is>
          <t>KRISTIANSTAD</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10752-2025</t>
        </is>
      </c>
      <c r="B7610" s="1" t="n">
        <v>45722</v>
      </c>
      <c r="C7610" s="1" t="n">
        <v>45749</v>
      </c>
      <c r="D7610" t="inlineStr">
        <is>
          <t>SKÅNE LÄN</t>
        </is>
      </c>
      <c r="E7610" t="inlineStr">
        <is>
          <t>HÄSSLEHOLM</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45749</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10761-2025</t>
        </is>
      </c>
      <c r="B7612" s="1" t="n">
        <v>45722</v>
      </c>
      <c r="C7612" s="1" t="n">
        <v>45749</v>
      </c>
      <c r="D7612" t="inlineStr">
        <is>
          <t>SKÅNE LÄN</t>
        </is>
      </c>
      <c r="E7612" t="inlineStr">
        <is>
          <t>HÖRBY</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45749</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10710-2025</t>
        </is>
      </c>
      <c r="B7614" s="1" t="n">
        <v>45722</v>
      </c>
      <c r="C7614" s="1" t="n">
        <v>45749</v>
      </c>
      <c r="D7614" t="inlineStr">
        <is>
          <t>SKÅNE LÄN</t>
        </is>
      </c>
      <c r="E7614" t="inlineStr">
        <is>
          <t>BÅSTAD</t>
        </is>
      </c>
      <c r="F7614" t="inlineStr">
        <is>
          <t>Kommuner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45749</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10797-2025</t>
        </is>
      </c>
      <c r="B7616" s="1" t="n">
        <v>45722</v>
      </c>
      <c r="C7616" s="1" t="n">
        <v>45749</v>
      </c>
      <c r="D7616" t="inlineStr">
        <is>
          <t>SKÅNE LÄN</t>
        </is>
      </c>
      <c r="E7616" t="inlineStr">
        <is>
          <t>ÖRKELLJUNGA</t>
        </is>
      </c>
      <c r="G7616" t="n">
        <v>15.1</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45749</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11150-2025</t>
        </is>
      </c>
      <c r="B7618" s="1" t="n">
        <v>45723</v>
      </c>
      <c r="C7618" s="1" t="n">
        <v>45749</v>
      </c>
      <c r="D7618" t="inlineStr">
        <is>
          <t>SKÅNE LÄN</t>
        </is>
      </c>
      <c r="E7618" t="inlineStr">
        <is>
          <t>KRISTIANSTAD</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10962-2025</t>
        </is>
      </c>
      <c r="B7619" s="1" t="n">
        <v>45723</v>
      </c>
      <c r="C7619" s="1" t="n">
        <v>45749</v>
      </c>
      <c r="D7619" t="inlineStr">
        <is>
          <t>SKÅNE LÄN</t>
        </is>
      </c>
      <c r="E7619" t="inlineStr">
        <is>
          <t>KRISTIANSTAD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10963-2025</t>
        </is>
      </c>
      <c r="B7620" s="1" t="n">
        <v>45723</v>
      </c>
      <c r="C7620" s="1" t="n">
        <v>45749</v>
      </c>
      <c r="D7620" t="inlineStr">
        <is>
          <t>SKÅNE LÄN</t>
        </is>
      </c>
      <c r="E7620" t="inlineStr">
        <is>
          <t>KRISTIANSTAD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11019-2025</t>
        </is>
      </c>
      <c r="B7621" s="1" t="n">
        <v>45723</v>
      </c>
      <c r="C7621" s="1" t="n">
        <v>45749</v>
      </c>
      <c r="D7621" t="inlineStr">
        <is>
          <t>SKÅNE LÄN</t>
        </is>
      </c>
      <c r="E7621" t="inlineStr">
        <is>
          <t>HÄSSLEHOLM</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11121-2025</t>
        </is>
      </c>
      <c r="B7622" s="1" t="n">
        <v>45723</v>
      </c>
      <c r="C7622" s="1" t="n">
        <v>45749</v>
      </c>
      <c r="D7622" t="inlineStr">
        <is>
          <t>SKÅNE LÄN</t>
        </is>
      </c>
      <c r="E7622" t="inlineStr">
        <is>
          <t>ÖRKELLJUNGA</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11126-2025</t>
        </is>
      </c>
      <c r="B7623" s="1" t="n">
        <v>45723</v>
      </c>
      <c r="C7623" s="1" t="n">
        <v>45749</v>
      </c>
      <c r="D7623" t="inlineStr">
        <is>
          <t>SKÅNE LÄN</t>
        </is>
      </c>
      <c r="E7623" t="inlineStr">
        <is>
          <t>ÖRKELLJUNGA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10961-2025</t>
        </is>
      </c>
      <c r="B7624" s="1" t="n">
        <v>45723</v>
      </c>
      <c r="C7624" s="1" t="n">
        <v>45749</v>
      </c>
      <c r="D7624" t="inlineStr">
        <is>
          <t>SKÅNE LÄN</t>
        </is>
      </c>
      <c r="E7624" t="inlineStr">
        <is>
          <t>KRISTIANSTAD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45749</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11105-2025</t>
        </is>
      </c>
      <c r="B7626" s="1" t="n">
        <v>45723</v>
      </c>
      <c r="C7626" s="1" t="n">
        <v>45749</v>
      </c>
      <c r="D7626" t="inlineStr">
        <is>
          <t>SKÅNE LÄN</t>
        </is>
      </c>
      <c r="E7626" t="inlineStr">
        <is>
          <t>KRISTIANSTAD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11115-2025</t>
        </is>
      </c>
      <c r="B7627" s="1" t="n">
        <v>45723</v>
      </c>
      <c r="C7627" s="1" t="n">
        <v>45749</v>
      </c>
      <c r="D7627" t="inlineStr">
        <is>
          <t>SKÅNE LÄN</t>
        </is>
      </c>
      <c r="E7627" t="inlineStr">
        <is>
          <t>ÖRKELLJUNGA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11412-2025</t>
        </is>
      </c>
      <c r="B7628" s="1" t="n">
        <v>45726</v>
      </c>
      <c r="C7628" s="1" t="n">
        <v>45749</v>
      </c>
      <c r="D7628" t="inlineStr">
        <is>
          <t>SKÅNE LÄN</t>
        </is>
      </c>
      <c r="E7628" t="inlineStr">
        <is>
          <t>HÄSSLEHOLM</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45749</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11422-2025</t>
        </is>
      </c>
      <c r="B7630" s="1" t="n">
        <v>45726</v>
      </c>
      <c r="C7630" s="1" t="n">
        <v>45749</v>
      </c>
      <c r="D7630" t="inlineStr">
        <is>
          <t>SKÅNE LÄN</t>
        </is>
      </c>
      <c r="E7630" t="inlineStr">
        <is>
          <t>HÄSSLEHOLM</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11262-2025</t>
        </is>
      </c>
      <c r="B7631" s="1" t="n">
        <v>45726</v>
      </c>
      <c r="C7631" s="1" t="n">
        <v>45749</v>
      </c>
      <c r="D7631" t="inlineStr">
        <is>
          <t>SKÅNE LÄN</t>
        </is>
      </c>
      <c r="E7631" t="inlineStr">
        <is>
          <t>HÄSSLEHOLM</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45749</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11266-2025</t>
        </is>
      </c>
      <c r="B7633" s="1" t="n">
        <v>45726</v>
      </c>
      <c r="C7633" s="1" t="n">
        <v>45749</v>
      </c>
      <c r="D7633" t="inlineStr">
        <is>
          <t>SKÅNE LÄN</t>
        </is>
      </c>
      <c r="E7633" t="inlineStr">
        <is>
          <t>HÄSSLEHOLM</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45749</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11470-2025</t>
        </is>
      </c>
      <c r="B7635" s="1" t="n">
        <v>45726</v>
      </c>
      <c r="C7635" s="1" t="n">
        <v>45749</v>
      </c>
      <c r="D7635" t="inlineStr">
        <is>
          <t>SKÅNE LÄN</t>
        </is>
      </c>
      <c r="E7635" t="inlineStr">
        <is>
          <t>HÄSSLEHOLM</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11466-2025</t>
        </is>
      </c>
      <c r="B7636" s="1" t="n">
        <v>45726</v>
      </c>
      <c r="C7636" s="1" t="n">
        <v>45749</v>
      </c>
      <c r="D7636" t="inlineStr">
        <is>
          <t>SKÅNE LÄN</t>
        </is>
      </c>
      <c r="E7636" t="inlineStr">
        <is>
          <t>HÄSSLEHOLM</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11211-2025</t>
        </is>
      </c>
      <c r="B7637" s="1" t="n">
        <v>45726</v>
      </c>
      <c r="C7637" s="1" t="n">
        <v>45749</v>
      </c>
      <c r="D7637" t="inlineStr">
        <is>
          <t>SKÅNE LÄN</t>
        </is>
      </c>
      <c r="E7637" t="inlineStr">
        <is>
          <t>HÄSSLEHOLM</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11347-2025</t>
        </is>
      </c>
      <c r="B7638" s="1" t="n">
        <v>45726</v>
      </c>
      <c r="C7638" s="1" t="n">
        <v>45749</v>
      </c>
      <c r="D7638" t="inlineStr">
        <is>
          <t>SKÅNE LÄN</t>
        </is>
      </c>
      <c r="E7638" t="inlineStr">
        <is>
          <t>HÄSSLEHOLM</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11472-2025</t>
        </is>
      </c>
      <c r="B7639" s="1" t="n">
        <v>45726</v>
      </c>
      <c r="C7639" s="1" t="n">
        <v>45749</v>
      </c>
      <c r="D7639" t="inlineStr">
        <is>
          <t>SKÅNE LÄN</t>
        </is>
      </c>
      <c r="E7639" t="inlineStr">
        <is>
          <t>HÖÖR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11732-2025</t>
        </is>
      </c>
      <c r="B7640" s="1" t="n">
        <v>45727</v>
      </c>
      <c r="C7640" s="1" t="n">
        <v>45749</v>
      </c>
      <c r="D7640" t="inlineStr">
        <is>
          <t>SKÅNE LÄN</t>
        </is>
      </c>
      <c r="E7640" t="inlineStr">
        <is>
          <t>ESLÖV</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11753-2025</t>
        </is>
      </c>
      <c r="B7641" s="1" t="n">
        <v>45727</v>
      </c>
      <c r="C7641" s="1" t="n">
        <v>45749</v>
      </c>
      <c r="D7641" t="inlineStr">
        <is>
          <t>SKÅNE LÄN</t>
        </is>
      </c>
      <c r="E7641" t="inlineStr">
        <is>
          <t>HÄSSLEHOLM</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11635-2025</t>
        </is>
      </c>
      <c r="B7642" s="1" t="n">
        <v>45727</v>
      </c>
      <c r="C7642" s="1" t="n">
        <v>45749</v>
      </c>
      <c r="D7642" t="inlineStr">
        <is>
          <t>SKÅNE LÄN</t>
        </is>
      </c>
      <c r="E7642" t="inlineStr">
        <is>
          <t>ÖSTRA GÖINGE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11693-2025</t>
        </is>
      </c>
      <c r="B7643" s="1" t="n">
        <v>45727</v>
      </c>
      <c r="C7643" s="1" t="n">
        <v>45749</v>
      </c>
      <c r="D7643" t="inlineStr">
        <is>
          <t>SKÅNE LÄN</t>
        </is>
      </c>
      <c r="E7643" t="inlineStr">
        <is>
          <t>KRISTIANSTAD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11603-2025</t>
        </is>
      </c>
      <c r="B7644" s="1" t="n">
        <v>45727</v>
      </c>
      <c r="C7644" s="1" t="n">
        <v>45749</v>
      </c>
      <c r="D7644" t="inlineStr">
        <is>
          <t>SKÅNE LÄN</t>
        </is>
      </c>
      <c r="E7644" t="inlineStr">
        <is>
          <t>HÄSSLEHOLM</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11721-2025</t>
        </is>
      </c>
      <c r="B7645" s="1" t="n">
        <v>45727</v>
      </c>
      <c r="C7645" s="1" t="n">
        <v>45749</v>
      </c>
      <c r="D7645" t="inlineStr">
        <is>
          <t>SKÅNE LÄN</t>
        </is>
      </c>
      <c r="E7645" t="inlineStr">
        <is>
          <t>KRISTIANSTAD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11609-2025</t>
        </is>
      </c>
      <c r="B7646" s="1" t="n">
        <v>45727</v>
      </c>
      <c r="C7646" s="1" t="n">
        <v>45749</v>
      </c>
      <c r="D7646" t="inlineStr">
        <is>
          <t>SKÅNE LÄN</t>
        </is>
      </c>
      <c r="E7646" t="inlineStr">
        <is>
          <t>HÄSSLEHOLM</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11807-2025</t>
        </is>
      </c>
      <c r="B7647" s="1" t="n">
        <v>45727</v>
      </c>
      <c r="C7647" s="1" t="n">
        <v>45749</v>
      </c>
      <c r="D7647" t="inlineStr">
        <is>
          <t>SKÅNE LÄN</t>
        </is>
      </c>
      <c r="E7647" t="inlineStr">
        <is>
          <t>TOMELILLA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11810-2025</t>
        </is>
      </c>
      <c r="B7648" s="1" t="n">
        <v>45727</v>
      </c>
      <c r="C7648" s="1" t="n">
        <v>45749</v>
      </c>
      <c r="D7648" t="inlineStr">
        <is>
          <t>SKÅNE LÄN</t>
        </is>
      </c>
      <c r="E7648" t="inlineStr">
        <is>
          <t>TOMELILLA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45749</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45749</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45749</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11802-2025</t>
        </is>
      </c>
      <c r="B7652" s="1" t="n">
        <v>45727</v>
      </c>
      <c r="C7652" s="1" t="n">
        <v>45749</v>
      </c>
      <c r="D7652" t="inlineStr">
        <is>
          <t>SKÅNE LÄN</t>
        </is>
      </c>
      <c r="E7652" t="inlineStr">
        <is>
          <t>ÖSTRA GÖINGE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11804-2025</t>
        </is>
      </c>
      <c r="B7653" s="1" t="n">
        <v>45727</v>
      </c>
      <c r="C7653" s="1" t="n">
        <v>45749</v>
      </c>
      <c r="D7653" t="inlineStr">
        <is>
          <t>SKÅNE LÄN</t>
        </is>
      </c>
      <c r="E7653" t="inlineStr">
        <is>
          <t>TOMELILLA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11803-2025</t>
        </is>
      </c>
      <c r="B7654" s="1" t="n">
        <v>45727</v>
      </c>
      <c r="C7654" s="1" t="n">
        <v>45749</v>
      </c>
      <c r="D7654" t="inlineStr">
        <is>
          <t>SKÅNE LÄN</t>
        </is>
      </c>
      <c r="E7654" t="inlineStr">
        <is>
          <t>TOMELILLA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11556-2025</t>
        </is>
      </c>
      <c r="B7655" s="1" t="n">
        <v>45727</v>
      </c>
      <c r="C7655" s="1" t="n">
        <v>45749</v>
      </c>
      <c r="D7655" t="inlineStr">
        <is>
          <t>SKÅNE LÄN</t>
        </is>
      </c>
      <c r="E7655" t="inlineStr">
        <is>
          <t>KLIPPAN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11559-2025</t>
        </is>
      </c>
      <c r="B7656" s="1" t="n">
        <v>45727</v>
      </c>
      <c r="C7656" s="1" t="n">
        <v>45749</v>
      </c>
      <c r="D7656" t="inlineStr">
        <is>
          <t>SKÅNE LÄN</t>
        </is>
      </c>
      <c r="E7656" t="inlineStr">
        <is>
          <t>KLIPPAN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11529-2025</t>
        </is>
      </c>
      <c r="B7657" s="1" t="n">
        <v>45727</v>
      </c>
      <c r="C7657" s="1" t="n">
        <v>45749</v>
      </c>
      <c r="D7657" t="inlineStr">
        <is>
          <t>SKÅNE LÄN</t>
        </is>
      </c>
      <c r="E7657" t="inlineStr">
        <is>
          <t>HÖRBY</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11638-2025</t>
        </is>
      </c>
      <c r="B7658" s="1" t="n">
        <v>45727</v>
      </c>
      <c r="C7658" s="1" t="n">
        <v>45749</v>
      </c>
      <c r="D7658" t="inlineStr">
        <is>
          <t>SKÅNE LÄN</t>
        </is>
      </c>
      <c r="E7658" t="inlineStr">
        <is>
          <t>ÖSTRA GÖINGE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11806-2025</t>
        </is>
      </c>
      <c r="B7659" s="1" t="n">
        <v>45727</v>
      </c>
      <c r="C7659" s="1" t="n">
        <v>45749</v>
      </c>
      <c r="D7659" t="inlineStr">
        <is>
          <t>SKÅNE LÄN</t>
        </is>
      </c>
      <c r="E7659" t="inlineStr">
        <is>
          <t>TOMELILLA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11811-2025</t>
        </is>
      </c>
      <c r="B7660" s="1" t="n">
        <v>45727</v>
      </c>
      <c r="C7660" s="1" t="n">
        <v>45749</v>
      </c>
      <c r="D7660" t="inlineStr">
        <is>
          <t>SKÅNE LÄN</t>
        </is>
      </c>
      <c r="E7660" t="inlineStr">
        <is>
          <t>TOMELILLA</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45749</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11642-2025</t>
        </is>
      </c>
      <c r="B7662" s="1" t="n">
        <v>45727</v>
      </c>
      <c r="C7662" s="1" t="n">
        <v>45749</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12048-2025</t>
        </is>
      </c>
      <c r="B7663" s="1" t="n">
        <v>45728</v>
      </c>
      <c r="C7663" s="1" t="n">
        <v>45749</v>
      </c>
      <c r="D7663" t="inlineStr">
        <is>
          <t>SKÅNE LÄN</t>
        </is>
      </c>
      <c r="E7663" t="inlineStr">
        <is>
          <t>ÖSTRA GÖINGE</t>
        </is>
      </c>
      <c r="F7663" t="inlineStr">
        <is>
          <t>Sveaskog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11857-2025</t>
        </is>
      </c>
      <c r="B7664" s="1" t="n">
        <v>45728</v>
      </c>
      <c r="C7664" s="1" t="n">
        <v>45749</v>
      </c>
      <c r="D7664" t="inlineStr">
        <is>
          <t>SKÅNE LÄN</t>
        </is>
      </c>
      <c r="E7664" t="inlineStr">
        <is>
          <t>KLIPPAN</t>
        </is>
      </c>
      <c r="F7664" t="inlineStr">
        <is>
          <t>Övriga Aktiebolag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11866-2025</t>
        </is>
      </c>
      <c r="B7665" s="1" t="n">
        <v>45728</v>
      </c>
      <c r="C7665" s="1" t="n">
        <v>45749</v>
      </c>
      <c r="D7665" t="inlineStr">
        <is>
          <t>SKÅNE LÄN</t>
        </is>
      </c>
      <c r="E7665" t="inlineStr">
        <is>
          <t>KRISTIANSTAD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11816-2025</t>
        </is>
      </c>
      <c r="B7666" s="1" t="n">
        <v>45728</v>
      </c>
      <c r="C7666" s="1" t="n">
        <v>45749</v>
      </c>
      <c r="D7666" t="inlineStr">
        <is>
          <t>SKÅNE LÄN</t>
        </is>
      </c>
      <c r="E7666" t="inlineStr">
        <is>
          <t>HÖRBY</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11942-2025</t>
        </is>
      </c>
      <c r="B7667" s="1" t="n">
        <v>45728</v>
      </c>
      <c r="C7667" s="1" t="n">
        <v>45749</v>
      </c>
      <c r="D7667" t="inlineStr">
        <is>
          <t>SKÅNE LÄN</t>
        </is>
      </c>
      <c r="E7667" t="inlineStr">
        <is>
          <t>ÖRKELLJUNGA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11934-2025</t>
        </is>
      </c>
      <c r="B7668" s="1" t="n">
        <v>45728</v>
      </c>
      <c r="C7668" s="1" t="n">
        <v>45749</v>
      </c>
      <c r="D7668" t="inlineStr">
        <is>
          <t>SKÅNE LÄN</t>
        </is>
      </c>
      <c r="E7668" t="inlineStr">
        <is>
          <t>HÖRBY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11941-2025</t>
        </is>
      </c>
      <c r="B7669" s="1" t="n">
        <v>45728</v>
      </c>
      <c r="C7669" s="1" t="n">
        <v>45749</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11908-2025</t>
        </is>
      </c>
      <c r="B7670" s="1" t="n">
        <v>45728</v>
      </c>
      <c r="C7670" s="1" t="n">
        <v>45749</v>
      </c>
      <c r="D7670" t="inlineStr">
        <is>
          <t>SKÅNE LÄN</t>
        </is>
      </c>
      <c r="E7670" t="inlineStr">
        <is>
          <t>OSBY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12000-2025</t>
        </is>
      </c>
      <c r="B7671" s="1" t="n">
        <v>45728</v>
      </c>
      <c r="C7671" s="1" t="n">
        <v>45749</v>
      </c>
      <c r="D7671" t="inlineStr">
        <is>
          <t>SKÅNE LÄN</t>
        </is>
      </c>
      <c r="E7671" t="inlineStr">
        <is>
          <t>SIMRISHAMN</t>
        </is>
      </c>
      <c r="F7671" t="inlineStr">
        <is>
          <t>Övriga Aktiebolag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12038-2025</t>
        </is>
      </c>
      <c r="B7672" s="1" t="n">
        <v>45728</v>
      </c>
      <c r="C7672" s="1" t="n">
        <v>45749</v>
      </c>
      <c r="D7672" t="inlineStr">
        <is>
          <t>SKÅNE LÄN</t>
        </is>
      </c>
      <c r="E7672" t="inlineStr">
        <is>
          <t>ÖRKELLJUNGA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11861-2025</t>
        </is>
      </c>
      <c r="B7673" s="1" t="n">
        <v>45728</v>
      </c>
      <c r="C7673" s="1" t="n">
        <v>45749</v>
      </c>
      <c r="D7673" t="inlineStr">
        <is>
          <t>SKÅNE LÄN</t>
        </is>
      </c>
      <c r="E7673" t="inlineStr">
        <is>
          <t>BROMÖLLA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11943-2025</t>
        </is>
      </c>
      <c r="B7674" s="1" t="n">
        <v>45728</v>
      </c>
      <c r="C7674" s="1" t="n">
        <v>45749</v>
      </c>
      <c r="D7674" t="inlineStr">
        <is>
          <t>SKÅNE LÄN</t>
        </is>
      </c>
      <c r="E7674" t="inlineStr">
        <is>
          <t>HÖRBY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12006-2025</t>
        </is>
      </c>
      <c r="B7675" s="1" t="n">
        <v>45728</v>
      </c>
      <c r="C7675" s="1" t="n">
        <v>45749</v>
      </c>
      <c r="D7675" t="inlineStr">
        <is>
          <t>SKÅNE LÄN</t>
        </is>
      </c>
      <c r="E7675" t="inlineStr">
        <is>
          <t>SIMRISHAMN</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12047-2025</t>
        </is>
      </c>
      <c r="B7676" s="1" t="n">
        <v>45728</v>
      </c>
      <c r="C7676" s="1" t="n">
        <v>45749</v>
      </c>
      <c r="D7676" t="inlineStr">
        <is>
          <t>SKÅNE LÄN</t>
        </is>
      </c>
      <c r="E7676" t="inlineStr">
        <is>
          <t>ÖSTRA GÖINGE</t>
        </is>
      </c>
      <c r="F7676" t="inlineStr">
        <is>
          <t>Sveaskog</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12028-2025</t>
        </is>
      </c>
      <c r="B7677" s="1" t="n">
        <v>45728</v>
      </c>
      <c r="C7677" s="1" t="n">
        <v>45749</v>
      </c>
      <c r="D7677" t="inlineStr">
        <is>
          <t>SKÅNE LÄN</t>
        </is>
      </c>
      <c r="E7677" t="inlineStr">
        <is>
          <t>HÖÖR</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12025-2025</t>
        </is>
      </c>
      <c r="B7678" s="1" t="n">
        <v>45728</v>
      </c>
      <c r="C7678" s="1" t="n">
        <v>45749</v>
      </c>
      <c r="D7678" t="inlineStr">
        <is>
          <t>SKÅNE LÄN</t>
        </is>
      </c>
      <c r="E7678" t="inlineStr">
        <is>
          <t>HÖÖR</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45749</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12313-2025</t>
        </is>
      </c>
      <c r="B7680" s="1" t="n">
        <v>45729</v>
      </c>
      <c r="C7680" s="1" t="n">
        <v>45749</v>
      </c>
      <c r="D7680" t="inlineStr">
        <is>
          <t>SKÅNE LÄN</t>
        </is>
      </c>
      <c r="E7680" t="inlineStr">
        <is>
          <t>KRISTIANSTAD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45749</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12182-2025</t>
        </is>
      </c>
      <c r="B7682" s="1" t="n">
        <v>45729</v>
      </c>
      <c r="C7682" s="1" t="n">
        <v>45749</v>
      </c>
      <c r="D7682" t="inlineStr">
        <is>
          <t>SKÅNE LÄN</t>
        </is>
      </c>
      <c r="E7682" t="inlineStr">
        <is>
          <t>HÄSSLEHOLM</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12540-2025</t>
        </is>
      </c>
      <c r="B7683" s="1" t="n">
        <v>45730</v>
      </c>
      <c r="C7683" s="1" t="n">
        <v>45749</v>
      </c>
      <c r="D7683" t="inlineStr">
        <is>
          <t>SKÅNE LÄN</t>
        </is>
      </c>
      <c r="E7683" t="inlineStr">
        <is>
          <t>HÄSSLEHOLM</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45749</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12413-2025</t>
        </is>
      </c>
      <c r="B7685" s="1" t="n">
        <v>45730</v>
      </c>
      <c r="C7685" s="1" t="n">
        <v>45749</v>
      </c>
      <c r="D7685" t="inlineStr">
        <is>
          <t>SKÅNE LÄN</t>
        </is>
      </c>
      <c r="E7685" t="inlineStr">
        <is>
          <t>OSBY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12351-2025</t>
        </is>
      </c>
      <c r="B7686" s="1" t="n">
        <v>45730</v>
      </c>
      <c r="C7686" s="1" t="n">
        <v>45749</v>
      </c>
      <c r="D7686" t="inlineStr">
        <is>
          <t>SKÅNE LÄN</t>
        </is>
      </c>
      <c r="E7686" t="inlineStr">
        <is>
          <t>TOMELILLA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45749</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12915-2025</t>
        </is>
      </c>
      <c r="B7688" s="1" t="n">
        <v>45733</v>
      </c>
      <c r="C7688" s="1" t="n">
        <v>45749</v>
      </c>
      <c r="D7688" t="inlineStr">
        <is>
          <t>SKÅNE LÄN</t>
        </is>
      </c>
      <c r="E7688" t="inlineStr">
        <is>
          <t>KRISTIANSTAD</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12898-2025</t>
        </is>
      </c>
      <c r="B7689" s="1" t="n">
        <v>45733</v>
      </c>
      <c r="C7689" s="1" t="n">
        <v>45749</v>
      </c>
      <c r="D7689" t="inlineStr">
        <is>
          <t>SKÅNE LÄN</t>
        </is>
      </c>
      <c r="E7689" t="inlineStr">
        <is>
          <t>HÄSSLEHOLM</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12911-2025</t>
        </is>
      </c>
      <c r="B7690" s="1" t="n">
        <v>45733</v>
      </c>
      <c r="C7690" s="1" t="n">
        <v>45749</v>
      </c>
      <c r="D7690" t="inlineStr">
        <is>
          <t>SKÅNE LÄN</t>
        </is>
      </c>
      <c r="E7690" t="inlineStr">
        <is>
          <t>PERSTORP</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12872-2025</t>
        </is>
      </c>
      <c r="B7691" s="1" t="n">
        <v>45733</v>
      </c>
      <c r="C7691" s="1" t="n">
        <v>45749</v>
      </c>
      <c r="D7691" t="inlineStr">
        <is>
          <t>SKÅNE LÄN</t>
        </is>
      </c>
      <c r="E7691" t="inlineStr">
        <is>
          <t>OSBY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12912-2025</t>
        </is>
      </c>
      <c r="B7692" s="1" t="n">
        <v>45733</v>
      </c>
      <c r="C7692" s="1" t="n">
        <v>45749</v>
      </c>
      <c r="D7692" t="inlineStr">
        <is>
          <t>SKÅNE LÄN</t>
        </is>
      </c>
      <c r="E7692" t="inlineStr">
        <is>
          <t>PERSTORP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12600-2025</t>
        </is>
      </c>
      <c r="B7693" s="1" t="n">
        <v>45733</v>
      </c>
      <c r="C7693" s="1" t="n">
        <v>45749</v>
      </c>
      <c r="D7693" t="inlineStr">
        <is>
          <t>SKÅNE LÄN</t>
        </is>
      </c>
      <c r="E7693" t="inlineStr">
        <is>
          <t>OSBY</t>
        </is>
      </c>
      <c r="F7693" t="inlineStr">
        <is>
          <t>Sveaskog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12598-2025</t>
        </is>
      </c>
      <c r="B7694" s="1" t="n">
        <v>45733</v>
      </c>
      <c r="C7694" s="1" t="n">
        <v>45749</v>
      </c>
      <c r="D7694" t="inlineStr">
        <is>
          <t>SKÅNE LÄN</t>
        </is>
      </c>
      <c r="E7694" t="inlineStr">
        <is>
          <t>OSBY</t>
        </is>
      </c>
      <c r="F7694" t="inlineStr">
        <is>
          <t>Sveaskog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12603-2025</t>
        </is>
      </c>
      <c r="B7695" s="1" t="n">
        <v>45733</v>
      </c>
      <c r="C7695" s="1" t="n">
        <v>45749</v>
      </c>
      <c r="D7695" t="inlineStr">
        <is>
          <t>SKÅNE LÄN</t>
        </is>
      </c>
      <c r="E7695" t="inlineStr">
        <is>
          <t>OSBY</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12605-2025</t>
        </is>
      </c>
      <c r="B7696" s="1" t="n">
        <v>45733</v>
      </c>
      <c r="C7696" s="1" t="n">
        <v>45749</v>
      </c>
      <c r="D7696" t="inlineStr">
        <is>
          <t>SKÅNE LÄN</t>
        </is>
      </c>
      <c r="E7696" t="inlineStr">
        <is>
          <t>ESLÖV</t>
        </is>
      </c>
      <c r="F7696" t="inlineStr">
        <is>
          <t>Sveaskog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12602-2025</t>
        </is>
      </c>
      <c r="B7697" s="1" t="n">
        <v>45733</v>
      </c>
      <c r="C7697" s="1" t="n">
        <v>45749</v>
      </c>
      <c r="D7697" t="inlineStr">
        <is>
          <t>SKÅNE LÄN</t>
        </is>
      </c>
      <c r="E7697" t="inlineStr">
        <is>
          <t>OSBY</t>
        </is>
      </c>
      <c r="F7697" t="inlineStr">
        <is>
          <t>Sveaskog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12604-2025</t>
        </is>
      </c>
      <c r="B7698" s="1" t="n">
        <v>45733</v>
      </c>
      <c r="C7698" s="1" t="n">
        <v>45749</v>
      </c>
      <c r="D7698" t="inlineStr">
        <is>
          <t>SKÅNE LÄN</t>
        </is>
      </c>
      <c r="E7698" t="inlineStr">
        <is>
          <t>OSBY</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12663-2025</t>
        </is>
      </c>
      <c r="B7699" s="1" t="n">
        <v>45733</v>
      </c>
      <c r="C7699" s="1" t="n">
        <v>45749</v>
      </c>
      <c r="D7699" t="inlineStr">
        <is>
          <t>SKÅNE LÄN</t>
        </is>
      </c>
      <c r="E7699" t="inlineStr">
        <is>
          <t>ÄNGELHOLM</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12671-2025</t>
        </is>
      </c>
      <c r="B7700" s="1" t="n">
        <v>45733</v>
      </c>
      <c r="C7700" s="1" t="n">
        <v>45749</v>
      </c>
      <c r="D7700" t="inlineStr">
        <is>
          <t>SKÅNE LÄN</t>
        </is>
      </c>
      <c r="E7700" t="inlineStr">
        <is>
          <t>ÖSTRA GÖINGE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12745-2025</t>
        </is>
      </c>
      <c r="B7701" s="1" t="n">
        <v>45733</v>
      </c>
      <c r="C7701" s="1" t="n">
        <v>45749</v>
      </c>
      <c r="D7701" t="inlineStr">
        <is>
          <t>SKÅNE LÄN</t>
        </is>
      </c>
      <c r="E7701" t="inlineStr">
        <is>
          <t>ÖSTRA GÖINGE</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45749</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12652-2025</t>
        </is>
      </c>
      <c r="B7703" s="1" t="n">
        <v>45733</v>
      </c>
      <c r="C7703" s="1" t="n">
        <v>45749</v>
      </c>
      <c r="D7703" t="inlineStr">
        <is>
          <t>SKÅNE LÄN</t>
        </is>
      </c>
      <c r="E7703" t="inlineStr">
        <is>
          <t>ÄNGELHOLM</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12661-2025</t>
        </is>
      </c>
      <c r="B7704" s="1" t="n">
        <v>45733</v>
      </c>
      <c r="C7704" s="1" t="n">
        <v>45749</v>
      </c>
      <c r="D7704" t="inlineStr">
        <is>
          <t>SKÅNE LÄN</t>
        </is>
      </c>
      <c r="E7704" t="inlineStr">
        <is>
          <t>KRISTIANSTAD</t>
        </is>
      </c>
      <c r="F7704" t="inlineStr">
        <is>
          <t>Sveaskog</t>
        </is>
      </c>
      <c r="G7704" t="n">
        <v>9.6</v>
      </c>
      <c r="H7704" t="n">
        <v>0</v>
      </c>
      <c r="I7704" t="n">
        <v>0</v>
      </c>
      <c r="J7704" t="n">
        <v>0</v>
      </c>
      <c r="K7704" t="n">
        <v>0</v>
      </c>
      <c r="L7704" t="n">
        <v>0</v>
      </c>
      <c r="M7704" t="n">
        <v>0</v>
      </c>
      <c r="N7704" t="n">
        <v>0</v>
      </c>
      <c r="O7704" t="n">
        <v>0</v>
      </c>
      <c r="P7704" t="n">
        <v>0</v>
      </c>
      <c r="Q7704" t="n">
        <v>0</v>
      </c>
      <c r="R7704" s="2" t="inlineStr"/>
    </row>
    <row r="7705" ht="15" customHeight="1">
      <c r="A7705" t="inlineStr">
        <is>
          <t>A 12680-2025</t>
        </is>
      </c>
      <c r="B7705" s="1" t="n">
        <v>45733</v>
      </c>
      <c r="C7705" s="1" t="n">
        <v>45749</v>
      </c>
      <c r="D7705" t="inlineStr">
        <is>
          <t>SKÅNE LÄN</t>
        </is>
      </c>
      <c r="E7705" t="inlineStr">
        <is>
          <t>OSBY</t>
        </is>
      </c>
      <c r="F7705" t="inlineStr">
        <is>
          <t>Sveaskog</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45749</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45749</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45749</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13198-2025</t>
        </is>
      </c>
      <c r="B7709" s="1" t="n">
        <v>45735</v>
      </c>
      <c r="C7709" s="1" t="n">
        <v>45749</v>
      </c>
      <c r="D7709" t="inlineStr">
        <is>
          <t>SKÅNE LÄN</t>
        </is>
      </c>
      <c r="E7709" t="inlineStr">
        <is>
          <t>HÄSSLEHOLM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13308-2025</t>
        </is>
      </c>
      <c r="B7710" s="1" t="n">
        <v>45735</v>
      </c>
      <c r="C7710" s="1" t="n">
        <v>45749</v>
      </c>
      <c r="D7710" t="inlineStr">
        <is>
          <t>SKÅNE LÄN</t>
        </is>
      </c>
      <c r="E7710" t="inlineStr">
        <is>
          <t>HÖRBY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13303-2025</t>
        </is>
      </c>
      <c r="B7711" s="1" t="n">
        <v>45735</v>
      </c>
      <c r="C7711" s="1" t="n">
        <v>45749</v>
      </c>
      <c r="D7711" t="inlineStr">
        <is>
          <t>SKÅNE LÄN</t>
        </is>
      </c>
      <c r="E7711" t="inlineStr">
        <is>
          <t>HÄSSLEHOLM</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13309-2025</t>
        </is>
      </c>
      <c r="B7712" s="1" t="n">
        <v>45735</v>
      </c>
      <c r="C7712" s="1" t="n">
        <v>45749</v>
      </c>
      <c r="D7712" t="inlineStr">
        <is>
          <t>SKÅNE LÄN</t>
        </is>
      </c>
      <c r="E7712" t="inlineStr">
        <is>
          <t>HÄSSLEHOLM</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13310-2025</t>
        </is>
      </c>
      <c r="B7713" s="1" t="n">
        <v>45735</v>
      </c>
      <c r="C7713" s="1" t="n">
        <v>45749</v>
      </c>
      <c r="D7713" t="inlineStr">
        <is>
          <t>SKÅNE LÄN</t>
        </is>
      </c>
      <c r="E7713" t="inlineStr">
        <is>
          <t>HÄSSLEHOLM</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13324-2025</t>
        </is>
      </c>
      <c r="B7714" s="1" t="n">
        <v>45735</v>
      </c>
      <c r="C7714" s="1" t="n">
        <v>45749</v>
      </c>
      <c r="D7714" t="inlineStr">
        <is>
          <t>SKÅNE LÄN</t>
        </is>
      </c>
      <c r="E7714" t="inlineStr">
        <is>
          <t>ÖSTRA GÖINGE</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13235-2025</t>
        </is>
      </c>
      <c r="B7715" s="1" t="n">
        <v>45735</v>
      </c>
      <c r="C7715" s="1" t="n">
        <v>45749</v>
      </c>
      <c r="D7715" t="inlineStr">
        <is>
          <t>SKÅNE LÄN</t>
        </is>
      </c>
      <c r="E7715" t="inlineStr">
        <is>
          <t>ÄNGELHOLM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13243-2025</t>
        </is>
      </c>
      <c r="B7716" s="1" t="n">
        <v>45735</v>
      </c>
      <c r="C7716" s="1" t="n">
        <v>45749</v>
      </c>
      <c r="D7716" t="inlineStr">
        <is>
          <t>SKÅNE LÄN</t>
        </is>
      </c>
      <c r="E7716" t="inlineStr">
        <is>
          <t>ÄNGELHOLM</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13345-2025</t>
        </is>
      </c>
      <c r="B7717" s="1" t="n">
        <v>45735</v>
      </c>
      <c r="C7717" s="1" t="n">
        <v>45749</v>
      </c>
      <c r="D7717" t="inlineStr">
        <is>
          <t>SKÅNE LÄN</t>
        </is>
      </c>
      <c r="E7717" t="inlineStr">
        <is>
          <t>HÄSSLEHOLM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45749</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13562-2025</t>
        </is>
      </c>
      <c r="B7719" s="1" t="n">
        <v>45736</v>
      </c>
      <c r="C7719" s="1" t="n">
        <v>45749</v>
      </c>
      <c r="D7719" t="inlineStr">
        <is>
          <t>SKÅNE LÄN</t>
        </is>
      </c>
      <c r="E7719" t="inlineStr">
        <is>
          <t>KRISTIANSTAD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13611-2025</t>
        </is>
      </c>
      <c r="B7720" s="1" t="n">
        <v>45736</v>
      </c>
      <c r="C7720" s="1" t="n">
        <v>45749</v>
      </c>
      <c r="D7720" t="inlineStr">
        <is>
          <t>SKÅNE LÄN</t>
        </is>
      </c>
      <c r="E7720" t="inlineStr">
        <is>
          <t>ÖRKELLJUNGA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45749</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45749</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13664-2025</t>
        </is>
      </c>
      <c r="B7723" s="1" t="n">
        <v>45736</v>
      </c>
      <c r="C7723" s="1" t="n">
        <v>45749</v>
      </c>
      <c r="D7723" t="inlineStr">
        <is>
          <t>SKÅNE LÄN</t>
        </is>
      </c>
      <c r="E7723" t="inlineStr">
        <is>
          <t>KRISTIANSTAD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13662-2025</t>
        </is>
      </c>
      <c r="B7724" s="1" t="n">
        <v>45736</v>
      </c>
      <c r="C7724" s="1" t="n">
        <v>45749</v>
      </c>
      <c r="D7724" t="inlineStr">
        <is>
          <t>SKÅNE LÄN</t>
        </is>
      </c>
      <c r="E7724" t="inlineStr">
        <is>
          <t>ÄNGELHOLM</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13549-2025</t>
        </is>
      </c>
      <c r="B7725" s="1" t="n">
        <v>45736</v>
      </c>
      <c r="C7725" s="1" t="n">
        <v>45749</v>
      </c>
      <c r="D7725" t="inlineStr">
        <is>
          <t>SKÅNE LÄN</t>
        </is>
      </c>
      <c r="E7725" t="inlineStr">
        <is>
          <t>HÄSSLEHOLM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13555-2025</t>
        </is>
      </c>
      <c r="B7726" s="1" t="n">
        <v>45736</v>
      </c>
      <c r="C7726" s="1" t="n">
        <v>45749</v>
      </c>
      <c r="D7726" t="inlineStr">
        <is>
          <t>SKÅNE LÄN</t>
        </is>
      </c>
      <c r="E7726" t="inlineStr">
        <is>
          <t>HÄSSLEHOLM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13952-2025</t>
        </is>
      </c>
      <c r="B7727" s="1" t="n">
        <v>45737</v>
      </c>
      <c r="C7727" s="1" t="n">
        <v>45749</v>
      </c>
      <c r="D7727" t="inlineStr">
        <is>
          <t>SKÅNE LÄN</t>
        </is>
      </c>
      <c r="E7727" t="inlineStr">
        <is>
          <t>KRISTIANSTAD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13953-2025</t>
        </is>
      </c>
      <c r="B7728" s="1" t="n">
        <v>45737</v>
      </c>
      <c r="C7728" s="1" t="n">
        <v>45749</v>
      </c>
      <c r="D7728" t="inlineStr">
        <is>
          <t>SKÅNE LÄN</t>
        </is>
      </c>
      <c r="E7728" t="inlineStr">
        <is>
          <t>KRISTIANSTAD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13875-2025</t>
        </is>
      </c>
      <c r="B7729" s="1" t="n">
        <v>45737</v>
      </c>
      <c r="C7729" s="1" t="n">
        <v>45749</v>
      </c>
      <c r="D7729" t="inlineStr">
        <is>
          <t>SKÅNE LÄN</t>
        </is>
      </c>
      <c r="E7729" t="inlineStr">
        <is>
          <t>KRISTIANSTAD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13928-2025</t>
        </is>
      </c>
      <c r="B7730" s="1" t="n">
        <v>45737</v>
      </c>
      <c r="C7730" s="1" t="n">
        <v>45749</v>
      </c>
      <c r="D7730" t="inlineStr">
        <is>
          <t>SKÅNE LÄN</t>
        </is>
      </c>
      <c r="E7730" t="inlineStr">
        <is>
          <t>KRISTIANSTAD</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13959-2025</t>
        </is>
      </c>
      <c r="B7731" s="1" t="n">
        <v>45737</v>
      </c>
      <c r="C7731" s="1" t="n">
        <v>45749</v>
      </c>
      <c r="D7731" t="inlineStr">
        <is>
          <t>SKÅNE LÄN</t>
        </is>
      </c>
      <c r="E7731" t="inlineStr">
        <is>
          <t>OSBY</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13754-2025</t>
        </is>
      </c>
      <c r="B7732" s="1" t="n">
        <v>45737</v>
      </c>
      <c r="C7732" s="1" t="n">
        <v>45749</v>
      </c>
      <c r="D7732" t="inlineStr">
        <is>
          <t>SKÅNE LÄN</t>
        </is>
      </c>
      <c r="E7732" t="inlineStr">
        <is>
          <t>OSBY</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13856-2025</t>
        </is>
      </c>
      <c r="B7733" s="1" t="n">
        <v>45737</v>
      </c>
      <c r="C7733" s="1" t="n">
        <v>45749</v>
      </c>
      <c r="D7733" t="inlineStr">
        <is>
          <t>SKÅNE LÄN</t>
        </is>
      </c>
      <c r="E7733" t="inlineStr">
        <is>
          <t>HÄSSLEHOLM</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45749</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45749</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45749</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13797-2025</t>
        </is>
      </c>
      <c r="B7737" s="1" t="n">
        <v>45737</v>
      </c>
      <c r="C7737" s="1" t="n">
        <v>45749</v>
      </c>
      <c r="D7737" t="inlineStr">
        <is>
          <t>SKÅNE LÄN</t>
        </is>
      </c>
      <c r="E7737" t="inlineStr">
        <is>
          <t>ÖRKELLJUNGA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45749</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13954-2025</t>
        </is>
      </c>
      <c r="B7739" s="1" t="n">
        <v>45737</v>
      </c>
      <c r="C7739" s="1" t="n">
        <v>45749</v>
      </c>
      <c r="D7739" t="inlineStr">
        <is>
          <t>SKÅNE LÄN</t>
        </is>
      </c>
      <c r="E7739" t="inlineStr">
        <is>
          <t>KRISTIANSTAD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13977-2025</t>
        </is>
      </c>
      <c r="B7740" s="1" t="n">
        <v>45738</v>
      </c>
      <c r="C7740" s="1" t="n">
        <v>45749</v>
      </c>
      <c r="D7740" t="inlineStr">
        <is>
          <t>SKÅNE LÄN</t>
        </is>
      </c>
      <c r="E7740" t="inlineStr">
        <is>
          <t>KRISTIANSTAD</t>
        </is>
      </c>
      <c r="G7740" t="n">
        <v>8.9</v>
      </c>
      <c r="H7740" t="n">
        <v>0</v>
      </c>
      <c r="I7740" t="n">
        <v>0</v>
      </c>
      <c r="J7740" t="n">
        <v>0</v>
      </c>
      <c r="K7740" t="n">
        <v>0</v>
      </c>
      <c r="L7740" t="n">
        <v>0</v>
      </c>
      <c r="M7740" t="n">
        <v>0</v>
      </c>
      <c r="N7740" t="n">
        <v>0</v>
      </c>
      <c r="O7740" t="n">
        <v>0</v>
      </c>
      <c r="P7740" t="n">
        <v>0</v>
      </c>
      <c r="Q7740" t="n">
        <v>0</v>
      </c>
      <c r="R7740" s="2" t="inlineStr"/>
    </row>
    <row r="7741" ht="15" customHeight="1">
      <c r="A7741" t="inlineStr">
        <is>
          <t>A 13972-2025</t>
        </is>
      </c>
      <c r="B7741" s="1" t="n">
        <v>45738</v>
      </c>
      <c r="C7741" s="1" t="n">
        <v>45749</v>
      </c>
      <c r="D7741" t="inlineStr">
        <is>
          <t>SKÅNE LÄN</t>
        </is>
      </c>
      <c r="E7741" t="inlineStr">
        <is>
          <t>KRISTIANSTAD</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13975-2025</t>
        </is>
      </c>
      <c r="B7742" s="1" t="n">
        <v>45738</v>
      </c>
      <c r="C7742" s="1" t="n">
        <v>45749</v>
      </c>
      <c r="D7742" t="inlineStr">
        <is>
          <t>SKÅNE LÄN</t>
        </is>
      </c>
      <c r="E7742" t="inlineStr">
        <is>
          <t>KRISTIANSTAD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13976-2025</t>
        </is>
      </c>
      <c r="B7743" s="1" t="n">
        <v>45738</v>
      </c>
      <c r="C7743" s="1" t="n">
        <v>45749</v>
      </c>
      <c r="D7743" t="inlineStr">
        <is>
          <t>SKÅNE LÄN</t>
        </is>
      </c>
      <c r="E7743" t="inlineStr">
        <is>
          <t>KRISTIANSTAD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45749</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13994-2025</t>
        </is>
      </c>
      <c r="B7745" s="1" t="n">
        <v>45739</v>
      </c>
      <c r="C7745" s="1" t="n">
        <v>45749</v>
      </c>
      <c r="D7745" t="inlineStr">
        <is>
          <t>SKÅNE LÄN</t>
        </is>
      </c>
      <c r="E7745" t="inlineStr">
        <is>
          <t>KLIPPAN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13995-2025</t>
        </is>
      </c>
      <c r="B7746" s="1" t="n">
        <v>45739</v>
      </c>
      <c r="C7746" s="1" t="n">
        <v>45749</v>
      </c>
      <c r="D7746" t="inlineStr">
        <is>
          <t>SKÅNE LÄN</t>
        </is>
      </c>
      <c r="E7746" t="inlineStr">
        <is>
          <t>KLIPPAN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14000-2025</t>
        </is>
      </c>
      <c r="B7747" s="1" t="n">
        <v>45740</v>
      </c>
      <c r="C7747" s="1" t="n">
        <v>45749</v>
      </c>
      <c r="D7747" t="inlineStr">
        <is>
          <t>SKÅNE LÄN</t>
        </is>
      </c>
      <c r="E7747" t="inlineStr">
        <is>
          <t>SIMRISHAMN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14058-2025</t>
        </is>
      </c>
      <c r="B7748" s="1" t="n">
        <v>45740</v>
      </c>
      <c r="C7748" s="1" t="n">
        <v>45749</v>
      </c>
      <c r="D7748" t="inlineStr">
        <is>
          <t>SKÅNE LÄN</t>
        </is>
      </c>
      <c r="E7748" t="inlineStr">
        <is>
          <t>LUND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14389-2025</t>
        </is>
      </c>
      <c r="B7749" s="1" t="n">
        <v>45741</v>
      </c>
      <c r="C7749" s="1" t="n">
        <v>45749</v>
      </c>
      <c r="D7749" t="inlineStr">
        <is>
          <t>SKÅNE LÄN</t>
        </is>
      </c>
      <c r="E7749" t="inlineStr">
        <is>
          <t>OSBY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14377-2025</t>
        </is>
      </c>
      <c r="B7750" s="1" t="n">
        <v>45741</v>
      </c>
      <c r="C7750" s="1" t="n">
        <v>45749</v>
      </c>
      <c r="D7750" t="inlineStr">
        <is>
          <t>SKÅNE LÄN</t>
        </is>
      </c>
      <c r="E7750" t="inlineStr">
        <is>
          <t>HÖÖR</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14373-2025</t>
        </is>
      </c>
      <c r="B7751" s="1" t="n">
        <v>45741</v>
      </c>
      <c r="C7751" s="1" t="n">
        <v>45749</v>
      </c>
      <c r="D7751" t="inlineStr">
        <is>
          <t>SKÅNE LÄN</t>
        </is>
      </c>
      <c r="E7751" t="inlineStr">
        <is>
          <t>KLIPPAN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14554-2025</t>
        </is>
      </c>
      <c r="B7752" s="1" t="n">
        <v>45741</v>
      </c>
      <c r="C7752" s="1" t="n">
        <v>45749</v>
      </c>
      <c r="D7752" t="inlineStr">
        <is>
          <t>SKÅNE LÄN</t>
        </is>
      </c>
      <c r="E7752" t="inlineStr">
        <is>
          <t>HÖÖR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14451-2025</t>
        </is>
      </c>
      <c r="B7753" s="1" t="n">
        <v>45741</v>
      </c>
      <c r="C7753" s="1" t="n">
        <v>45749</v>
      </c>
      <c r="D7753" t="inlineStr">
        <is>
          <t>SKÅNE LÄN</t>
        </is>
      </c>
      <c r="E7753" t="inlineStr">
        <is>
          <t>ÖRKELLJUNGA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14780-2025</t>
        </is>
      </c>
      <c r="B7754" s="1" t="n">
        <v>45742</v>
      </c>
      <c r="C7754" s="1" t="n">
        <v>45749</v>
      </c>
      <c r="D7754" t="inlineStr">
        <is>
          <t>SKÅNE LÄN</t>
        </is>
      </c>
      <c r="E7754" t="inlineStr">
        <is>
          <t>OSBY</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14670-2025</t>
        </is>
      </c>
      <c r="B7755" s="1" t="n">
        <v>45742</v>
      </c>
      <c r="C7755" s="1" t="n">
        <v>45749</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14777-2025</t>
        </is>
      </c>
      <c r="B7756" s="1" t="n">
        <v>45742</v>
      </c>
      <c r="C7756" s="1" t="n">
        <v>45749</v>
      </c>
      <c r="D7756" t="inlineStr">
        <is>
          <t>SKÅNE LÄN</t>
        </is>
      </c>
      <c r="E7756" t="inlineStr">
        <is>
          <t>OSBY</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14684-2025</t>
        </is>
      </c>
      <c r="B7757" s="1" t="n">
        <v>45742</v>
      </c>
      <c r="C7757" s="1" t="n">
        <v>45749</v>
      </c>
      <c r="D7757" t="inlineStr">
        <is>
          <t>SKÅNE LÄN</t>
        </is>
      </c>
      <c r="E7757" t="inlineStr">
        <is>
          <t>ÖSTRA GÖINGE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14620-2025</t>
        </is>
      </c>
      <c r="B7758" s="1" t="n">
        <v>45742</v>
      </c>
      <c r="C7758" s="1" t="n">
        <v>45749</v>
      </c>
      <c r="D7758" t="inlineStr">
        <is>
          <t>SKÅNE LÄN</t>
        </is>
      </c>
      <c r="E7758" t="inlineStr">
        <is>
          <t>KLIPPAN</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14655-2025</t>
        </is>
      </c>
      <c r="B7759" s="1" t="n">
        <v>45742</v>
      </c>
      <c r="C7759" s="1" t="n">
        <v>45749</v>
      </c>
      <c r="D7759" t="inlineStr">
        <is>
          <t>SKÅNE LÄN</t>
        </is>
      </c>
      <c r="E7759" t="inlineStr">
        <is>
          <t>HÄSSLEHOLM</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14683-2025</t>
        </is>
      </c>
      <c r="B7760" s="1" t="n">
        <v>45742</v>
      </c>
      <c r="C7760" s="1" t="n">
        <v>45749</v>
      </c>
      <c r="D7760" t="inlineStr">
        <is>
          <t>SKÅNE LÄN</t>
        </is>
      </c>
      <c r="E7760" t="inlineStr">
        <is>
          <t>ÖSTRA GÖINGE</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14702-2025</t>
        </is>
      </c>
      <c r="B7761" s="1" t="n">
        <v>45742</v>
      </c>
      <c r="C7761" s="1" t="n">
        <v>45749</v>
      </c>
      <c r="D7761" t="inlineStr">
        <is>
          <t>SKÅNE LÄN</t>
        </is>
      </c>
      <c r="E7761" t="inlineStr">
        <is>
          <t>HÄSSLEHOLM</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14734-2025</t>
        </is>
      </c>
      <c r="B7762" s="1" t="n">
        <v>45742</v>
      </c>
      <c r="C7762" s="1" t="n">
        <v>45749</v>
      </c>
      <c r="D7762" t="inlineStr">
        <is>
          <t>SKÅNE LÄN</t>
        </is>
      </c>
      <c r="E7762" t="inlineStr">
        <is>
          <t>HÖRBY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45749</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14833-2025</t>
        </is>
      </c>
      <c r="B7764" s="1" t="n">
        <v>45743</v>
      </c>
      <c r="C7764" s="1" t="n">
        <v>45749</v>
      </c>
      <c r="D7764" t="inlineStr">
        <is>
          <t>SKÅNE LÄN</t>
        </is>
      </c>
      <c r="E7764" t="inlineStr">
        <is>
          <t>BÅSTAD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15158-2025</t>
        </is>
      </c>
      <c r="B7765" s="1" t="n">
        <v>45744</v>
      </c>
      <c r="C7765" s="1" t="n">
        <v>45749</v>
      </c>
      <c r="D7765" t="inlineStr">
        <is>
          <t>SKÅNE LÄN</t>
        </is>
      </c>
      <c r="E7765" t="inlineStr">
        <is>
          <t>TOMELILLA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15232-2025</t>
        </is>
      </c>
      <c r="B7766" s="1" t="n">
        <v>45744</v>
      </c>
      <c r="C7766" s="1" t="n">
        <v>45749</v>
      </c>
      <c r="D7766" t="inlineStr">
        <is>
          <t>SKÅNE LÄN</t>
        </is>
      </c>
      <c r="E7766" t="inlineStr">
        <is>
          <t>OSBY</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15234-2025</t>
        </is>
      </c>
      <c r="B7767" s="1" t="n">
        <v>45744</v>
      </c>
      <c r="C7767" s="1" t="n">
        <v>45749</v>
      </c>
      <c r="D7767" t="inlineStr">
        <is>
          <t>SKÅNE LÄN</t>
        </is>
      </c>
      <c r="E7767" t="inlineStr">
        <is>
          <t>OSBY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15205-2025</t>
        </is>
      </c>
      <c r="B7768" s="1" t="n">
        <v>45744</v>
      </c>
      <c r="C7768" s="1" t="n">
        <v>45749</v>
      </c>
      <c r="D7768" t="inlineStr">
        <is>
          <t>SKÅNE LÄN</t>
        </is>
      </c>
      <c r="E7768" t="inlineStr">
        <is>
          <t>SJÖBO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15259-2025</t>
        </is>
      </c>
      <c r="B7769" s="1" t="n">
        <v>45744</v>
      </c>
      <c r="C7769" s="1" t="n">
        <v>45749</v>
      </c>
      <c r="D7769" t="inlineStr">
        <is>
          <t>SKÅNE LÄN</t>
        </is>
      </c>
      <c r="E7769" t="inlineStr">
        <is>
          <t>KRISTIANSTAD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15283-2025</t>
        </is>
      </c>
      <c r="B7770" s="1" t="n">
        <v>45744</v>
      </c>
      <c r="C7770" s="1" t="n">
        <v>45749</v>
      </c>
      <c r="D7770" t="inlineStr">
        <is>
          <t>SKÅNE LÄN</t>
        </is>
      </c>
      <c r="E7770" t="inlineStr">
        <is>
          <t>KRISTIANSTAD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15305-2025</t>
        </is>
      </c>
      <c r="B7771" s="1" t="n">
        <v>45746</v>
      </c>
      <c r="C7771" s="1" t="n">
        <v>45749</v>
      </c>
      <c r="D7771" t="inlineStr">
        <is>
          <t>SKÅNE LÄN</t>
        </is>
      </c>
      <c r="E7771" t="inlineStr">
        <is>
          <t>TOMELILLA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15297-2025</t>
        </is>
      </c>
      <c r="B7772" s="1" t="n">
        <v>45746</v>
      </c>
      <c r="C7772" s="1" t="n">
        <v>45749</v>
      </c>
      <c r="D7772" t="inlineStr">
        <is>
          <t>SKÅNE LÄN</t>
        </is>
      </c>
      <c r="E7772" t="inlineStr">
        <is>
          <t>HÄSSLEHOLM</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15478-2025</t>
        </is>
      </c>
      <c r="B7773" s="1" t="n">
        <v>45747</v>
      </c>
      <c r="C7773" s="1" t="n">
        <v>45749</v>
      </c>
      <c r="D7773" t="inlineStr">
        <is>
          <t>SKÅNE LÄN</t>
        </is>
      </c>
      <c r="E7773" t="inlineStr">
        <is>
          <t>ÖRKELLJUNGA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15487-2025</t>
        </is>
      </c>
      <c r="B7774" s="1" t="n">
        <v>45747</v>
      </c>
      <c r="C7774" s="1" t="n">
        <v>45749</v>
      </c>
      <c r="D7774" t="inlineStr">
        <is>
          <t>SKÅNE LÄN</t>
        </is>
      </c>
      <c r="E7774" t="inlineStr">
        <is>
          <t>SVALÖV</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15488-2025</t>
        </is>
      </c>
      <c r="B7775" s="1" t="n">
        <v>45747</v>
      </c>
      <c r="C7775" s="1" t="n">
        <v>45749</v>
      </c>
      <c r="D7775" t="inlineStr">
        <is>
          <t>SKÅNE LÄN</t>
        </is>
      </c>
      <c r="E7775" t="inlineStr">
        <is>
          <t>BROMÖLLA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45749</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15467-2025</t>
        </is>
      </c>
      <c r="B7777" s="1" t="n">
        <v>45747</v>
      </c>
      <c r="C7777" s="1" t="n">
        <v>45749</v>
      </c>
      <c r="D7777" t="inlineStr">
        <is>
          <t>SKÅNE LÄN</t>
        </is>
      </c>
      <c r="E7777" t="inlineStr">
        <is>
          <t>ESLÖV</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15773-2025</t>
        </is>
      </c>
      <c r="B7778" s="1" t="n">
        <v>45748</v>
      </c>
      <c r="C7778" s="1" t="n">
        <v>45749</v>
      </c>
      <c r="D7778" t="inlineStr">
        <is>
          <t>SKÅNE LÄN</t>
        </is>
      </c>
      <c r="E7778" t="inlineStr">
        <is>
          <t>SJÖBO</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15800-2025</t>
        </is>
      </c>
      <c r="B7779" s="1" t="n">
        <v>45748</v>
      </c>
      <c r="C7779" s="1" t="n">
        <v>45749</v>
      </c>
      <c r="D7779" t="inlineStr">
        <is>
          <t>SKÅNE LÄN</t>
        </is>
      </c>
      <c r="E7779" t="inlineStr">
        <is>
          <t>HÄSSLEHOLM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15828-2025</t>
        </is>
      </c>
      <c r="B7780" s="1" t="n">
        <v>45748</v>
      </c>
      <c r="C7780" s="1" t="n">
        <v>45749</v>
      </c>
      <c r="D7780" t="inlineStr">
        <is>
          <t>SKÅNE LÄN</t>
        </is>
      </c>
      <c r="E7780" t="inlineStr">
        <is>
          <t>KRISTIANSTAD</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15657-2025</t>
        </is>
      </c>
      <c r="B7781" s="1" t="n">
        <v>45748</v>
      </c>
      <c r="C7781" s="1" t="n">
        <v>45749</v>
      </c>
      <c r="D7781" t="inlineStr">
        <is>
          <t>SKÅNE LÄN</t>
        </is>
      </c>
      <c r="E7781" t="inlineStr">
        <is>
          <t>HÖÖR</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15712-2025</t>
        </is>
      </c>
      <c r="B7782" s="1" t="n">
        <v>45748</v>
      </c>
      <c r="C7782" s="1" t="n">
        <v>45749</v>
      </c>
      <c r="D7782" t="inlineStr">
        <is>
          <t>SKÅNE LÄN</t>
        </is>
      </c>
      <c r="E7782" t="inlineStr">
        <is>
          <t>KRISTIANSTAD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15631-2025</t>
        </is>
      </c>
      <c r="B7783" s="1" t="n">
        <v>45748</v>
      </c>
      <c r="C7783" s="1" t="n">
        <v>45749</v>
      </c>
      <c r="D7783" t="inlineStr">
        <is>
          <t>SKÅNE LÄN</t>
        </is>
      </c>
      <c r="E7783" t="inlineStr">
        <is>
          <t>HÖRBY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15795-2025</t>
        </is>
      </c>
      <c r="B7784" s="1" t="n">
        <v>45748</v>
      </c>
      <c r="C7784" s="1" t="n">
        <v>45749</v>
      </c>
      <c r="D7784" t="inlineStr">
        <is>
          <t>SKÅNE LÄN</t>
        </is>
      </c>
      <c r="E7784" t="inlineStr">
        <is>
          <t>ÖSTRA GÖINGE</t>
        </is>
      </c>
      <c r="G7784" t="n">
        <v>1.4</v>
      </c>
      <c r="H7784" t="n">
        <v>0</v>
      </c>
      <c r="I7784" t="n">
        <v>0</v>
      </c>
      <c r="J7784" t="n">
        <v>0</v>
      </c>
      <c r="K7784" t="n">
        <v>0</v>
      </c>
      <c r="L7784" t="n">
        <v>0</v>
      </c>
      <c r="M7784" t="n">
        <v>0</v>
      </c>
      <c r="N7784" t="n">
        <v>0</v>
      </c>
      <c r="O7784" t="n">
        <v>0</v>
      </c>
      <c r="P7784" t="n">
        <v>0</v>
      </c>
      <c r="Q7784" t="n">
        <v>0</v>
      </c>
      <c r="R7784" s="2" t="inlineStr"/>
    </row>
    <row r="7785">
      <c r="A7785" t="inlineStr">
        <is>
          <t>A 15706-2025</t>
        </is>
      </c>
      <c r="B7785" s="1" t="n">
        <v>45748</v>
      </c>
      <c r="C7785" s="1" t="n">
        <v>45749</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2025-04-02T16:58:25Z</dcterms:created>
  <dcterms:modified xmlns:dcterms="http://purl.org/dc/terms/" xmlns:xsi="http://www.w3.org/2001/XMLSchema-instance" xsi:type="dcterms:W3CDTF">2025-04-02T16:58:32Z</dcterms:modified>
</cp:coreProperties>
</file>